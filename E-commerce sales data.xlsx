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mc:AlternateContent xmlns:mc="http://schemas.openxmlformats.org/markup-compatibility/2006">
    <mc:Choice Requires="x15">
      <x15ac:absPath xmlns:x15ac="http://schemas.microsoft.com/office/spreadsheetml/2010/11/ac" url="https://d.docs.live.net/7303c000b1d5bc4b/Assignments/"/>
    </mc:Choice>
  </mc:AlternateContent>
  <xr:revisionPtr revIDLastSave="3" documentId="8_{C1606682-8099-42E8-A52C-B2EBFE42F2F1}" xr6:coauthVersionLast="47" xr6:coauthVersionMax="47" xr10:uidLastSave="{5709C196-9F85-4554-B96B-32E48D3AC208}"/>
  <bookViews>
    <workbookView xWindow="-110" yWindow="-110" windowWidth="19420" windowHeight="10300" firstSheet="3" activeTab="6" xr2:uid="{00000000-000D-0000-FFFF-FFFF00000000}"/>
  </bookViews>
  <sheets>
    <sheet name="Customer_Data" sheetId="5" r:id="rId1"/>
    <sheet name="Product_Data" sheetId="6" r:id="rId2"/>
    <sheet name="Store_Data" sheetId="8" r:id="rId3"/>
    <sheet name="SalesOverall" sheetId="9" r:id="rId4"/>
    <sheet name="Descriptive Statistics" sheetId="10" r:id="rId5"/>
    <sheet name="Pivot " sheetId="14" r:id="rId6"/>
    <sheet name="Dash board" sheetId="15" r:id="rId7"/>
    <sheet name="Final Summary" sheetId="16" r:id="rId8"/>
  </sheets>
  <definedNames>
    <definedName name="ExternalData_1" localSheetId="0" hidden="1">Customer_Data!$A$1:$I$501</definedName>
    <definedName name="ExternalData_1" localSheetId="1" hidden="1">Product_Data!$A$1:$H$101</definedName>
    <definedName name="ExternalData_1" localSheetId="2" hidden="1">Store_Data!$A$1:$E$21</definedName>
    <definedName name="Slicer_Category">#N/A</definedName>
    <definedName name="Slicer_Month">#N/A</definedName>
    <definedName name="Slicer_Payment_Type">#N/A</definedName>
  </definedNames>
  <calcPr calcId="191029"/>
  <pivotCaches>
    <pivotCache cacheId="0" r:id="rId9"/>
  </pivotCaches>
  <extLst>
    <ext xmlns:x14="http://schemas.microsoft.com/office/spreadsheetml/2009/9/main" uri="{BBE1A952-AA13-448e-AADC-164F8A28A991}">
      <x14:slicerCaches>
        <x14:slicerCache r:id="rId10"/>
        <x14:slicerCache r:id="rId11"/>
        <x14:slicerCache r:id="rId12"/>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2" i="9" l="1"/>
  <c r="C3" i="9"/>
  <c r="C4" i="9"/>
  <c r="C5" i="9"/>
  <c r="C6" i="9"/>
  <c r="C7" i="9"/>
  <c r="C8" i="9"/>
  <c r="C9" i="9"/>
  <c r="C10" i="9"/>
  <c r="C11" i="9"/>
  <c r="C12" i="9"/>
  <c r="C13" i="9"/>
  <c r="C14" i="9"/>
  <c r="C15" i="9"/>
  <c r="C16" i="9"/>
  <c r="C17" i="9"/>
  <c r="C18" i="9"/>
  <c r="C19" i="9"/>
  <c r="C20" i="9"/>
  <c r="C21" i="9"/>
  <c r="C22" i="9"/>
  <c r="C23" i="9"/>
  <c r="C24" i="9"/>
  <c r="C25" i="9"/>
  <c r="C26" i="9"/>
  <c r="C27" i="9"/>
  <c r="C28" i="9"/>
  <c r="C29" i="9"/>
  <c r="C30" i="9"/>
  <c r="C31" i="9"/>
  <c r="C32" i="9"/>
  <c r="C33" i="9"/>
  <c r="C34" i="9"/>
  <c r="C35" i="9"/>
  <c r="C36" i="9"/>
  <c r="C37" i="9"/>
  <c r="C38" i="9"/>
  <c r="C39" i="9"/>
  <c r="C40" i="9"/>
  <c r="C41" i="9"/>
  <c r="C42" i="9"/>
  <c r="C43" i="9"/>
  <c r="C44" i="9"/>
  <c r="C45" i="9"/>
  <c r="C46" i="9"/>
  <c r="C47" i="9"/>
  <c r="C48" i="9"/>
  <c r="C49" i="9"/>
  <c r="C50" i="9"/>
  <c r="C51" i="9"/>
  <c r="C52" i="9"/>
  <c r="C53" i="9"/>
  <c r="C54" i="9"/>
  <c r="C55" i="9"/>
  <c r="C56" i="9"/>
  <c r="C57" i="9"/>
  <c r="C58" i="9"/>
  <c r="C59" i="9"/>
  <c r="C60" i="9"/>
  <c r="C61" i="9"/>
  <c r="C62" i="9"/>
  <c r="C63" i="9"/>
  <c r="C64" i="9"/>
  <c r="C65" i="9"/>
  <c r="C66" i="9"/>
  <c r="C67" i="9"/>
  <c r="C68" i="9"/>
  <c r="C69" i="9"/>
  <c r="C70" i="9"/>
  <c r="C71" i="9"/>
  <c r="C72" i="9"/>
  <c r="C73" i="9"/>
  <c r="C74" i="9"/>
  <c r="C75" i="9"/>
  <c r="C76" i="9"/>
  <c r="C77" i="9"/>
  <c r="C78" i="9"/>
  <c r="C79" i="9"/>
  <c r="C80" i="9"/>
  <c r="C81" i="9"/>
  <c r="C82" i="9"/>
  <c r="C83" i="9"/>
  <c r="C84" i="9"/>
  <c r="C85" i="9"/>
  <c r="C86" i="9"/>
  <c r="C87" i="9"/>
  <c r="C88" i="9"/>
  <c r="C89" i="9"/>
  <c r="C90" i="9"/>
  <c r="C91" i="9"/>
  <c r="C92" i="9"/>
  <c r="C93" i="9"/>
  <c r="C94" i="9"/>
  <c r="C95" i="9"/>
  <c r="C96" i="9"/>
  <c r="C97" i="9"/>
  <c r="C98" i="9"/>
  <c r="C99" i="9"/>
  <c r="C100" i="9"/>
  <c r="C101" i="9"/>
  <c r="C102" i="9"/>
  <c r="C103" i="9"/>
  <c r="C104" i="9"/>
  <c r="C105" i="9"/>
  <c r="C106" i="9"/>
  <c r="C107" i="9"/>
  <c r="C108" i="9"/>
  <c r="C109" i="9"/>
  <c r="C110" i="9"/>
  <c r="C111" i="9"/>
  <c r="C112" i="9"/>
  <c r="C113" i="9"/>
  <c r="C114" i="9"/>
  <c r="C115" i="9"/>
  <c r="C116" i="9"/>
  <c r="C117" i="9"/>
  <c r="C118" i="9"/>
  <c r="C119" i="9"/>
  <c r="C120" i="9"/>
  <c r="C121" i="9"/>
  <c r="C122" i="9"/>
  <c r="C123" i="9"/>
  <c r="C124" i="9"/>
  <c r="C125" i="9"/>
  <c r="C126" i="9"/>
  <c r="C127" i="9"/>
  <c r="C128" i="9"/>
  <c r="C129" i="9"/>
  <c r="C130" i="9"/>
  <c r="C131" i="9"/>
  <c r="C132" i="9"/>
  <c r="C133" i="9"/>
  <c r="C134" i="9"/>
  <c r="C135" i="9"/>
  <c r="C136" i="9"/>
  <c r="C137" i="9"/>
  <c r="C138" i="9"/>
  <c r="C139" i="9"/>
  <c r="C140" i="9"/>
  <c r="C141" i="9"/>
  <c r="C142" i="9"/>
  <c r="C143" i="9"/>
  <c r="C144" i="9"/>
  <c r="C145" i="9"/>
  <c r="C146" i="9"/>
  <c r="C147" i="9"/>
  <c r="C148" i="9"/>
  <c r="C149" i="9"/>
  <c r="C150" i="9"/>
  <c r="C151" i="9"/>
  <c r="C152" i="9"/>
  <c r="C153" i="9"/>
  <c r="C154" i="9"/>
  <c r="C155" i="9"/>
  <c r="C156" i="9"/>
  <c r="C157" i="9"/>
  <c r="C158" i="9"/>
  <c r="C159" i="9"/>
  <c r="C160" i="9"/>
  <c r="C161" i="9"/>
  <c r="C162" i="9"/>
  <c r="C163" i="9"/>
  <c r="C164" i="9"/>
  <c r="C165" i="9"/>
  <c r="C166" i="9"/>
  <c r="C167" i="9"/>
  <c r="C168" i="9"/>
  <c r="C169" i="9"/>
  <c r="C170" i="9"/>
  <c r="C171" i="9"/>
  <c r="C172" i="9"/>
  <c r="C173" i="9"/>
  <c r="C174" i="9"/>
  <c r="C175" i="9"/>
  <c r="C176" i="9"/>
  <c r="C177" i="9"/>
  <c r="C178" i="9"/>
  <c r="C179" i="9"/>
  <c r="C180" i="9"/>
  <c r="C181" i="9"/>
  <c r="C182" i="9"/>
  <c r="C183" i="9"/>
  <c r="C184" i="9"/>
  <c r="C185" i="9"/>
  <c r="C186" i="9"/>
  <c r="C187" i="9"/>
  <c r="C188" i="9"/>
  <c r="C189" i="9"/>
  <c r="C190" i="9"/>
  <c r="C191" i="9"/>
  <c r="C192" i="9"/>
  <c r="C193" i="9"/>
  <c r="C194" i="9"/>
  <c r="C195" i="9"/>
  <c r="C196" i="9"/>
  <c r="C197" i="9"/>
  <c r="C198" i="9"/>
  <c r="C199" i="9"/>
  <c r="C200" i="9"/>
  <c r="C201" i="9"/>
  <c r="C202" i="9"/>
  <c r="C203" i="9"/>
  <c r="C204" i="9"/>
  <c r="C205" i="9"/>
  <c r="C206" i="9"/>
  <c r="C207" i="9"/>
  <c r="C208" i="9"/>
  <c r="C209" i="9"/>
  <c r="C210" i="9"/>
  <c r="C211" i="9"/>
  <c r="C212" i="9"/>
  <c r="C213" i="9"/>
  <c r="C214" i="9"/>
  <c r="C215" i="9"/>
  <c r="C216" i="9"/>
  <c r="C217" i="9"/>
  <c r="C218" i="9"/>
  <c r="C219" i="9"/>
  <c r="C220" i="9"/>
  <c r="C221" i="9"/>
  <c r="C222" i="9"/>
  <c r="C223" i="9"/>
  <c r="C224" i="9"/>
  <c r="C225" i="9"/>
  <c r="C226" i="9"/>
  <c r="C227" i="9"/>
  <c r="C228" i="9"/>
  <c r="C229" i="9"/>
  <c r="C230" i="9"/>
  <c r="C231" i="9"/>
  <c r="C232" i="9"/>
  <c r="C233" i="9"/>
  <c r="C234" i="9"/>
  <c r="C235" i="9"/>
  <c r="C236" i="9"/>
  <c r="C237" i="9"/>
  <c r="C238" i="9"/>
  <c r="C239" i="9"/>
  <c r="C240" i="9"/>
  <c r="C241" i="9"/>
  <c r="C242" i="9"/>
  <c r="C243" i="9"/>
  <c r="C244" i="9"/>
  <c r="C245" i="9"/>
  <c r="C246" i="9"/>
  <c r="C247" i="9"/>
  <c r="C248" i="9"/>
  <c r="C249" i="9"/>
  <c r="C250" i="9"/>
  <c r="C251" i="9"/>
  <c r="C252" i="9"/>
  <c r="C253" i="9"/>
  <c r="C254" i="9"/>
  <c r="C255" i="9"/>
  <c r="C256" i="9"/>
  <c r="C257" i="9"/>
  <c r="C258" i="9"/>
  <c r="C259" i="9"/>
  <c r="C260" i="9"/>
  <c r="C261" i="9"/>
  <c r="C262" i="9"/>
  <c r="C263" i="9"/>
  <c r="C264" i="9"/>
  <c r="C265" i="9"/>
  <c r="C266" i="9"/>
  <c r="C267" i="9"/>
  <c r="C268" i="9"/>
  <c r="C269" i="9"/>
  <c r="C270" i="9"/>
  <c r="C271" i="9"/>
  <c r="C272" i="9"/>
  <c r="C273" i="9"/>
  <c r="C274" i="9"/>
  <c r="C275" i="9"/>
  <c r="C276" i="9"/>
  <c r="C277" i="9"/>
  <c r="C278" i="9"/>
  <c r="C279" i="9"/>
  <c r="C280" i="9"/>
  <c r="C281" i="9"/>
  <c r="C282" i="9"/>
  <c r="C283" i="9"/>
  <c r="C284" i="9"/>
  <c r="C285" i="9"/>
  <c r="C286" i="9"/>
  <c r="C287" i="9"/>
  <c r="C288" i="9"/>
  <c r="C289" i="9"/>
  <c r="C290" i="9"/>
  <c r="C291" i="9"/>
  <c r="C292" i="9"/>
  <c r="C293" i="9"/>
  <c r="C294" i="9"/>
  <c r="C295" i="9"/>
  <c r="C296" i="9"/>
  <c r="C297" i="9"/>
  <c r="C298" i="9"/>
  <c r="C299" i="9"/>
  <c r="C300" i="9"/>
  <c r="C301" i="9"/>
  <c r="C302" i="9"/>
  <c r="C303" i="9"/>
  <c r="C304" i="9"/>
  <c r="C305" i="9"/>
  <c r="C306" i="9"/>
  <c r="C307" i="9"/>
  <c r="C308" i="9"/>
  <c r="C309" i="9"/>
  <c r="C310" i="9"/>
  <c r="C311" i="9"/>
  <c r="C312" i="9"/>
  <c r="C313" i="9"/>
  <c r="C314" i="9"/>
  <c r="C315" i="9"/>
  <c r="C316" i="9"/>
  <c r="C317" i="9"/>
  <c r="C318" i="9"/>
  <c r="C319" i="9"/>
  <c r="C320" i="9"/>
  <c r="C321" i="9"/>
  <c r="C322" i="9"/>
  <c r="C323" i="9"/>
  <c r="C324" i="9"/>
  <c r="C325" i="9"/>
  <c r="C326" i="9"/>
  <c r="C327" i="9"/>
  <c r="C328" i="9"/>
  <c r="C329" i="9"/>
  <c r="C330" i="9"/>
  <c r="C331" i="9"/>
  <c r="C332" i="9"/>
  <c r="C333" i="9"/>
  <c r="C334" i="9"/>
  <c r="C335" i="9"/>
  <c r="C336" i="9"/>
  <c r="C337" i="9"/>
  <c r="C338" i="9"/>
  <c r="C339" i="9"/>
  <c r="C340" i="9"/>
  <c r="C341" i="9"/>
  <c r="C342" i="9"/>
  <c r="C343" i="9"/>
  <c r="C344" i="9"/>
  <c r="C345" i="9"/>
  <c r="C346" i="9"/>
  <c r="C347" i="9"/>
  <c r="C348" i="9"/>
  <c r="C349" i="9"/>
  <c r="C350" i="9"/>
  <c r="C351" i="9"/>
  <c r="C352" i="9"/>
  <c r="C353" i="9"/>
  <c r="C354" i="9"/>
  <c r="C355" i="9"/>
  <c r="C356" i="9"/>
  <c r="C357" i="9"/>
  <c r="C358" i="9"/>
  <c r="C359" i="9"/>
  <c r="C360" i="9"/>
  <c r="C361" i="9"/>
  <c r="C362" i="9"/>
  <c r="C363" i="9"/>
  <c r="C364" i="9"/>
  <c r="C365" i="9"/>
  <c r="C366" i="9"/>
  <c r="C367" i="9"/>
  <c r="C368" i="9"/>
  <c r="C369" i="9"/>
  <c r="C370" i="9"/>
  <c r="C371" i="9"/>
  <c r="C372" i="9"/>
  <c r="C373" i="9"/>
  <c r="C374" i="9"/>
  <c r="C375" i="9"/>
  <c r="C376" i="9"/>
  <c r="C377" i="9"/>
  <c r="C378" i="9"/>
  <c r="C379" i="9"/>
  <c r="C380" i="9"/>
  <c r="C381" i="9"/>
  <c r="C382" i="9"/>
  <c r="C383" i="9"/>
  <c r="C384" i="9"/>
  <c r="C385" i="9"/>
  <c r="C386" i="9"/>
  <c r="C387" i="9"/>
  <c r="C388" i="9"/>
  <c r="C389" i="9"/>
  <c r="C390" i="9"/>
  <c r="C391" i="9"/>
  <c r="C392" i="9"/>
  <c r="C393" i="9"/>
  <c r="C394" i="9"/>
  <c r="C395" i="9"/>
  <c r="C396" i="9"/>
  <c r="C397" i="9"/>
  <c r="C398" i="9"/>
  <c r="C399" i="9"/>
  <c r="C400" i="9"/>
  <c r="C401" i="9"/>
  <c r="C402" i="9"/>
  <c r="C403" i="9"/>
  <c r="C404" i="9"/>
  <c r="C405" i="9"/>
  <c r="C406" i="9"/>
  <c r="C407" i="9"/>
  <c r="C408" i="9"/>
  <c r="C409" i="9"/>
  <c r="C410" i="9"/>
  <c r="C411" i="9"/>
  <c r="C412" i="9"/>
  <c r="C413" i="9"/>
  <c r="C414" i="9"/>
  <c r="C415" i="9"/>
  <c r="C416" i="9"/>
  <c r="C417" i="9"/>
  <c r="C418" i="9"/>
  <c r="C419" i="9"/>
  <c r="C420" i="9"/>
  <c r="C421" i="9"/>
  <c r="C422" i="9"/>
  <c r="C423" i="9"/>
  <c r="C424" i="9"/>
  <c r="C425" i="9"/>
  <c r="C426" i="9"/>
  <c r="C427" i="9"/>
  <c r="C428" i="9"/>
  <c r="C429" i="9"/>
  <c r="C430" i="9"/>
  <c r="C431" i="9"/>
  <c r="C432" i="9"/>
  <c r="C433" i="9"/>
  <c r="C434" i="9"/>
  <c r="C435" i="9"/>
  <c r="C436" i="9"/>
  <c r="C437" i="9"/>
  <c r="C438" i="9"/>
  <c r="C439" i="9"/>
  <c r="C440" i="9"/>
  <c r="C441" i="9"/>
  <c r="C442" i="9"/>
  <c r="C443" i="9"/>
  <c r="C444" i="9"/>
  <c r="C445" i="9"/>
  <c r="C446" i="9"/>
  <c r="C447" i="9"/>
  <c r="C448" i="9"/>
  <c r="C449" i="9"/>
  <c r="C450" i="9"/>
  <c r="C451" i="9"/>
  <c r="C452" i="9"/>
  <c r="C453" i="9"/>
  <c r="C454" i="9"/>
  <c r="C455" i="9"/>
  <c r="C456" i="9"/>
  <c r="C457" i="9"/>
  <c r="C458" i="9"/>
  <c r="C459" i="9"/>
  <c r="C460" i="9"/>
  <c r="C461" i="9"/>
  <c r="C462" i="9"/>
  <c r="C463" i="9"/>
  <c r="C464" i="9"/>
  <c r="C465" i="9"/>
  <c r="C466" i="9"/>
  <c r="C467" i="9"/>
  <c r="C468" i="9"/>
  <c r="C469" i="9"/>
  <c r="C470" i="9"/>
  <c r="C471" i="9"/>
  <c r="C472" i="9"/>
  <c r="C473" i="9"/>
  <c r="C474" i="9"/>
  <c r="C475" i="9"/>
  <c r="C476" i="9"/>
  <c r="C477" i="9"/>
  <c r="C478" i="9"/>
  <c r="C479" i="9"/>
  <c r="C480" i="9"/>
  <c r="C481" i="9"/>
  <c r="C482" i="9"/>
  <c r="C483" i="9"/>
  <c r="C484" i="9"/>
  <c r="C485" i="9"/>
  <c r="C486" i="9"/>
  <c r="C487" i="9"/>
  <c r="C488" i="9"/>
  <c r="C489" i="9"/>
  <c r="C490" i="9"/>
  <c r="C491" i="9"/>
  <c r="C492" i="9"/>
  <c r="C493" i="9"/>
  <c r="S2" i="9"/>
  <c r="S3" i="9"/>
  <c r="S4" i="9"/>
  <c r="S5" i="9"/>
  <c r="S6" i="9"/>
  <c r="S7" i="9"/>
  <c r="S8" i="9"/>
  <c r="S9" i="9"/>
  <c r="S10" i="9"/>
  <c r="S11" i="9"/>
  <c r="S12" i="9"/>
  <c r="S13" i="9"/>
  <c r="S14" i="9"/>
  <c r="S15" i="9"/>
  <c r="S16" i="9"/>
  <c r="S17" i="9"/>
  <c r="S18" i="9"/>
  <c r="S19" i="9"/>
  <c r="S20" i="9"/>
  <c r="S21" i="9"/>
  <c r="S22" i="9"/>
  <c r="S23" i="9"/>
  <c r="S24" i="9"/>
  <c r="S25" i="9"/>
  <c r="S26" i="9"/>
  <c r="S27" i="9"/>
  <c r="S28" i="9"/>
  <c r="S29" i="9"/>
  <c r="S30" i="9"/>
  <c r="S31" i="9"/>
  <c r="S32" i="9"/>
  <c r="S33" i="9"/>
  <c r="S34" i="9"/>
  <c r="S35" i="9"/>
  <c r="S36" i="9"/>
  <c r="S37" i="9"/>
  <c r="S38" i="9"/>
  <c r="S39" i="9"/>
  <c r="S40" i="9"/>
  <c r="S41" i="9"/>
  <c r="S42" i="9"/>
  <c r="S43" i="9"/>
  <c r="S44" i="9"/>
  <c r="S45" i="9"/>
  <c r="S46" i="9"/>
  <c r="S47" i="9"/>
  <c r="S48" i="9"/>
  <c r="S49" i="9"/>
  <c r="S50" i="9"/>
  <c r="S51" i="9"/>
  <c r="S52" i="9"/>
  <c r="S53" i="9"/>
  <c r="S54" i="9"/>
  <c r="S55" i="9"/>
  <c r="S56" i="9"/>
  <c r="S57" i="9"/>
  <c r="S58" i="9"/>
  <c r="S59" i="9"/>
  <c r="S60" i="9"/>
  <c r="S61" i="9"/>
  <c r="S62" i="9"/>
  <c r="S63" i="9"/>
  <c r="S64" i="9"/>
  <c r="S65" i="9"/>
  <c r="S66" i="9"/>
  <c r="S67" i="9"/>
  <c r="S68" i="9"/>
  <c r="S69" i="9"/>
  <c r="S70" i="9"/>
  <c r="S71" i="9"/>
  <c r="S72" i="9"/>
  <c r="S73" i="9"/>
  <c r="S74" i="9"/>
  <c r="S75" i="9"/>
  <c r="S76" i="9"/>
  <c r="S77" i="9"/>
  <c r="S78" i="9"/>
  <c r="S79" i="9"/>
  <c r="S80" i="9"/>
  <c r="S81" i="9"/>
  <c r="S82" i="9"/>
  <c r="S83" i="9"/>
  <c r="S84" i="9"/>
  <c r="S85" i="9"/>
  <c r="S86" i="9"/>
  <c r="S87" i="9"/>
  <c r="S88" i="9"/>
  <c r="S89" i="9"/>
  <c r="S90" i="9"/>
  <c r="S91" i="9"/>
  <c r="S92" i="9"/>
  <c r="S93" i="9"/>
  <c r="S94" i="9"/>
  <c r="S95" i="9"/>
  <c r="S96" i="9"/>
  <c r="S97" i="9"/>
  <c r="S98" i="9"/>
  <c r="S99" i="9"/>
  <c r="S100" i="9"/>
  <c r="S101" i="9"/>
  <c r="S102" i="9"/>
  <c r="S103" i="9"/>
  <c r="S104" i="9"/>
  <c r="S105" i="9"/>
  <c r="S106" i="9"/>
  <c r="S107" i="9"/>
  <c r="S108" i="9"/>
  <c r="S109" i="9"/>
  <c r="S110" i="9"/>
  <c r="S111" i="9"/>
  <c r="S112" i="9"/>
  <c r="S113" i="9"/>
  <c r="S114" i="9"/>
  <c r="S115" i="9"/>
  <c r="S116" i="9"/>
  <c r="S117" i="9"/>
  <c r="S118" i="9"/>
  <c r="S119" i="9"/>
  <c r="S120" i="9"/>
  <c r="S121" i="9"/>
  <c r="S122" i="9"/>
  <c r="S123" i="9"/>
  <c r="S124" i="9"/>
  <c r="S125" i="9"/>
  <c r="S126" i="9"/>
  <c r="S127" i="9"/>
  <c r="S128" i="9"/>
  <c r="S129" i="9"/>
  <c r="S130" i="9"/>
  <c r="S131" i="9"/>
  <c r="S132" i="9"/>
  <c r="S133" i="9"/>
  <c r="S134" i="9"/>
  <c r="S135" i="9"/>
  <c r="S136" i="9"/>
  <c r="S137" i="9"/>
  <c r="S138" i="9"/>
  <c r="S139" i="9"/>
  <c r="S140" i="9"/>
  <c r="S141" i="9"/>
  <c r="S142" i="9"/>
  <c r="S143" i="9"/>
  <c r="S144" i="9"/>
  <c r="S145" i="9"/>
  <c r="S146" i="9"/>
  <c r="S147" i="9"/>
  <c r="S148" i="9"/>
  <c r="S149" i="9"/>
  <c r="S150" i="9"/>
  <c r="S151" i="9"/>
  <c r="S152" i="9"/>
  <c r="S153" i="9"/>
  <c r="S154" i="9"/>
  <c r="S155" i="9"/>
  <c r="S156" i="9"/>
  <c r="S157" i="9"/>
  <c r="S158" i="9"/>
  <c r="S159" i="9"/>
  <c r="S160" i="9"/>
  <c r="S161" i="9"/>
  <c r="S162" i="9"/>
  <c r="S163" i="9"/>
  <c r="S164" i="9"/>
  <c r="S165" i="9"/>
  <c r="S166" i="9"/>
  <c r="S167" i="9"/>
  <c r="S168" i="9"/>
  <c r="S169" i="9"/>
  <c r="S170" i="9"/>
  <c r="S171" i="9"/>
  <c r="S172" i="9"/>
  <c r="S173" i="9"/>
  <c r="S174" i="9"/>
  <c r="S175" i="9"/>
  <c r="S176" i="9"/>
  <c r="S177" i="9"/>
  <c r="S178" i="9"/>
  <c r="S179" i="9"/>
  <c r="S180" i="9"/>
  <c r="S181" i="9"/>
  <c r="S182" i="9"/>
  <c r="S183" i="9"/>
  <c r="S184" i="9"/>
  <c r="S185" i="9"/>
  <c r="S186" i="9"/>
  <c r="S187" i="9"/>
  <c r="S188" i="9"/>
  <c r="S189" i="9"/>
  <c r="S190" i="9"/>
  <c r="S191" i="9"/>
  <c r="S192" i="9"/>
  <c r="S193" i="9"/>
  <c r="S194" i="9"/>
  <c r="S195" i="9"/>
  <c r="S196" i="9"/>
  <c r="S197" i="9"/>
  <c r="S198" i="9"/>
  <c r="S199" i="9"/>
  <c r="S200" i="9"/>
  <c r="S201" i="9"/>
  <c r="S202" i="9"/>
  <c r="S203" i="9"/>
  <c r="S204" i="9"/>
  <c r="S205" i="9"/>
  <c r="S206" i="9"/>
  <c r="S207" i="9"/>
  <c r="S208" i="9"/>
  <c r="S209" i="9"/>
  <c r="S210" i="9"/>
  <c r="S211" i="9"/>
  <c r="S212" i="9"/>
  <c r="S213" i="9"/>
  <c r="S214" i="9"/>
  <c r="S215" i="9"/>
  <c r="S216" i="9"/>
  <c r="S217" i="9"/>
  <c r="S218" i="9"/>
  <c r="S219" i="9"/>
  <c r="S220" i="9"/>
  <c r="S221" i="9"/>
  <c r="S222" i="9"/>
  <c r="S223" i="9"/>
  <c r="S224" i="9"/>
  <c r="S225" i="9"/>
  <c r="S226" i="9"/>
  <c r="S227" i="9"/>
  <c r="S228" i="9"/>
  <c r="S229" i="9"/>
  <c r="S230" i="9"/>
  <c r="S231" i="9"/>
  <c r="S232" i="9"/>
  <c r="S233" i="9"/>
  <c r="S234" i="9"/>
  <c r="S235" i="9"/>
  <c r="S236" i="9"/>
  <c r="S237" i="9"/>
  <c r="S238" i="9"/>
  <c r="S239" i="9"/>
  <c r="S240" i="9"/>
  <c r="S241" i="9"/>
  <c r="S242" i="9"/>
  <c r="S243" i="9"/>
  <c r="S244" i="9"/>
  <c r="S245" i="9"/>
  <c r="S246" i="9"/>
  <c r="S247" i="9"/>
  <c r="S248" i="9"/>
  <c r="S249" i="9"/>
  <c r="S250" i="9"/>
  <c r="S251" i="9"/>
  <c r="S252" i="9"/>
  <c r="S253" i="9"/>
  <c r="S254" i="9"/>
  <c r="S255" i="9"/>
  <c r="S256" i="9"/>
  <c r="S257" i="9"/>
  <c r="S258" i="9"/>
  <c r="S259" i="9"/>
  <c r="S260" i="9"/>
  <c r="S261" i="9"/>
  <c r="S262" i="9"/>
  <c r="S263" i="9"/>
  <c r="S264" i="9"/>
  <c r="S265" i="9"/>
  <c r="S266" i="9"/>
  <c r="S267" i="9"/>
  <c r="S268" i="9"/>
  <c r="S269" i="9"/>
  <c r="S270" i="9"/>
  <c r="S271" i="9"/>
  <c r="S272" i="9"/>
  <c r="S273" i="9"/>
  <c r="S274" i="9"/>
  <c r="S275" i="9"/>
  <c r="S276" i="9"/>
  <c r="S277" i="9"/>
  <c r="S278" i="9"/>
  <c r="S279" i="9"/>
  <c r="S280" i="9"/>
  <c r="S281" i="9"/>
  <c r="S282" i="9"/>
  <c r="S283" i="9"/>
  <c r="S284" i="9"/>
  <c r="S285" i="9"/>
  <c r="S286" i="9"/>
  <c r="S287" i="9"/>
  <c r="S288" i="9"/>
  <c r="S289" i="9"/>
  <c r="S290" i="9"/>
  <c r="S291" i="9"/>
  <c r="S292" i="9"/>
  <c r="S293" i="9"/>
  <c r="S294" i="9"/>
  <c r="S295" i="9"/>
  <c r="S296" i="9"/>
  <c r="S297" i="9"/>
  <c r="S298" i="9"/>
  <c r="S299" i="9"/>
  <c r="S300" i="9"/>
  <c r="S301" i="9"/>
  <c r="S302" i="9"/>
  <c r="S303" i="9"/>
  <c r="S304" i="9"/>
  <c r="S305" i="9"/>
  <c r="S306" i="9"/>
  <c r="S307" i="9"/>
  <c r="S308" i="9"/>
  <c r="S309" i="9"/>
  <c r="S310" i="9"/>
  <c r="S311" i="9"/>
  <c r="S312" i="9"/>
  <c r="S313" i="9"/>
  <c r="S314" i="9"/>
  <c r="S315" i="9"/>
  <c r="S316" i="9"/>
  <c r="S317" i="9"/>
  <c r="S318" i="9"/>
  <c r="S319" i="9"/>
  <c r="S320" i="9"/>
  <c r="S321" i="9"/>
  <c r="S322" i="9"/>
  <c r="S323" i="9"/>
  <c r="S324" i="9"/>
  <c r="S325" i="9"/>
  <c r="S326" i="9"/>
  <c r="S327" i="9"/>
  <c r="S328" i="9"/>
  <c r="S329" i="9"/>
  <c r="S330" i="9"/>
  <c r="S331" i="9"/>
  <c r="S332" i="9"/>
  <c r="S333" i="9"/>
  <c r="S334" i="9"/>
  <c r="S335" i="9"/>
  <c r="S336" i="9"/>
  <c r="S337" i="9"/>
  <c r="S338" i="9"/>
  <c r="S339" i="9"/>
  <c r="S340" i="9"/>
  <c r="S341" i="9"/>
  <c r="S342" i="9"/>
  <c r="S343" i="9"/>
  <c r="S344" i="9"/>
  <c r="S345" i="9"/>
  <c r="S346" i="9"/>
  <c r="S347" i="9"/>
  <c r="S348" i="9"/>
  <c r="S349" i="9"/>
  <c r="S350" i="9"/>
  <c r="S351" i="9"/>
  <c r="S352" i="9"/>
  <c r="S353" i="9"/>
  <c r="S354" i="9"/>
  <c r="S355" i="9"/>
  <c r="S356" i="9"/>
  <c r="S357" i="9"/>
  <c r="S358" i="9"/>
  <c r="S359" i="9"/>
  <c r="S360" i="9"/>
  <c r="S361" i="9"/>
  <c r="S362" i="9"/>
  <c r="S363" i="9"/>
  <c r="S364" i="9"/>
  <c r="S365" i="9"/>
  <c r="S366" i="9"/>
  <c r="S367" i="9"/>
  <c r="S368" i="9"/>
  <c r="S369" i="9"/>
  <c r="S370" i="9"/>
  <c r="S371" i="9"/>
  <c r="S372" i="9"/>
  <c r="S373" i="9"/>
  <c r="S374" i="9"/>
  <c r="S375" i="9"/>
  <c r="S376" i="9"/>
  <c r="S377" i="9"/>
  <c r="S378" i="9"/>
  <c r="S379" i="9"/>
  <c r="S380" i="9"/>
  <c r="S381" i="9"/>
  <c r="S382" i="9"/>
  <c r="S383" i="9"/>
  <c r="S384" i="9"/>
  <c r="S385" i="9"/>
  <c r="S386" i="9"/>
  <c r="S387" i="9"/>
  <c r="S388" i="9"/>
  <c r="S389" i="9"/>
  <c r="S390" i="9"/>
  <c r="S391" i="9"/>
  <c r="S392" i="9"/>
  <c r="S393" i="9"/>
  <c r="S394" i="9"/>
  <c r="S395" i="9"/>
  <c r="S396" i="9"/>
  <c r="S397" i="9"/>
  <c r="S398" i="9"/>
  <c r="S399" i="9"/>
  <c r="S400" i="9"/>
  <c r="S401" i="9"/>
  <c r="S402" i="9"/>
  <c r="S403" i="9"/>
  <c r="S404" i="9"/>
  <c r="S405" i="9"/>
  <c r="S406" i="9"/>
  <c r="S407" i="9"/>
  <c r="S408" i="9"/>
  <c r="S409" i="9"/>
  <c r="S410" i="9"/>
  <c r="S411" i="9"/>
  <c r="S412" i="9"/>
  <c r="S413" i="9"/>
  <c r="S414" i="9"/>
  <c r="S415" i="9"/>
  <c r="S416" i="9"/>
  <c r="S417" i="9"/>
  <c r="S418" i="9"/>
  <c r="S419" i="9"/>
  <c r="S420" i="9"/>
  <c r="S421" i="9"/>
  <c r="S422" i="9"/>
  <c r="S423" i="9"/>
  <c r="S424" i="9"/>
  <c r="S425" i="9"/>
  <c r="S426" i="9"/>
  <c r="S427" i="9"/>
  <c r="S428" i="9"/>
  <c r="S429" i="9"/>
  <c r="S430" i="9"/>
  <c r="S431" i="9"/>
  <c r="S432" i="9"/>
  <c r="S433" i="9"/>
  <c r="S434" i="9"/>
  <c r="S435" i="9"/>
  <c r="S436" i="9"/>
  <c r="S437" i="9"/>
  <c r="S438" i="9"/>
  <c r="S439" i="9"/>
  <c r="S440" i="9"/>
  <c r="S441" i="9"/>
  <c r="S442" i="9"/>
  <c r="S443" i="9"/>
  <c r="S444" i="9"/>
  <c r="S445" i="9"/>
  <c r="S446" i="9"/>
  <c r="S447" i="9"/>
  <c r="S448" i="9"/>
  <c r="S449" i="9"/>
  <c r="S450" i="9"/>
  <c r="S451" i="9"/>
  <c r="S452" i="9"/>
  <c r="S453" i="9"/>
  <c r="S454" i="9"/>
  <c r="S455" i="9"/>
  <c r="S456" i="9"/>
  <c r="S457" i="9"/>
  <c r="S458" i="9"/>
  <c r="S459" i="9"/>
  <c r="S460" i="9"/>
  <c r="S461" i="9"/>
  <c r="S462" i="9"/>
  <c r="S463" i="9"/>
  <c r="S464" i="9"/>
  <c r="S465" i="9"/>
  <c r="S466" i="9"/>
  <c r="S467" i="9"/>
  <c r="S468" i="9"/>
  <c r="S469" i="9"/>
  <c r="S470" i="9"/>
  <c r="S471" i="9"/>
  <c r="S472" i="9"/>
  <c r="S473" i="9"/>
  <c r="S474" i="9"/>
  <c r="S475" i="9"/>
  <c r="S476" i="9"/>
  <c r="S477" i="9"/>
  <c r="S478" i="9"/>
  <c r="S479" i="9"/>
  <c r="S480" i="9"/>
  <c r="S481" i="9"/>
  <c r="S482" i="9"/>
  <c r="S483" i="9"/>
  <c r="S484" i="9"/>
  <c r="S485" i="9"/>
  <c r="S486" i="9"/>
  <c r="S487" i="9"/>
  <c r="S488" i="9"/>
  <c r="S489" i="9"/>
  <c r="S490" i="9"/>
  <c r="S491" i="9"/>
  <c r="S492" i="9"/>
  <c r="S493" i="9"/>
  <c r="L2" i="9" l="1"/>
  <c r="L3" i="9"/>
  <c r="L4" i="9"/>
  <c r="L5" i="9"/>
  <c r="L6" i="9"/>
  <c r="L7" i="9"/>
  <c r="L8" i="9"/>
  <c r="L9" i="9"/>
  <c r="L10" i="9"/>
  <c r="L11" i="9"/>
  <c r="L12" i="9"/>
  <c r="L13" i="9"/>
  <c r="L14" i="9"/>
  <c r="L15" i="9"/>
  <c r="L16" i="9"/>
  <c r="L17" i="9"/>
  <c r="L18" i="9"/>
  <c r="L19" i="9"/>
  <c r="L20" i="9"/>
  <c r="L21" i="9"/>
  <c r="L22" i="9"/>
  <c r="L23" i="9"/>
  <c r="L24" i="9"/>
  <c r="L25" i="9"/>
  <c r="L26" i="9"/>
  <c r="L27" i="9"/>
  <c r="L28" i="9"/>
  <c r="L29" i="9"/>
  <c r="L30" i="9"/>
  <c r="L31" i="9"/>
  <c r="L32" i="9"/>
  <c r="L33" i="9"/>
  <c r="L34" i="9"/>
  <c r="L35" i="9"/>
  <c r="L36" i="9"/>
  <c r="L37" i="9"/>
  <c r="L38" i="9"/>
  <c r="L39" i="9"/>
  <c r="L40" i="9"/>
  <c r="L41" i="9"/>
  <c r="L42" i="9"/>
  <c r="L43" i="9"/>
  <c r="L44" i="9"/>
  <c r="L45" i="9"/>
  <c r="L46" i="9"/>
  <c r="L47" i="9"/>
  <c r="L48" i="9"/>
  <c r="L49" i="9"/>
  <c r="L50" i="9"/>
  <c r="L51" i="9"/>
  <c r="L52" i="9"/>
  <c r="L53" i="9"/>
  <c r="L54" i="9"/>
  <c r="L55" i="9"/>
  <c r="L56" i="9"/>
  <c r="L57" i="9"/>
  <c r="L58" i="9"/>
  <c r="L59" i="9"/>
  <c r="L60" i="9"/>
  <c r="L61" i="9"/>
  <c r="L62" i="9"/>
  <c r="L63" i="9"/>
  <c r="L64" i="9"/>
  <c r="L65" i="9"/>
  <c r="L66" i="9"/>
  <c r="L67" i="9"/>
  <c r="L68" i="9"/>
  <c r="L69" i="9"/>
  <c r="L70" i="9"/>
  <c r="L71" i="9"/>
  <c r="L72" i="9"/>
  <c r="L73" i="9"/>
  <c r="L74" i="9"/>
  <c r="L75" i="9"/>
  <c r="L76" i="9"/>
  <c r="L77" i="9"/>
  <c r="L78" i="9"/>
  <c r="L79" i="9"/>
  <c r="L80" i="9"/>
  <c r="L81" i="9"/>
  <c r="L82" i="9"/>
  <c r="L83" i="9"/>
  <c r="L84" i="9"/>
  <c r="L85" i="9"/>
  <c r="L86" i="9"/>
  <c r="L87" i="9"/>
  <c r="L88" i="9"/>
  <c r="L89" i="9"/>
  <c r="L90" i="9"/>
  <c r="L91" i="9"/>
  <c r="L92" i="9"/>
  <c r="L93" i="9"/>
  <c r="L94" i="9"/>
  <c r="L95" i="9"/>
  <c r="L96" i="9"/>
  <c r="L97" i="9"/>
  <c r="L98" i="9"/>
  <c r="L99" i="9"/>
  <c r="L100" i="9"/>
  <c r="L101" i="9"/>
  <c r="L102" i="9"/>
  <c r="L103" i="9"/>
  <c r="L104" i="9"/>
  <c r="L105" i="9"/>
  <c r="L106" i="9"/>
  <c r="L107" i="9"/>
  <c r="L108" i="9"/>
  <c r="L109" i="9"/>
  <c r="L110" i="9"/>
  <c r="L111" i="9"/>
  <c r="L112" i="9"/>
  <c r="L113" i="9"/>
  <c r="L114" i="9"/>
  <c r="L115" i="9"/>
  <c r="L116" i="9"/>
  <c r="L117" i="9"/>
  <c r="L118" i="9"/>
  <c r="L119" i="9"/>
  <c r="L120" i="9"/>
  <c r="L121" i="9"/>
  <c r="L122" i="9"/>
  <c r="L123" i="9"/>
  <c r="L124" i="9"/>
  <c r="L125" i="9"/>
  <c r="L126" i="9"/>
  <c r="L127" i="9"/>
  <c r="L128" i="9"/>
  <c r="L129" i="9"/>
  <c r="L130" i="9"/>
  <c r="L131" i="9"/>
  <c r="L132" i="9"/>
  <c r="L133" i="9"/>
  <c r="L134" i="9"/>
  <c r="L135" i="9"/>
  <c r="L136" i="9"/>
  <c r="L137" i="9"/>
  <c r="L138" i="9"/>
  <c r="L139" i="9"/>
  <c r="L140" i="9"/>
  <c r="L141" i="9"/>
  <c r="L142" i="9"/>
  <c r="L143" i="9"/>
  <c r="L144" i="9"/>
  <c r="L145" i="9"/>
  <c r="L146" i="9"/>
  <c r="L147" i="9"/>
  <c r="L148" i="9"/>
  <c r="L149" i="9"/>
  <c r="L150" i="9"/>
  <c r="L151" i="9"/>
  <c r="L152" i="9"/>
  <c r="L153" i="9"/>
  <c r="L154" i="9"/>
  <c r="L155" i="9"/>
  <c r="L156" i="9"/>
  <c r="L157" i="9"/>
  <c r="L158" i="9"/>
  <c r="L159" i="9"/>
  <c r="L160" i="9"/>
  <c r="L161" i="9"/>
  <c r="L162" i="9"/>
  <c r="L163" i="9"/>
  <c r="L164" i="9"/>
  <c r="L165" i="9"/>
  <c r="L166" i="9"/>
  <c r="L167" i="9"/>
  <c r="L168" i="9"/>
  <c r="L169" i="9"/>
  <c r="L170" i="9"/>
  <c r="L171" i="9"/>
  <c r="L172" i="9"/>
  <c r="L173" i="9"/>
  <c r="L174" i="9"/>
  <c r="L175" i="9"/>
  <c r="L176" i="9"/>
  <c r="L177" i="9"/>
  <c r="L178" i="9"/>
  <c r="L179" i="9"/>
  <c r="L180" i="9"/>
  <c r="L181" i="9"/>
  <c r="L182" i="9"/>
  <c r="L183" i="9"/>
  <c r="L184" i="9"/>
  <c r="L185" i="9"/>
  <c r="L186" i="9"/>
  <c r="L187" i="9"/>
  <c r="L188" i="9"/>
  <c r="L189" i="9"/>
  <c r="L190" i="9"/>
  <c r="L191" i="9"/>
  <c r="L192" i="9"/>
  <c r="L193" i="9"/>
  <c r="L194" i="9"/>
  <c r="L195" i="9"/>
  <c r="L196" i="9"/>
  <c r="L197" i="9"/>
  <c r="L198" i="9"/>
  <c r="L199" i="9"/>
  <c r="L200" i="9"/>
  <c r="L201" i="9"/>
  <c r="L202" i="9"/>
  <c r="L203" i="9"/>
  <c r="L204" i="9"/>
  <c r="L205" i="9"/>
  <c r="L206" i="9"/>
  <c r="L207" i="9"/>
  <c r="L208" i="9"/>
  <c r="L209" i="9"/>
  <c r="L210" i="9"/>
  <c r="L211" i="9"/>
  <c r="L212" i="9"/>
  <c r="L213" i="9"/>
  <c r="L214" i="9"/>
  <c r="L215" i="9"/>
  <c r="L216" i="9"/>
  <c r="L217" i="9"/>
  <c r="L218" i="9"/>
  <c r="L219" i="9"/>
  <c r="L220" i="9"/>
  <c r="L221" i="9"/>
  <c r="L222" i="9"/>
  <c r="L223" i="9"/>
  <c r="L224" i="9"/>
  <c r="L225" i="9"/>
  <c r="L226" i="9"/>
  <c r="L227" i="9"/>
  <c r="L228" i="9"/>
  <c r="L229" i="9"/>
  <c r="L230" i="9"/>
  <c r="L231" i="9"/>
  <c r="L232" i="9"/>
  <c r="L233" i="9"/>
  <c r="L234" i="9"/>
  <c r="L235" i="9"/>
  <c r="L236" i="9"/>
  <c r="L237" i="9"/>
  <c r="L238" i="9"/>
  <c r="L239" i="9"/>
  <c r="L240" i="9"/>
  <c r="L241" i="9"/>
  <c r="L242" i="9"/>
  <c r="L243" i="9"/>
  <c r="L244" i="9"/>
  <c r="L245" i="9"/>
  <c r="L246" i="9"/>
  <c r="L247" i="9"/>
  <c r="L248" i="9"/>
  <c r="L249" i="9"/>
  <c r="L250" i="9"/>
  <c r="L251" i="9"/>
  <c r="L252" i="9"/>
  <c r="L253" i="9"/>
  <c r="L254" i="9"/>
  <c r="L255" i="9"/>
  <c r="L256" i="9"/>
  <c r="L257" i="9"/>
  <c r="L258" i="9"/>
  <c r="L259" i="9"/>
  <c r="L260" i="9"/>
  <c r="L261" i="9"/>
  <c r="L262" i="9"/>
  <c r="L263" i="9"/>
  <c r="L264" i="9"/>
  <c r="L265" i="9"/>
  <c r="L266" i="9"/>
  <c r="L267" i="9"/>
  <c r="L268" i="9"/>
  <c r="L269" i="9"/>
  <c r="L270" i="9"/>
  <c r="L271" i="9"/>
  <c r="L272" i="9"/>
  <c r="L273" i="9"/>
  <c r="L274" i="9"/>
  <c r="L275" i="9"/>
  <c r="L276" i="9"/>
  <c r="L277" i="9"/>
  <c r="L278" i="9"/>
  <c r="L279" i="9"/>
  <c r="L280" i="9"/>
  <c r="L281" i="9"/>
  <c r="L282" i="9"/>
  <c r="L283" i="9"/>
  <c r="L284" i="9"/>
  <c r="L285" i="9"/>
  <c r="L286" i="9"/>
  <c r="L287" i="9"/>
  <c r="L288" i="9"/>
  <c r="L289" i="9"/>
  <c r="L290" i="9"/>
  <c r="L291" i="9"/>
  <c r="L292" i="9"/>
  <c r="L293" i="9"/>
  <c r="L294" i="9"/>
  <c r="L295" i="9"/>
  <c r="L296" i="9"/>
  <c r="L297" i="9"/>
  <c r="L298" i="9"/>
  <c r="L299" i="9"/>
  <c r="L300" i="9"/>
  <c r="L301" i="9"/>
  <c r="L302" i="9"/>
  <c r="L303" i="9"/>
  <c r="L304" i="9"/>
  <c r="L305" i="9"/>
  <c r="L306" i="9"/>
  <c r="L307" i="9"/>
  <c r="L308" i="9"/>
  <c r="L309" i="9"/>
  <c r="L310" i="9"/>
  <c r="L311" i="9"/>
  <c r="L312" i="9"/>
  <c r="L313" i="9"/>
  <c r="L314" i="9"/>
  <c r="L315" i="9"/>
  <c r="L316" i="9"/>
  <c r="L317" i="9"/>
  <c r="L318" i="9"/>
  <c r="L319" i="9"/>
  <c r="L320" i="9"/>
  <c r="L321" i="9"/>
  <c r="L322" i="9"/>
  <c r="L323" i="9"/>
  <c r="L324" i="9"/>
  <c r="L325" i="9"/>
  <c r="L326" i="9"/>
  <c r="L327" i="9"/>
  <c r="L328" i="9"/>
  <c r="L329" i="9"/>
  <c r="L330" i="9"/>
  <c r="L331" i="9"/>
  <c r="L332" i="9"/>
  <c r="L333" i="9"/>
  <c r="L334" i="9"/>
  <c r="L335" i="9"/>
  <c r="L336" i="9"/>
  <c r="L337" i="9"/>
  <c r="L338" i="9"/>
  <c r="L339" i="9"/>
  <c r="L340" i="9"/>
  <c r="L341" i="9"/>
  <c r="L342" i="9"/>
  <c r="L343" i="9"/>
  <c r="L344" i="9"/>
  <c r="L345" i="9"/>
  <c r="L346" i="9"/>
  <c r="L347" i="9"/>
  <c r="L348" i="9"/>
  <c r="L349" i="9"/>
  <c r="L350" i="9"/>
  <c r="L351" i="9"/>
  <c r="L352" i="9"/>
  <c r="L353" i="9"/>
  <c r="L354" i="9"/>
  <c r="L355" i="9"/>
  <c r="L356" i="9"/>
  <c r="L357" i="9"/>
  <c r="L358" i="9"/>
  <c r="L359" i="9"/>
  <c r="L360" i="9"/>
  <c r="L361" i="9"/>
  <c r="L362" i="9"/>
  <c r="L363" i="9"/>
  <c r="L364" i="9"/>
  <c r="L365" i="9"/>
  <c r="L366" i="9"/>
  <c r="L367" i="9"/>
  <c r="L368" i="9"/>
  <c r="L369" i="9"/>
  <c r="L370" i="9"/>
  <c r="L371" i="9"/>
  <c r="L372" i="9"/>
  <c r="L373" i="9"/>
  <c r="L374" i="9"/>
  <c r="L375" i="9"/>
  <c r="L376" i="9"/>
  <c r="L377" i="9"/>
  <c r="L378" i="9"/>
  <c r="L379" i="9"/>
  <c r="L380" i="9"/>
  <c r="L381" i="9"/>
  <c r="L382" i="9"/>
  <c r="L383" i="9"/>
  <c r="L384" i="9"/>
  <c r="L385" i="9"/>
  <c r="L386" i="9"/>
  <c r="L387" i="9"/>
  <c r="L388" i="9"/>
  <c r="L389" i="9"/>
  <c r="L390" i="9"/>
  <c r="L391" i="9"/>
  <c r="L392" i="9"/>
  <c r="L393" i="9"/>
  <c r="L394" i="9"/>
  <c r="L395" i="9"/>
  <c r="L396" i="9"/>
  <c r="L397" i="9"/>
  <c r="L398" i="9"/>
  <c r="L399" i="9"/>
  <c r="L400" i="9"/>
  <c r="L401" i="9"/>
  <c r="L402" i="9"/>
  <c r="L403" i="9"/>
  <c r="L404" i="9"/>
  <c r="L405" i="9"/>
  <c r="L406" i="9"/>
  <c r="L407" i="9"/>
  <c r="L408" i="9"/>
  <c r="L409" i="9"/>
  <c r="L410" i="9"/>
  <c r="L411" i="9"/>
  <c r="L412" i="9"/>
  <c r="L413" i="9"/>
  <c r="L414" i="9"/>
  <c r="L415" i="9"/>
  <c r="L416" i="9"/>
  <c r="L417" i="9"/>
  <c r="L418" i="9"/>
  <c r="L419" i="9"/>
  <c r="L420" i="9"/>
  <c r="L421" i="9"/>
  <c r="L422" i="9"/>
  <c r="L423" i="9"/>
  <c r="L424" i="9"/>
  <c r="L425" i="9"/>
  <c r="L426" i="9"/>
  <c r="L427" i="9"/>
  <c r="L428" i="9"/>
  <c r="L429" i="9"/>
  <c r="L430" i="9"/>
  <c r="L431" i="9"/>
  <c r="L432" i="9"/>
  <c r="L433" i="9"/>
  <c r="L434" i="9"/>
  <c r="L435" i="9"/>
  <c r="L436" i="9"/>
  <c r="L437" i="9"/>
  <c r="L438" i="9"/>
  <c r="L439" i="9"/>
  <c r="L440" i="9"/>
  <c r="L441" i="9"/>
  <c r="L442" i="9"/>
  <c r="L443" i="9"/>
  <c r="L444" i="9"/>
  <c r="L445" i="9"/>
  <c r="L446" i="9"/>
  <c r="L447" i="9"/>
  <c r="L448" i="9"/>
  <c r="L449" i="9"/>
  <c r="L450" i="9"/>
  <c r="L451" i="9"/>
  <c r="L452" i="9"/>
  <c r="L453" i="9"/>
  <c r="L454" i="9"/>
  <c r="L455" i="9"/>
  <c r="L456" i="9"/>
  <c r="L457" i="9"/>
  <c r="L458" i="9"/>
  <c r="L459" i="9"/>
  <c r="L460" i="9"/>
  <c r="L461" i="9"/>
  <c r="L462" i="9"/>
  <c r="L463" i="9"/>
  <c r="L464" i="9"/>
  <c r="L465" i="9"/>
  <c r="L466" i="9"/>
  <c r="L467" i="9"/>
  <c r="L468" i="9"/>
  <c r="L469" i="9"/>
  <c r="L470" i="9"/>
  <c r="L471" i="9"/>
  <c r="L472" i="9"/>
  <c r="L473" i="9"/>
  <c r="L474" i="9"/>
  <c r="L475" i="9"/>
  <c r="L476" i="9"/>
  <c r="L477" i="9"/>
  <c r="L478" i="9"/>
  <c r="L479" i="9"/>
  <c r="L480" i="9"/>
  <c r="L481" i="9"/>
  <c r="L482" i="9"/>
  <c r="L483" i="9"/>
  <c r="L484" i="9"/>
  <c r="L485" i="9"/>
  <c r="L486" i="9"/>
  <c r="L487" i="9"/>
  <c r="L488" i="9"/>
  <c r="L489" i="9"/>
  <c r="L490" i="9"/>
  <c r="L491" i="9"/>
  <c r="L492" i="9"/>
  <c r="L493" i="9"/>
  <c r="J2" i="9"/>
  <c r="J3" i="9"/>
  <c r="R3" i="9" s="1"/>
  <c r="J4" i="9"/>
  <c r="R4" i="9" s="1"/>
  <c r="J5" i="9"/>
  <c r="R5" i="9" s="1"/>
  <c r="J6" i="9"/>
  <c r="R6" i="9" s="1"/>
  <c r="J7" i="9"/>
  <c r="R7" i="9" s="1"/>
  <c r="J8" i="9"/>
  <c r="R8" i="9" s="1"/>
  <c r="J9" i="9"/>
  <c r="R9" i="9" s="1"/>
  <c r="J10" i="9"/>
  <c r="R10" i="9" s="1"/>
  <c r="J11" i="9"/>
  <c r="R11" i="9" s="1"/>
  <c r="J12" i="9"/>
  <c r="R12" i="9" s="1"/>
  <c r="J13" i="9"/>
  <c r="R13" i="9" s="1"/>
  <c r="J14" i="9"/>
  <c r="R14" i="9" s="1"/>
  <c r="J15" i="9"/>
  <c r="R15" i="9" s="1"/>
  <c r="J16" i="9"/>
  <c r="R16" i="9" s="1"/>
  <c r="J17" i="9"/>
  <c r="R17" i="9" s="1"/>
  <c r="J18" i="9"/>
  <c r="R18" i="9" s="1"/>
  <c r="J19" i="9"/>
  <c r="R19" i="9" s="1"/>
  <c r="J20" i="9"/>
  <c r="R20" i="9" s="1"/>
  <c r="J21" i="9"/>
  <c r="R21" i="9" s="1"/>
  <c r="J22" i="9"/>
  <c r="R22" i="9" s="1"/>
  <c r="J23" i="9"/>
  <c r="R23" i="9" s="1"/>
  <c r="J24" i="9"/>
  <c r="R24" i="9" s="1"/>
  <c r="J25" i="9"/>
  <c r="R25" i="9" s="1"/>
  <c r="J26" i="9"/>
  <c r="R26" i="9" s="1"/>
  <c r="J27" i="9"/>
  <c r="R27" i="9" s="1"/>
  <c r="J28" i="9"/>
  <c r="R28" i="9" s="1"/>
  <c r="J29" i="9"/>
  <c r="R29" i="9" s="1"/>
  <c r="J30" i="9"/>
  <c r="R30" i="9" s="1"/>
  <c r="J31" i="9"/>
  <c r="R31" i="9" s="1"/>
  <c r="J32" i="9"/>
  <c r="R32" i="9" s="1"/>
  <c r="J33" i="9"/>
  <c r="R33" i="9" s="1"/>
  <c r="J34" i="9"/>
  <c r="R34" i="9" s="1"/>
  <c r="J35" i="9"/>
  <c r="R35" i="9" s="1"/>
  <c r="J36" i="9"/>
  <c r="R36" i="9" s="1"/>
  <c r="J37" i="9"/>
  <c r="R37" i="9" s="1"/>
  <c r="J38" i="9"/>
  <c r="R38" i="9" s="1"/>
  <c r="J39" i="9"/>
  <c r="R39" i="9" s="1"/>
  <c r="J40" i="9"/>
  <c r="R40" i="9" s="1"/>
  <c r="J41" i="9"/>
  <c r="R41" i="9" s="1"/>
  <c r="J42" i="9"/>
  <c r="R42" i="9" s="1"/>
  <c r="J43" i="9"/>
  <c r="R43" i="9" s="1"/>
  <c r="J44" i="9"/>
  <c r="R44" i="9" s="1"/>
  <c r="J45" i="9"/>
  <c r="R45" i="9" s="1"/>
  <c r="J46" i="9"/>
  <c r="R46" i="9" s="1"/>
  <c r="J47" i="9"/>
  <c r="R47" i="9" s="1"/>
  <c r="J48" i="9"/>
  <c r="R48" i="9" s="1"/>
  <c r="J49" i="9"/>
  <c r="R49" i="9" s="1"/>
  <c r="J50" i="9"/>
  <c r="R50" i="9" s="1"/>
  <c r="J51" i="9"/>
  <c r="R51" i="9" s="1"/>
  <c r="J52" i="9"/>
  <c r="R52" i="9" s="1"/>
  <c r="J53" i="9"/>
  <c r="R53" i="9" s="1"/>
  <c r="J54" i="9"/>
  <c r="R54" i="9" s="1"/>
  <c r="J55" i="9"/>
  <c r="R55" i="9" s="1"/>
  <c r="J56" i="9"/>
  <c r="R56" i="9" s="1"/>
  <c r="J57" i="9"/>
  <c r="R57" i="9" s="1"/>
  <c r="J58" i="9"/>
  <c r="R58" i="9" s="1"/>
  <c r="J59" i="9"/>
  <c r="R59" i="9" s="1"/>
  <c r="J60" i="9"/>
  <c r="R60" i="9" s="1"/>
  <c r="J61" i="9"/>
  <c r="R61" i="9" s="1"/>
  <c r="J62" i="9"/>
  <c r="R62" i="9" s="1"/>
  <c r="J63" i="9"/>
  <c r="R63" i="9" s="1"/>
  <c r="J64" i="9"/>
  <c r="R64" i="9" s="1"/>
  <c r="J65" i="9"/>
  <c r="R65" i="9" s="1"/>
  <c r="J66" i="9"/>
  <c r="R66" i="9" s="1"/>
  <c r="J67" i="9"/>
  <c r="R67" i="9" s="1"/>
  <c r="J68" i="9"/>
  <c r="R68" i="9" s="1"/>
  <c r="J69" i="9"/>
  <c r="R69" i="9" s="1"/>
  <c r="J70" i="9"/>
  <c r="R70" i="9" s="1"/>
  <c r="J71" i="9"/>
  <c r="R71" i="9" s="1"/>
  <c r="J72" i="9"/>
  <c r="R72" i="9" s="1"/>
  <c r="J73" i="9"/>
  <c r="R73" i="9" s="1"/>
  <c r="J74" i="9"/>
  <c r="R74" i="9" s="1"/>
  <c r="J75" i="9"/>
  <c r="R75" i="9" s="1"/>
  <c r="J76" i="9"/>
  <c r="R76" i="9" s="1"/>
  <c r="J77" i="9"/>
  <c r="R77" i="9" s="1"/>
  <c r="J78" i="9"/>
  <c r="R78" i="9" s="1"/>
  <c r="J79" i="9"/>
  <c r="R79" i="9" s="1"/>
  <c r="J80" i="9"/>
  <c r="R80" i="9" s="1"/>
  <c r="J81" i="9"/>
  <c r="R81" i="9" s="1"/>
  <c r="J82" i="9"/>
  <c r="R82" i="9" s="1"/>
  <c r="J83" i="9"/>
  <c r="R83" i="9" s="1"/>
  <c r="J84" i="9"/>
  <c r="R84" i="9" s="1"/>
  <c r="J85" i="9"/>
  <c r="R85" i="9" s="1"/>
  <c r="J86" i="9"/>
  <c r="R86" i="9" s="1"/>
  <c r="J87" i="9"/>
  <c r="R87" i="9" s="1"/>
  <c r="J88" i="9"/>
  <c r="R88" i="9" s="1"/>
  <c r="J89" i="9"/>
  <c r="R89" i="9" s="1"/>
  <c r="J90" i="9"/>
  <c r="R90" i="9" s="1"/>
  <c r="J91" i="9"/>
  <c r="R91" i="9" s="1"/>
  <c r="J92" i="9"/>
  <c r="R92" i="9" s="1"/>
  <c r="J93" i="9"/>
  <c r="R93" i="9" s="1"/>
  <c r="J94" i="9"/>
  <c r="R94" i="9" s="1"/>
  <c r="J95" i="9"/>
  <c r="R95" i="9" s="1"/>
  <c r="J96" i="9"/>
  <c r="R96" i="9" s="1"/>
  <c r="J97" i="9"/>
  <c r="R97" i="9" s="1"/>
  <c r="J98" i="9"/>
  <c r="R98" i="9" s="1"/>
  <c r="J99" i="9"/>
  <c r="R99" i="9" s="1"/>
  <c r="J100" i="9"/>
  <c r="R100" i="9" s="1"/>
  <c r="J101" i="9"/>
  <c r="R101" i="9" s="1"/>
  <c r="J102" i="9"/>
  <c r="R102" i="9" s="1"/>
  <c r="J103" i="9"/>
  <c r="R103" i="9" s="1"/>
  <c r="J104" i="9"/>
  <c r="R104" i="9" s="1"/>
  <c r="J105" i="9"/>
  <c r="R105" i="9" s="1"/>
  <c r="J106" i="9"/>
  <c r="R106" i="9" s="1"/>
  <c r="J107" i="9"/>
  <c r="R107" i="9" s="1"/>
  <c r="J108" i="9"/>
  <c r="R108" i="9" s="1"/>
  <c r="J109" i="9"/>
  <c r="R109" i="9" s="1"/>
  <c r="J110" i="9"/>
  <c r="R110" i="9" s="1"/>
  <c r="J111" i="9"/>
  <c r="R111" i="9" s="1"/>
  <c r="J112" i="9"/>
  <c r="R112" i="9" s="1"/>
  <c r="J113" i="9"/>
  <c r="R113" i="9" s="1"/>
  <c r="J114" i="9"/>
  <c r="R114" i="9" s="1"/>
  <c r="J115" i="9"/>
  <c r="R115" i="9" s="1"/>
  <c r="J116" i="9"/>
  <c r="R116" i="9" s="1"/>
  <c r="J117" i="9"/>
  <c r="R117" i="9" s="1"/>
  <c r="J118" i="9"/>
  <c r="R118" i="9" s="1"/>
  <c r="J119" i="9"/>
  <c r="R119" i="9" s="1"/>
  <c r="J120" i="9"/>
  <c r="R120" i="9" s="1"/>
  <c r="J121" i="9"/>
  <c r="R121" i="9" s="1"/>
  <c r="J122" i="9"/>
  <c r="R122" i="9" s="1"/>
  <c r="J123" i="9"/>
  <c r="R123" i="9" s="1"/>
  <c r="J124" i="9"/>
  <c r="R124" i="9" s="1"/>
  <c r="J125" i="9"/>
  <c r="R125" i="9" s="1"/>
  <c r="J126" i="9"/>
  <c r="R126" i="9" s="1"/>
  <c r="J127" i="9"/>
  <c r="R127" i="9" s="1"/>
  <c r="J128" i="9"/>
  <c r="R128" i="9" s="1"/>
  <c r="J129" i="9"/>
  <c r="R129" i="9" s="1"/>
  <c r="J130" i="9"/>
  <c r="R130" i="9" s="1"/>
  <c r="J131" i="9"/>
  <c r="R131" i="9" s="1"/>
  <c r="J132" i="9"/>
  <c r="R132" i="9" s="1"/>
  <c r="J133" i="9"/>
  <c r="R133" i="9" s="1"/>
  <c r="J134" i="9"/>
  <c r="R134" i="9" s="1"/>
  <c r="J135" i="9"/>
  <c r="R135" i="9" s="1"/>
  <c r="J136" i="9"/>
  <c r="R136" i="9" s="1"/>
  <c r="J137" i="9"/>
  <c r="R137" i="9" s="1"/>
  <c r="J138" i="9"/>
  <c r="R138" i="9" s="1"/>
  <c r="J139" i="9"/>
  <c r="R139" i="9" s="1"/>
  <c r="J140" i="9"/>
  <c r="R140" i="9" s="1"/>
  <c r="J141" i="9"/>
  <c r="R141" i="9" s="1"/>
  <c r="J142" i="9"/>
  <c r="R142" i="9" s="1"/>
  <c r="J143" i="9"/>
  <c r="R143" i="9" s="1"/>
  <c r="J144" i="9"/>
  <c r="R144" i="9" s="1"/>
  <c r="J145" i="9"/>
  <c r="R145" i="9" s="1"/>
  <c r="J146" i="9"/>
  <c r="R146" i="9" s="1"/>
  <c r="J147" i="9"/>
  <c r="R147" i="9" s="1"/>
  <c r="J148" i="9"/>
  <c r="R148" i="9" s="1"/>
  <c r="J149" i="9"/>
  <c r="R149" i="9" s="1"/>
  <c r="J150" i="9"/>
  <c r="R150" i="9" s="1"/>
  <c r="J151" i="9"/>
  <c r="R151" i="9" s="1"/>
  <c r="J152" i="9"/>
  <c r="R152" i="9" s="1"/>
  <c r="J153" i="9"/>
  <c r="R153" i="9" s="1"/>
  <c r="J154" i="9"/>
  <c r="R154" i="9" s="1"/>
  <c r="J155" i="9"/>
  <c r="R155" i="9" s="1"/>
  <c r="J156" i="9"/>
  <c r="R156" i="9" s="1"/>
  <c r="J157" i="9"/>
  <c r="R157" i="9" s="1"/>
  <c r="J158" i="9"/>
  <c r="R158" i="9" s="1"/>
  <c r="J159" i="9"/>
  <c r="R159" i="9" s="1"/>
  <c r="J160" i="9"/>
  <c r="R160" i="9" s="1"/>
  <c r="J161" i="9"/>
  <c r="R161" i="9" s="1"/>
  <c r="J162" i="9"/>
  <c r="R162" i="9" s="1"/>
  <c r="J163" i="9"/>
  <c r="R163" i="9" s="1"/>
  <c r="J164" i="9"/>
  <c r="R164" i="9" s="1"/>
  <c r="J165" i="9"/>
  <c r="R165" i="9" s="1"/>
  <c r="J166" i="9"/>
  <c r="R166" i="9" s="1"/>
  <c r="J167" i="9"/>
  <c r="R167" i="9" s="1"/>
  <c r="J168" i="9"/>
  <c r="R168" i="9" s="1"/>
  <c r="J169" i="9"/>
  <c r="R169" i="9" s="1"/>
  <c r="J170" i="9"/>
  <c r="R170" i="9" s="1"/>
  <c r="J171" i="9"/>
  <c r="R171" i="9" s="1"/>
  <c r="J172" i="9"/>
  <c r="R172" i="9" s="1"/>
  <c r="J173" i="9"/>
  <c r="R173" i="9" s="1"/>
  <c r="J174" i="9"/>
  <c r="R174" i="9" s="1"/>
  <c r="J175" i="9"/>
  <c r="R175" i="9" s="1"/>
  <c r="J176" i="9"/>
  <c r="R176" i="9" s="1"/>
  <c r="J177" i="9"/>
  <c r="R177" i="9" s="1"/>
  <c r="J178" i="9"/>
  <c r="R178" i="9" s="1"/>
  <c r="J179" i="9"/>
  <c r="R179" i="9" s="1"/>
  <c r="J180" i="9"/>
  <c r="R180" i="9" s="1"/>
  <c r="J181" i="9"/>
  <c r="R181" i="9" s="1"/>
  <c r="J182" i="9"/>
  <c r="R182" i="9" s="1"/>
  <c r="J183" i="9"/>
  <c r="R183" i="9" s="1"/>
  <c r="J184" i="9"/>
  <c r="R184" i="9" s="1"/>
  <c r="J185" i="9"/>
  <c r="R185" i="9" s="1"/>
  <c r="J186" i="9"/>
  <c r="R186" i="9" s="1"/>
  <c r="J187" i="9"/>
  <c r="R187" i="9" s="1"/>
  <c r="J188" i="9"/>
  <c r="R188" i="9" s="1"/>
  <c r="J189" i="9"/>
  <c r="R189" i="9" s="1"/>
  <c r="J190" i="9"/>
  <c r="R190" i="9" s="1"/>
  <c r="J191" i="9"/>
  <c r="R191" i="9" s="1"/>
  <c r="J192" i="9"/>
  <c r="R192" i="9" s="1"/>
  <c r="J193" i="9"/>
  <c r="R193" i="9" s="1"/>
  <c r="J194" i="9"/>
  <c r="R194" i="9" s="1"/>
  <c r="J195" i="9"/>
  <c r="R195" i="9" s="1"/>
  <c r="J196" i="9"/>
  <c r="R196" i="9" s="1"/>
  <c r="J197" i="9"/>
  <c r="R197" i="9" s="1"/>
  <c r="J198" i="9"/>
  <c r="R198" i="9" s="1"/>
  <c r="J199" i="9"/>
  <c r="R199" i="9" s="1"/>
  <c r="J200" i="9"/>
  <c r="R200" i="9" s="1"/>
  <c r="J201" i="9"/>
  <c r="R201" i="9" s="1"/>
  <c r="J202" i="9"/>
  <c r="R202" i="9" s="1"/>
  <c r="J203" i="9"/>
  <c r="R203" i="9" s="1"/>
  <c r="J204" i="9"/>
  <c r="R204" i="9" s="1"/>
  <c r="J205" i="9"/>
  <c r="R205" i="9" s="1"/>
  <c r="J206" i="9"/>
  <c r="R206" i="9" s="1"/>
  <c r="J207" i="9"/>
  <c r="R207" i="9" s="1"/>
  <c r="J208" i="9"/>
  <c r="R208" i="9" s="1"/>
  <c r="J209" i="9"/>
  <c r="R209" i="9" s="1"/>
  <c r="J210" i="9"/>
  <c r="R210" i="9" s="1"/>
  <c r="J211" i="9"/>
  <c r="R211" i="9" s="1"/>
  <c r="J212" i="9"/>
  <c r="R212" i="9" s="1"/>
  <c r="J213" i="9"/>
  <c r="R213" i="9" s="1"/>
  <c r="J214" i="9"/>
  <c r="R214" i="9" s="1"/>
  <c r="J215" i="9"/>
  <c r="R215" i="9" s="1"/>
  <c r="J216" i="9"/>
  <c r="R216" i="9" s="1"/>
  <c r="J217" i="9"/>
  <c r="R217" i="9" s="1"/>
  <c r="J218" i="9"/>
  <c r="R218" i="9" s="1"/>
  <c r="J219" i="9"/>
  <c r="R219" i="9" s="1"/>
  <c r="J220" i="9"/>
  <c r="R220" i="9" s="1"/>
  <c r="J221" i="9"/>
  <c r="R221" i="9" s="1"/>
  <c r="J222" i="9"/>
  <c r="R222" i="9" s="1"/>
  <c r="J223" i="9"/>
  <c r="R223" i="9" s="1"/>
  <c r="J224" i="9"/>
  <c r="R224" i="9" s="1"/>
  <c r="J225" i="9"/>
  <c r="R225" i="9" s="1"/>
  <c r="J226" i="9"/>
  <c r="R226" i="9" s="1"/>
  <c r="J227" i="9"/>
  <c r="R227" i="9" s="1"/>
  <c r="J228" i="9"/>
  <c r="R228" i="9" s="1"/>
  <c r="J229" i="9"/>
  <c r="R229" i="9" s="1"/>
  <c r="J230" i="9"/>
  <c r="R230" i="9" s="1"/>
  <c r="J231" i="9"/>
  <c r="R231" i="9" s="1"/>
  <c r="J232" i="9"/>
  <c r="R232" i="9" s="1"/>
  <c r="J233" i="9"/>
  <c r="R233" i="9" s="1"/>
  <c r="J234" i="9"/>
  <c r="R234" i="9" s="1"/>
  <c r="J235" i="9"/>
  <c r="R235" i="9" s="1"/>
  <c r="J236" i="9"/>
  <c r="R236" i="9" s="1"/>
  <c r="J237" i="9"/>
  <c r="R237" i="9" s="1"/>
  <c r="J238" i="9"/>
  <c r="R238" i="9" s="1"/>
  <c r="J239" i="9"/>
  <c r="R239" i="9" s="1"/>
  <c r="J240" i="9"/>
  <c r="R240" i="9" s="1"/>
  <c r="J241" i="9"/>
  <c r="R241" i="9" s="1"/>
  <c r="J242" i="9"/>
  <c r="R242" i="9" s="1"/>
  <c r="J243" i="9"/>
  <c r="R243" i="9" s="1"/>
  <c r="J244" i="9"/>
  <c r="R244" i="9" s="1"/>
  <c r="J245" i="9"/>
  <c r="R245" i="9" s="1"/>
  <c r="J246" i="9"/>
  <c r="R246" i="9" s="1"/>
  <c r="J247" i="9"/>
  <c r="R247" i="9" s="1"/>
  <c r="J248" i="9"/>
  <c r="R248" i="9" s="1"/>
  <c r="J249" i="9"/>
  <c r="R249" i="9" s="1"/>
  <c r="J250" i="9"/>
  <c r="R250" i="9" s="1"/>
  <c r="J251" i="9"/>
  <c r="R251" i="9" s="1"/>
  <c r="J252" i="9"/>
  <c r="R252" i="9" s="1"/>
  <c r="J253" i="9"/>
  <c r="R253" i="9" s="1"/>
  <c r="J254" i="9"/>
  <c r="R254" i="9" s="1"/>
  <c r="J255" i="9"/>
  <c r="R255" i="9" s="1"/>
  <c r="J256" i="9"/>
  <c r="R256" i="9" s="1"/>
  <c r="J257" i="9"/>
  <c r="R257" i="9" s="1"/>
  <c r="J258" i="9"/>
  <c r="R258" i="9" s="1"/>
  <c r="J259" i="9"/>
  <c r="R259" i="9" s="1"/>
  <c r="J260" i="9"/>
  <c r="R260" i="9" s="1"/>
  <c r="J261" i="9"/>
  <c r="R261" i="9" s="1"/>
  <c r="J262" i="9"/>
  <c r="R262" i="9" s="1"/>
  <c r="J263" i="9"/>
  <c r="R263" i="9" s="1"/>
  <c r="J264" i="9"/>
  <c r="R264" i="9" s="1"/>
  <c r="J265" i="9"/>
  <c r="R265" i="9" s="1"/>
  <c r="J266" i="9"/>
  <c r="R266" i="9" s="1"/>
  <c r="J267" i="9"/>
  <c r="R267" i="9" s="1"/>
  <c r="J268" i="9"/>
  <c r="R268" i="9" s="1"/>
  <c r="J269" i="9"/>
  <c r="R269" i="9" s="1"/>
  <c r="J270" i="9"/>
  <c r="R270" i="9" s="1"/>
  <c r="J271" i="9"/>
  <c r="R271" i="9" s="1"/>
  <c r="J272" i="9"/>
  <c r="R272" i="9" s="1"/>
  <c r="J273" i="9"/>
  <c r="R273" i="9" s="1"/>
  <c r="J274" i="9"/>
  <c r="R274" i="9" s="1"/>
  <c r="J275" i="9"/>
  <c r="R275" i="9" s="1"/>
  <c r="J276" i="9"/>
  <c r="R276" i="9" s="1"/>
  <c r="J277" i="9"/>
  <c r="R277" i="9" s="1"/>
  <c r="J278" i="9"/>
  <c r="R278" i="9" s="1"/>
  <c r="J279" i="9"/>
  <c r="R279" i="9" s="1"/>
  <c r="J280" i="9"/>
  <c r="R280" i="9" s="1"/>
  <c r="J281" i="9"/>
  <c r="R281" i="9" s="1"/>
  <c r="J282" i="9"/>
  <c r="R282" i="9" s="1"/>
  <c r="J283" i="9"/>
  <c r="R283" i="9" s="1"/>
  <c r="J284" i="9"/>
  <c r="R284" i="9" s="1"/>
  <c r="J285" i="9"/>
  <c r="R285" i="9" s="1"/>
  <c r="J286" i="9"/>
  <c r="R286" i="9" s="1"/>
  <c r="J287" i="9"/>
  <c r="R287" i="9" s="1"/>
  <c r="J288" i="9"/>
  <c r="R288" i="9" s="1"/>
  <c r="J289" i="9"/>
  <c r="R289" i="9" s="1"/>
  <c r="J290" i="9"/>
  <c r="R290" i="9" s="1"/>
  <c r="J291" i="9"/>
  <c r="R291" i="9" s="1"/>
  <c r="J292" i="9"/>
  <c r="R292" i="9" s="1"/>
  <c r="J293" i="9"/>
  <c r="R293" i="9" s="1"/>
  <c r="J294" i="9"/>
  <c r="R294" i="9" s="1"/>
  <c r="J295" i="9"/>
  <c r="R295" i="9" s="1"/>
  <c r="J296" i="9"/>
  <c r="R296" i="9" s="1"/>
  <c r="J297" i="9"/>
  <c r="R297" i="9" s="1"/>
  <c r="J298" i="9"/>
  <c r="R298" i="9" s="1"/>
  <c r="J299" i="9"/>
  <c r="R299" i="9" s="1"/>
  <c r="J300" i="9"/>
  <c r="R300" i="9" s="1"/>
  <c r="J301" i="9"/>
  <c r="R301" i="9" s="1"/>
  <c r="J302" i="9"/>
  <c r="R302" i="9" s="1"/>
  <c r="J303" i="9"/>
  <c r="R303" i="9" s="1"/>
  <c r="J304" i="9"/>
  <c r="R304" i="9" s="1"/>
  <c r="J305" i="9"/>
  <c r="R305" i="9" s="1"/>
  <c r="J306" i="9"/>
  <c r="R306" i="9" s="1"/>
  <c r="J307" i="9"/>
  <c r="R307" i="9" s="1"/>
  <c r="J308" i="9"/>
  <c r="R308" i="9" s="1"/>
  <c r="J309" i="9"/>
  <c r="R309" i="9" s="1"/>
  <c r="J310" i="9"/>
  <c r="R310" i="9" s="1"/>
  <c r="J311" i="9"/>
  <c r="R311" i="9" s="1"/>
  <c r="J312" i="9"/>
  <c r="R312" i="9" s="1"/>
  <c r="J313" i="9"/>
  <c r="R313" i="9" s="1"/>
  <c r="J314" i="9"/>
  <c r="R314" i="9" s="1"/>
  <c r="J315" i="9"/>
  <c r="R315" i="9" s="1"/>
  <c r="J316" i="9"/>
  <c r="R316" i="9" s="1"/>
  <c r="J317" i="9"/>
  <c r="R317" i="9" s="1"/>
  <c r="J318" i="9"/>
  <c r="R318" i="9" s="1"/>
  <c r="J319" i="9"/>
  <c r="R319" i="9" s="1"/>
  <c r="J320" i="9"/>
  <c r="R320" i="9" s="1"/>
  <c r="J321" i="9"/>
  <c r="R321" i="9" s="1"/>
  <c r="J322" i="9"/>
  <c r="R322" i="9" s="1"/>
  <c r="J323" i="9"/>
  <c r="R323" i="9" s="1"/>
  <c r="J324" i="9"/>
  <c r="R324" i="9" s="1"/>
  <c r="J325" i="9"/>
  <c r="R325" i="9" s="1"/>
  <c r="J326" i="9"/>
  <c r="R326" i="9" s="1"/>
  <c r="J327" i="9"/>
  <c r="R327" i="9" s="1"/>
  <c r="J328" i="9"/>
  <c r="R328" i="9" s="1"/>
  <c r="J329" i="9"/>
  <c r="R329" i="9" s="1"/>
  <c r="J330" i="9"/>
  <c r="R330" i="9" s="1"/>
  <c r="J331" i="9"/>
  <c r="R331" i="9" s="1"/>
  <c r="J332" i="9"/>
  <c r="R332" i="9" s="1"/>
  <c r="J333" i="9"/>
  <c r="R333" i="9" s="1"/>
  <c r="J334" i="9"/>
  <c r="R334" i="9" s="1"/>
  <c r="J335" i="9"/>
  <c r="R335" i="9" s="1"/>
  <c r="J336" i="9"/>
  <c r="R336" i="9" s="1"/>
  <c r="J337" i="9"/>
  <c r="R337" i="9" s="1"/>
  <c r="J338" i="9"/>
  <c r="R338" i="9" s="1"/>
  <c r="J339" i="9"/>
  <c r="R339" i="9" s="1"/>
  <c r="J340" i="9"/>
  <c r="R340" i="9" s="1"/>
  <c r="J341" i="9"/>
  <c r="R341" i="9" s="1"/>
  <c r="J342" i="9"/>
  <c r="R342" i="9" s="1"/>
  <c r="J343" i="9"/>
  <c r="R343" i="9" s="1"/>
  <c r="J344" i="9"/>
  <c r="R344" i="9" s="1"/>
  <c r="J345" i="9"/>
  <c r="R345" i="9" s="1"/>
  <c r="J346" i="9"/>
  <c r="R346" i="9" s="1"/>
  <c r="J347" i="9"/>
  <c r="R347" i="9" s="1"/>
  <c r="J348" i="9"/>
  <c r="R348" i="9" s="1"/>
  <c r="J349" i="9"/>
  <c r="R349" i="9" s="1"/>
  <c r="J350" i="9"/>
  <c r="R350" i="9" s="1"/>
  <c r="J351" i="9"/>
  <c r="R351" i="9" s="1"/>
  <c r="J352" i="9"/>
  <c r="R352" i="9" s="1"/>
  <c r="J353" i="9"/>
  <c r="R353" i="9" s="1"/>
  <c r="J354" i="9"/>
  <c r="R354" i="9" s="1"/>
  <c r="J355" i="9"/>
  <c r="R355" i="9" s="1"/>
  <c r="J356" i="9"/>
  <c r="R356" i="9" s="1"/>
  <c r="J357" i="9"/>
  <c r="R357" i="9" s="1"/>
  <c r="J358" i="9"/>
  <c r="R358" i="9" s="1"/>
  <c r="J359" i="9"/>
  <c r="R359" i="9" s="1"/>
  <c r="J360" i="9"/>
  <c r="R360" i="9" s="1"/>
  <c r="J361" i="9"/>
  <c r="R361" i="9" s="1"/>
  <c r="J362" i="9"/>
  <c r="R362" i="9" s="1"/>
  <c r="J363" i="9"/>
  <c r="R363" i="9" s="1"/>
  <c r="J364" i="9"/>
  <c r="R364" i="9" s="1"/>
  <c r="J365" i="9"/>
  <c r="R365" i="9" s="1"/>
  <c r="J366" i="9"/>
  <c r="R366" i="9" s="1"/>
  <c r="J367" i="9"/>
  <c r="R367" i="9" s="1"/>
  <c r="J368" i="9"/>
  <c r="R368" i="9" s="1"/>
  <c r="J369" i="9"/>
  <c r="R369" i="9" s="1"/>
  <c r="J370" i="9"/>
  <c r="R370" i="9" s="1"/>
  <c r="J371" i="9"/>
  <c r="R371" i="9" s="1"/>
  <c r="J372" i="9"/>
  <c r="R372" i="9" s="1"/>
  <c r="J373" i="9"/>
  <c r="R373" i="9" s="1"/>
  <c r="J374" i="9"/>
  <c r="R374" i="9" s="1"/>
  <c r="J375" i="9"/>
  <c r="R375" i="9" s="1"/>
  <c r="J376" i="9"/>
  <c r="R376" i="9" s="1"/>
  <c r="J377" i="9"/>
  <c r="R377" i="9" s="1"/>
  <c r="J378" i="9"/>
  <c r="R378" i="9" s="1"/>
  <c r="J379" i="9"/>
  <c r="R379" i="9" s="1"/>
  <c r="J380" i="9"/>
  <c r="R380" i="9" s="1"/>
  <c r="J381" i="9"/>
  <c r="R381" i="9" s="1"/>
  <c r="J382" i="9"/>
  <c r="R382" i="9" s="1"/>
  <c r="J383" i="9"/>
  <c r="R383" i="9" s="1"/>
  <c r="J384" i="9"/>
  <c r="R384" i="9" s="1"/>
  <c r="J385" i="9"/>
  <c r="R385" i="9" s="1"/>
  <c r="J386" i="9"/>
  <c r="R386" i="9" s="1"/>
  <c r="J387" i="9"/>
  <c r="R387" i="9" s="1"/>
  <c r="J388" i="9"/>
  <c r="R388" i="9" s="1"/>
  <c r="J389" i="9"/>
  <c r="R389" i="9" s="1"/>
  <c r="J390" i="9"/>
  <c r="R390" i="9" s="1"/>
  <c r="J391" i="9"/>
  <c r="R391" i="9" s="1"/>
  <c r="J392" i="9"/>
  <c r="R392" i="9" s="1"/>
  <c r="J393" i="9"/>
  <c r="R393" i="9" s="1"/>
  <c r="J394" i="9"/>
  <c r="R394" i="9" s="1"/>
  <c r="J395" i="9"/>
  <c r="R395" i="9" s="1"/>
  <c r="J396" i="9"/>
  <c r="R396" i="9" s="1"/>
  <c r="J397" i="9"/>
  <c r="R397" i="9" s="1"/>
  <c r="J398" i="9"/>
  <c r="R398" i="9" s="1"/>
  <c r="J399" i="9"/>
  <c r="R399" i="9" s="1"/>
  <c r="J400" i="9"/>
  <c r="R400" i="9" s="1"/>
  <c r="J401" i="9"/>
  <c r="R401" i="9" s="1"/>
  <c r="J402" i="9"/>
  <c r="R402" i="9" s="1"/>
  <c r="J403" i="9"/>
  <c r="R403" i="9" s="1"/>
  <c r="J404" i="9"/>
  <c r="R404" i="9" s="1"/>
  <c r="J405" i="9"/>
  <c r="R405" i="9" s="1"/>
  <c r="J406" i="9"/>
  <c r="R406" i="9" s="1"/>
  <c r="J407" i="9"/>
  <c r="R407" i="9" s="1"/>
  <c r="J408" i="9"/>
  <c r="R408" i="9" s="1"/>
  <c r="J409" i="9"/>
  <c r="R409" i="9" s="1"/>
  <c r="J410" i="9"/>
  <c r="R410" i="9" s="1"/>
  <c r="J411" i="9"/>
  <c r="R411" i="9" s="1"/>
  <c r="J412" i="9"/>
  <c r="R412" i="9" s="1"/>
  <c r="J413" i="9"/>
  <c r="R413" i="9" s="1"/>
  <c r="J414" i="9"/>
  <c r="R414" i="9" s="1"/>
  <c r="J415" i="9"/>
  <c r="R415" i="9" s="1"/>
  <c r="J416" i="9"/>
  <c r="R416" i="9" s="1"/>
  <c r="J417" i="9"/>
  <c r="R417" i="9" s="1"/>
  <c r="J418" i="9"/>
  <c r="R418" i="9" s="1"/>
  <c r="J419" i="9"/>
  <c r="R419" i="9" s="1"/>
  <c r="J420" i="9"/>
  <c r="R420" i="9" s="1"/>
  <c r="J421" i="9"/>
  <c r="R421" i="9" s="1"/>
  <c r="J422" i="9"/>
  <c r="R422" i="9" s="1"/>
  <c r="J423" i="9"/>
  <c r="R423" i="9" s="1"/>
  <c r="J424" i="9"/>
  <c r="R424" i="9" s="1"/>
  <c r="J425" i="9"/>
  <c r="R425" i="9" s="1"/>
  <c r="J426" i="9"/>
  <c r="R426" i="9" s="1"/>
  <c r="J427" i="9"/>
  <c r="R427" i="9" s="1"/>
  <c r="J428" i="9"/>
  <c r="R428" i="9" s="1"/>
  <c r="J429" i="9"/>
  <c r="R429" i="9" s="1"/>
  <c r="J430" i="9"/>
  <c r="R430" i="9" s="1"/>
  <c r="J431" i="9"/>
  <c r="R431" i="9" s="1"/>
  <c r="J432" i="9"/>
  <c r="R432" i="9" s="1"/>
  <c r="J433" i="9"/>
  <c r="R433" i="9" s="1"/>
  <c r="J434" i="9"/>
  <c r="R434" i="9" s="1"/>
  <c r="J435" i="9"/>
  <c r="R435" i="9" s="1"/>
  <c r="J436" i="9"/>
  <c r="R436" i="9" s="1"/>
  <c r="J437" i="9"/>
  <c r="R437" i="9" s="1"/>
  <c r="J438" i="9"/>
  <c r="R438" i="9" s="1"/>
  <c r="J439" i="9"/>
  <c r="R439" i="9" s="1"/>
  <c r="J440" i="9"/>
  <c r="R440" i="9" s="1"/>
  <c r="J441" i="9"/>
  <c r="R441" i="9" s="1"/>
  <c r="J442" i="9"/>
  <c r="R442" i="9" s="1"/>
  <c r="J443" i="9"/>
  <c r="R443" i="9" s="1"/>
  <c r="J444" i="9"/>
  <c r="R444" i="9" s="1"/>
  <c r="J445" i="9"/>
  <c r="R445" i="9" s="1"/>
  <c r="J446" i="9"/>
  <c r="R446" i="9" s="1"/>
  <c r="J447" i="9"/>
  <c r="R447" i="9" s="1"/>
  <c r="J448" i="9"/>
  <c r="R448" i="9" s="1"/>
  <c r="J449" i="9"/>
  <c r="R449" i="9" s="1"/>
  <c r="J450" i="9"/>
  <c r="R450" i="9" s="1"/>
  <c r="J451" i="9"/>
  <c r="R451" i="9" s="1"/>
  <c r="J452" i="9"/>
  <c r="R452" i="9" s="1"/>
  <c r="J453" i="9"/>
  <c r="R453" i="9" s="1"/>
  <c r="J454" i="9"/>
  <c r="R454" i="9" s="1"/>
  <c r="J455" i="9"/>
  <c r="R455" i="9" s="1"/>
  <c r="J456" i="9"/>
  <c r="R456" i="9" s="1"/>
  <c r="J457" i="9"/>
  <c r="R457" i="9" s="1"/>
  <c r="J458" i="9"/>
  <c r="R458" i="9" s="1"/>
  <c r="J459" i="9"/>
  <c r="R459" i="9" s="1"/>
  <c r="J460" i="9"/>
  <c r="R460" i="9" s="1"/>
  <c r="J461" i="9"/>
  <c r="R461" i="9" s="1"/>
  <c r="J462" i="9"/>
  <c r="R462" i="9" s="1"/>
  <c r="J463" i="9"/>
  <c r="R463" i="9" s="1"/>
  <c r="J464" i="9"/>
  <c r="R464" i="9" s="1"/>
  <c r="J465" i="9"/>
  <c r="R465" i="9" s="1"/>
  <c r="J466" i="9"/>
  <c r="R466" i="9" s="1"/>
  <c r="J467" i="9"/>
  <c r="R467" i="9" s="1"/>
  <c r="J468" i="9"/>
  <c r="R468" i="9" s="1"/>
  <c r="J469" i="9"/>
  <c r="R469" i="9" s="1"/>
  <c r="J470" i="9"/>
  <c r="R470" i="9" s="1"/>
  <c r="J471" i="9"/>
  <c r="R471" i="9" s="1"/>
  <c r="J472" i="9"/>
  <c r="R472" i="9" s="1"/>
  <c r="J473" i="9"/>
  <c r="R473" i="9" s="1"/>
  <c r="J474" i="9"/>
  <c r="R474" i="9" s="1"/>
  <c r="J475" i="9"/>
  <c r="R475" i="9" s="1"/>
  <c r="J476" i="9"/>
  <c r="R476" i="9" s="1"/>
  <c r="J477" i="9"/>
  <c r="R477" i="9" s="1"/>
  <c r="J478" i="9"/>
  <c r="R478" i="9" s="1"/>
  <c r="J479" i="9"/>
  <c r="R479" i="9" s="1"/>
  <c r="J480" i="9"/>
  <c r="R480" i="9" s="1"/>
  <c r="J481" i="9"/>
  <c r="R481" i="9" s="1"/>
  <c r="J482" i="9"/>
  <c r="R482" i="9" s="1"/>
  <c r="J483" i="9"/>
  <c r="R483" i="9" s="1"/>
  <c r="J484" i="9"/>
  <c r="R484" i="9" s="1"/>
  <c r="J485" i="9"/>
  <c r="R485" i="9" s="1"/>
  <c r="J486" i="9"/>
  <c r="R486" i="9" s="1"/>
  <c r="J487" i="9"/>
  <c r="R487" i="9" s="1"/>
  <c r="J488" i="9"/>
  <c r="R488" i="9" s="1"/>
  <c r="J489" i="9"/>
  <c r="R489" i="9" s="1"/>
  <c r="J490" i="9"/>
  <c r="R490" i="9" s="1"/>
  <c r="J491" i="9"/>
  <c r="R491" i="9" s="1"/>
  <c r="J492" i="9"/>
  <c r="R492" i="9" s="1"/>
  <c r="J493" i="9"/>
  <c r="R493" i="9" s="1"/>
  <c r="I2" i="9"/>
  <c r="I3" i="9"/>
  <c r="I4" i="9"/>
  <c r="I5" i="9"/>
  <c r="I6" i="9"/>
  <c r="I7" i="9"/>
  <c r="I8" i="9"/>
  <c r="I9" i="9"/>
  <c r="I10" i="9"/>
  <c r="I11" i="9"/>
  <c r="I12" i="9"/>
  <c r="I13" i="9"/>
  <c r="I14" i="9"/>
  <c r="I15" i="9"/>
  <c r="I16" i="9"/>
  <c r="I17" i="9"/>
  <c r="I18" i="9"/>
  <c r="I19" i="9"/>
  <c r="I20" i="9"/>
  <c r="I21" i="9"/>
  <c r="I22" i="9"/>
  <c r="I23" i="9"/>
  <c r="I24" i="9"/>
  <c r="I25" i="9"/>
  <c r="I26" i="9"/>
  <c r="I27" i="9"/>
  <c r="I28" i="9"/>
  <c r="I29" i="9"/>
  <c r="I30" i="9"/>
  <c r="I31" i="9"/>
  <c r="I32" i="9"/>
  <c r="I33" i="9"/>
  <c r="I34" i="9"/>
  <c r="I35" i="9"/>
  <c r="I36" i="9"/>
  <c r="I37" i="9"/>
  <c r="I38" i="9"/>
  <c r="I39" i="9"/>
  <c r="I40" i="9"/>
  <c r="I41" i="9"/>
  <c r="I42" i="9"/>
  <c r="I43" i="9"/>
  <c r="I44" i="9"/>
  <c r="I45" i="9"/>
  <c r="I46" i="9"/>
  <c r="I47" i="9"/>
  <c r="I48" i="9"/>
  <c r="I49" i="9"/>
  <c r="I50" i="9"/>
  <c r="I51" i="9"/>
  <c r="I52" i="9"/>
  <c r="I53" i="9"/>
  <c r="I54" i="9"/>
  <c r="I55" i="9"/>
  <c r="I56" i="9"/>
  <c r="I57" i="9"/>
  <c r="I58" i="9"/>
  <c r="I59" i="9"/>
  <c r="I60" i="9"/>
  <c r="I61" i="9"/>
  <c r="I62" i="9"/>
  <c r="I63" i="9"/>
  <c r="I64" i="9"/>
  <c r="I65" i="9"/>
  <c r="I66" i="9"/>
  <c r="I67" i="9"/>
  <c r="I68" i="9"/>
  <c r="I69" i="9"/>
  <c r="I70" i="9"/>
  <c r="I71" i="9"/>
  <c r="I72" i="9"/>
  <c r="I73" i="9"/>
  <c r="I74" i="9"/>
  <c r="I75" i="9"/>
  <c r="I76" i="9"/>
  <c r="I77" i="9"/>
  <c r="I78" i="9"/>
  <c r="I79" i="9"/>
  <c r="I80" i="9"/>
  <c r="I81" i="9"/>
  <c r="I82" i="9"/>
  <c r="I83" i="9"/>
  <c r="I84" i="9"/>
  <c r="I85" i="9"/>
  <c r="I86" i="9"/>
  <c r="I87" i="9"/>
  <c r="I88" i="9"/>
  <c r="I89" i="9"/>
  <c r="I90" i="9"/>
  <c r="I91" i="9"/>
  <c r="I92" i="9"/>
  <c r="I93" i="9"/>
  <c r="I94" i="9"/>
  <c r="I95" i="9"/>
  <c r="I96" i="9"/>
  <c r="I97" i="9"/>
  <c r="I98" i="9"/>
  <c r="I99" i="9"/>
  <c r="I100" i="9"/>
  <c r="I101" i="9"/>
  <c r="I102" i="9"/>
  <c r="I103" i="9"/>
  <c r="I104" i="9"/>
  <c r="I105" i="9"/>
  <c r="I106" i="9"/>
  <c r="I107" i="9"/>
  <c r="I108" i="9"/>
  <c r="I109" i="9"/>
  <c r="I110" i="9"/>
  <c r="I111" i="9"/>
  <c r="I112" i="9"/>
  <c r="I113" i="9"/>
  <c r="I114" i="9"/>
  <c r="I115" i="9"/>
  <c r="I116" i="9"/>
  <c r="I117" i="9"/>
  <c r="I118" i="9"/>
  <c r="I119" i="9"/>
  <c r="I120" i="9"/>
  <c r="I121" i="9"/>
  <c r="I122" i="9"/>
  <c r="I123" i="9"/>
  <c r="I124" i="9"/>
  <c r="I125" i="9"/>
  <c r="I126" i="9"/>
  <c r="I127" i="9"/>
  <c r="I128" i="9"/>
  <c r="I129" i="9"/>
  <c r="I130" i="9"/>
  <c r="I131" i="9"/>
  <c r="I132" i="9"/>
  <c r="I133" i="9"/>
  <c r="I134" i="9"/>
  <c r="I135" i="9"/>
  <c r="I136" i="9"/>
  <c r="I137" i="9"/>
  <c r="I138" i="9"/>
  <c r="I139" i="9"/>
  <c r="I140" i="9"/>
  <c r="I141" i="9"/>
  <c r="I142" i="9"/>
  <c r="I143" i="9"/>
  <c r="I144" i="9"/>
  <c r="I145" i="9"/>
  <c r="I146" i="9"/>
  <c r="I147" i="9"/>
  <c r="I148" i="9"/>
  <c r="I149" i="9"/>
  <c r="I150" i="9"/>
  <c r="I151" i="9"/>
  <c r="I152" i="9"/>
  <c r="I153" i="9"/>
  <c r="I154" i="9"/>
  <c r="I155" i="9"/>
  <c r="I156" i="9"/>
  <c r="I157" i="9"/>
  <c r="I158" i="9"/>
  <c r="I159" i="9"/>
  <c r="I160" i="9"/>
  <c r="I161" i="9"/>
  <c r="I162" i="9"/>
  <c r="I163" i="9"/>
  <c r="I164" i="9"/>
  <c r="I165" i="9"/>
  <c r="I166" i="9"/>
  <c r="I167" i="9"/>
  <c r="I168" i="9"/>
  <c r="I169" i="9"/>
  <c r="I170" i="9"/>
  <c r="I171" i="9"/>
  <c r="I172" i="9"/>
  <c r="I173" i="9"/>
  <c r="I174" i="9"/>
  <c r="I175" i="9"/>
  <c r="I176" i="9"/>
  <c r="I177" i="9"/>
  <c r="I178" i="9"/>
  <c r="I179" i="9"/>
  <c r="I180" i="9"/>
  <c r="I181" i="9"/>
  <c r="I182" i="9"/>
  <c r="I183" i="9"/>
  <c r="I184" i="9"/>
  <c r="I185" i="9"/>
  <c r="I186" i="9"/>
  <c r="I187" i="9"/>
  <c r="I188" i="9"/>
  <c r="I189" i="9"/>
  <c r="I190" i="9"/>
  <c r="I191" i="9"/>
  <c r="I192" i="9"/>
  <c r="I193" i="9"/>
  <c r="I194" i="9"/>
  <c r="I195" i="9"/>
  <c r="I196" i="9"/>
  <c r="I197" i="9"/>
  <c r="I198" i="9"/>
  <c r="I199" i="9"/>
  <c r="I200" i="9"/>
  <c r="I201" i="9"/>
  <c r="I202" i="9"/>
  <c r="I203" i="9"/>
  <c r="I204" i="9"/>
  <c r="I205" i="9"/>
  <c r="I206" i="9"/>
  <c r="I207" i="9"/>
  <c r="I208" i="9"/>
  <c r="I209" i="9"/>
  <c r="I210" i="9"/>
  <c r="I211" i="9"/>
  <c r="I212" i="9"/>
  <c r="I213" i="9"/>
  <c r="I214" i="9"/>
  <c r="I215" i="9"/>
  <c r="I216" i="9"/>
  <c r="I217" i="9"/>
  <c r="I218" i="9"/>
  <c r="I219" i="9"/>
  <c r="I220" i="9"/>
  <c r="I221" i="9"/>
  <c r="I222" i="9"/>
  <c r="I223" i="9"/>
  <c r="I224" i="9"/>
  <c r="I225" i="9"/>
  <c r="I226" i="9"/>
  <c r="I227" i="9"/>
  <c r="I228" i="9"/>
  <c r="I229" i="9"/>
  <c r="I230" i="9"/>
  <c r="I231" i="9"/>
  <c r="I232" i="9"/>
  <c r="I233" i="9"/>
  <c r="I234" i="9"/>
  <c r="I235" i="9"/>
  <c r="I236" i="9"/>
  <c r="I237" i="9"/>
  <c r="I238" i="9"/>
  <c r="I239" i="9"/>
  <c r="I240" i="9"/>
  <c r="I241" i="9"/>
  <c r="I242" i="9"/>
  <c r="I243" i="9"/>
  <c r="I244" i="9"/>
  <c r="I245" i="9"/>
  <c r="I246" i="9"/>
  <c r="I247" i="9"/>
  <c r="I248" i="9"/>
  <c r="I249" i="9"/>
  <c r="I250" i="9"/>
  <c r="I251" i="9"/>
  <c r="I252" i="9"/>
  <c r="I253" i="9"/>
  <c r="I254" i="9"/>
  <c r="I255" i="9"/>
  <c r="I256" i="9"/>
  <c r="I257" i="9"/>
  <c r="I258" i="9"/>
  <c r="I259" i="9"/>
  <c r="I260" i="9"/>
  <c r="I261" i="9"/>
  <c r="I262" i="9"/>
  <c r="I263" i="9"/>
  <c r="I264" i="9"/>
  <c r="I265" i="9"/>
  <c r="I266" i="9"/>
  <c r="I267" i="9"/>
  <c r="I268" i="9"/>
  <c r="I269" i="9"/>
  <c r="I270" i="9"/>
  <c r="I271" i="9"/>
  <c r="I272" i="9"/>
  <c r="I273" i="9"/>
  <c r="I274" i="9"/>
  <c r="I275" i="9"/>
  <c r="I276" i="9"/>
  <c r="I277" i="9"/>
  <c r="I278" i="9"/>
  <c r="I279" i="9"/>
  <c r="I280" i="9"/>
  <c r="I281" i="9"/>
  <c r="I282" i="9"/>
  <c r="I283" i="9"/>
  <c r="I284" i="9"/>
  <c r="I285" i="9"/>
  <c r="I286" i="9"/>
  <c r="I287" i="9"/>
  <c r="I288" i="9"/>
  <c r="I289" i="9"/>
  <c r="I290" i="9"/>
  <c r="I291" i="9"/>
  <c r="I292" i="9"/>
  <c r="I293" i="9"/>
  <c r="I294" i="9"/>
  <c r="I295" i="9"/>
  <c r="I296" i="9"/>
  <c r="I297" i="9"/>
  <c r="I298" i="9"/>
  <c r="I299" i="9"/>
  <c r="I300" i="9"/>
  <c r="I301" i="9"/>
  <c r="I302" i="9"/>
  <c r="I303" i="9"/>
  <c r="I304" i="9"/>
  <c r="I305" i="9"/>
  <c r="I306" i="9"/>
  <c r="I307" i="9"/>
  <c r="I308" i="9"/>
  <c r="I309" i="9"/>
  <c r="I310" i="9"/>
  <c r="I311" i="9"/>
  <c r="I312" i="9"/>
  <c r="I313" i="9"/>
  <c r="I314" i="9"/>
  <c r="I315" i="9"/>
  <c r="I316" i="9"/>
  <c r="I317" i="9"/>
  <c r="I318" i="9"/>
  <c r="I319" i="9"/>
  <c r="I320" i="9"/>
  <c r="I321" i="9"/>
  <c r="I322" i="9"/>
  <c r="I323" i="9"/>
  <c r="I324" i="9"/>
  <c r="I325" i="9"/>
  <c r="I326" i="9"/>
  <c r="I327" i="9"/>
  <c r="I328" i="9"/>
  <c r="I329" i="9"/>
  <c r="I330" i="9"/>
  <c r="I331" i="9"/>
  <c r="I332" i="9"/>
  <c r="I333" i="9"/>
  <c r="I334" i="9"/>
  <c r="I335" i="9"/>
  <c r="I336" i="9"/>
  <c r="I337" i="9"/>
  <c r="I338" i="9"/>
  <c r="I339" i="9"/>
  <c r="I340" i="9"/>
  <c r="I341" i="9"/>
  <c r="I342" i="9"/>
  <c r="I343" i="9"/>
  <c r="I344" i="9"/>
  <c r="I345" i="9"/>
  <c r="I346" i="9"/>
  <c r="I347" i="9"/>
  <c r="I348" i="9"/>
  <c r="I349" i="9"/>
  <c r="I350" i="9"/>
  <c r="I351" i="9"/>
  <c r="I352" i="9"/>
  <c r="I353" i="9"/>
  <c r="I354" i="9"/>
  <c r="I355" i="9"/>
  <c r="I356" i="9"/>
  <c r="I357" i="9"/>
  <c r="I358" i="9"/>
  <c r="I359" i="9"/>
  <c r="I360" i="9"/>
  <c r="I361" i="9"/>
  <c r="I362" i="9"/>
  <c r="I363" i="9"/>
  <c r="I364" i="9"/>
  <c r="I365" i="9"/>
  <c r="I366" i="9"/>
  <c r="I367" i="9"/>
  <c r="I368" i="9"/>
  <c r="I369" i="9"/>
  <c r="I370" i="9"/>
  <c r="I371" i="9"/>
  <c r="I372" i="9"/>
  <c r="I373" i="9"/>
  <c r="I374" i="9"/>
  <c r="I375" i="9"/>
  <c r="I376" i="9"/>
  <c r="I377" i="9"/>
  <c r="I378" i="9"/>
  <c r="I379" i="9"/>
  <c r="I380" i="9"/>
  <c r="I381" i="9"/>
  <c r="I382" i="9"/>
  <c r="I383" i="9"/>
  <c r="I384" i="9"/>
  <c r="I385" i="9"/>
  <c r="I386" i="9"/>
  <c r="I387" i="9"/>
  <c r="I388" i="9"/>
  <c r="I389" i="9"/>
  <c r="I390" i="9"/>
  <c r="I391" i="9"/>
  <c r="I392" i="9"/>
  <c r="I393" i="9"/>
  <c r="I394" i="9"/>
  <c r="I395" i="9"/>
  <c r="I396" i="9"/>
  <c r="I397" i="9"/>
  <c r="I398" i="9"/>
  <c r="I399" i="9"/>
  <c r="I400" i="9"/>
  <c r="I401" i="9"/>
  <c r="I402" i="9"/>
  <c r="I403" i="9"/>
  <c r="I404" i="9"/>
  <c r="I405" i="9"/>
  <c r="I406" i="9"/>
  <c r="I407" i="9"/>
  <c r="I408" i="9"/>
  <c r="I409" i="9"/>
  <c r="I410" i="9"/>
  <c r="I411" i="9"/>
  <c r="I412" i="9"/>
  <c r="I413" i="9"/>
  <c r="I414" i="9"/>
  <c r="I415" i="9"/>
  <c r="I416" i="9"/>
  <c r="I417" i="9"/>
  <c r="I418" i="9"/>
  <c r="I419" i="9"/>
  <c r="I420" i="9"/>
  <c r="I421" i="9"/>
  <c r="I422" i="9"/>
  <c r="I423" i="9"/>
  <c r="I424" i="9"/>
  <c r="I425" i="9"/>
  <c r="I426" i="9"/>
  <c r="I427" i="9"/>
  <c r="I428" i="9"/>
  <c r="I429" i="9"/>
  <c r="I430" i="9"/>
  <c r="I431" i="9"/>
  <c r="I432" i="9"/>
  <c r="I433" i="9"/>
  <c r="I434" i="9"/>
  <c r="I435" i="9"/>
  <c r="I436" i="9"/>
  <c r="I437" i="9"/>
  <c r="I438" i="9"/>
  <c r="I439" i="9"/>
  <c r="I440" i="9"/>
  <c r="I441" i="9"/>
  <c r="I442" i="9"/>
  <c r="I443" i="9"/>
  <c r="I444" i="9"/>
  <c r="I445" i="9"/>
  <c r="I446" i="9"/>
  <c r="I447" i="9"/>
  <c r="I448" i="9"/>
  <c r="I449" i="9"/>
  <c r="I450" i="9"/>
  <c r="I451" i="9"/>
  <c r="I452" i="9"/>
  <c r="I453" i="9"/>
  <c r="I454" i="9"/>
  <c r="I455" i="9"/>
  <c r="I456" i="9"/>
  <c r="I457" i="9"/>
  <c r="I458" i="9"/>
  <c r="I459" i="9"/>
  <c r="I460" i="9"/>
  <c r="I461" i="9"/>
  <c r="I462" i="9"/>
  <c r="I463" i="9"/>
  <c r="I464" i="9"/>
  <c r="I465" i="9"/>
  <c r="I466" i="9"/>
  <c r="I467" i="9"/>
  <c r="I468" i="9"/>
  <c r="I469" i="9"/>
  <c r="I470" i="9"/>
  <c r="I471" i="9"/>
  <c r="I472" i="9"/>
  <c r="I473" i="9"/>
  <c r="I474" i="9"/>
  <c r="I475" i="9"/>
  <c r="I476" i="9"/>
  <c r="I477" i="9"/>
  <c r="I478" i="9"/>
  <c r="I479" i="9"/>
  <c r="I480" i="9"/>
  <c r="I481" i="9"/>
  <c r="I482" i="9"/>
  <c r="I483" i="9"/>
  <c r="I484" i="9"/>
  <c r="I485" i="9"/>
  <c r="I486" i="9"/>
  <c r="I487" i="9"/>
  <c r="I488" i="9"/>
  <c r="I489" i="9"/>
  <c r="I490" i="9"/>
  <c r="I491" i="9"/>
  <c r="I492" i="9"/>
  <c r="I493" i="9"/>
  <c r="F2" i="9"/>
  <c r="F3" i="9"/>
  <c r="F4" i="9"/>
  <c r="F5" i="9"/>
  <c r="F6" i="9"/>
  <c r="F7" i="9"/>
  <c r="F8" i="9"/>
  <c r="F9" i="9"/>
  <c r="F10" i="9"/>
  <c r="F11" i="9"/>
  <c r="F12" i="9"/>
  <c r="F13" i="9"/>
  <c r="F14" i="9"/>
  <c r="F15" i="9"/>
  <c r="F16" i="9"/>
  <c r="F17" i="9"/>
  <c r="F18" i="9"/>
  <c r="F19" i="9"/>
  <c r="F20" i="9"/>
  <c r="F21" i="9"/>
  <c r="F22" i="9"/>
  <c r="F23" i="9"/>
  <c r="F24" i="9"/>
  <c r="F25" i="9"/>
  <c r="F26" i="9"/>
  <c r="F27" i="9"/>
  <c r="F28" i="9"/>
  <c r="F29" i="9"/>
  <c r="F30" i="9"/>
  <c r="F31" i="9"/>
  <c r="F32" i="9"/>
  <c r="F33" i="9"/>
  <c r="F34" i="9"/>
  <c r="F35" i="9"/>
  <c r="F36" i="9"/>
  <c r="F37" i="9"/>
  <c r="F38" i="9"/>
  <c r="F39" i="9"/>
  <c r="F40" i="9"/>
  <c r="F41" i="9"/>
  <c r="F42" i="9"/>
  <c r="F43" i="9"/>
  <c r="F44" i="9"/>
  <c r="F45" i="9"/>
  <c r="F46" i="9"/>
  <c r="F47" i="9"/>
  <c r="F48" i="9"/>
  <c r="F49" i="9"/>
  <c r="F50" i="9"/>
  <c r="F51" i="9"/>
  <c r="F52" i="9"/>
  <c r="F53" i="9"/>
  <c r="F54" i="9"/>
  <c r="F55" i="9"/>
  <c r="F56" i="9"/>
  <c r="F57" i="9"/>
  <c r="F58" i="9"/>
  <c r="F59" i="9"/>
  <c r="F60" i="9"/>
  <c r="F61" i="9"/>
  <c r="F62" i="9"/>
  <c r="F63" i="9"/>
  <c r="F64" i="9"/>
  <c r="F65" i="9"/>
  <c r="F66" i="9"/>
  <c r="F67" i="9"/>
  <c r="F68" i="9"/>
  <c r="F69" i="9"/>
  <c r="F70" i="9"/>
  <c r="F71" i="9"/>
  <c r="F72" i="9"/>
  <c r="F73" i="9"/>
  <c r="F74" i="9"/>
  <c r="F75" i="9"/>
  <c r="F76" i="9"/>
  <c r="F77" i="9"/>
  <c r="F78" i="9"/>
  <c r="F79" i="9"/>
  <c r="F80" i="9"/>
  <c r="F81" i="9"/>
  <c r="F82" i="9"/>
  <c r="F83" i="9"/>
  <c r="F84" i="9"/>
  <c r="F85" i="9"/>
  <c r="F86" i="9"/>
  <c r="F87" i="9"/>
  <c r="F88" i="9"/>
  <c r="F89" i="9"/>
  <c r="F90" i="9"/>
  <c r="F91" i="9"/>
  <c r="F92" i="9"/>
  <c r="F93" i="9"/>
  <c r="F94" i="9"/>
  <c r="F95" i="9"/>
  <c r="F96" i="9"/>
  <c r="F97" i="9"/>
  <c r="F98" i="9"/>
  <c r="F99" i="9"/>
  <c r="F100" i="9"/>
  <c r="F101" i="9"/>
  <c r="F102" i="9"/>
  <c r="F103" i="9"/>
  <c r="F104" i="9"/>
  <c r="F105" i="9"/>
  <c r="F106" i="9"/>
  <c r="F107" i="9"/>
  <c r="F108" i="9"/>
  <c r="F109" i="9"/>
  <c r="F110" i="9"/>
  <c r="F111" i="9"/>
  <c r="F112" i="9"/>
  <c r="F113" i="9"/>
  <c r="F114" i="9"/>
  <c r="F115" i="9"/>
  <c r="F116" i="9"/>
  <c r="F117" i="9"/>
  <c r="F118" i="9"/>
  <c r="F119" i="9"/>
  <c r="F120" i="9"/>
  <c r="F121" i="9"/>
  <c r="F122" i="9"/>
  <c r="F123" i="9"/>
  <c r="F124" i="9"/>
  <c r="F125" i="9"/>
  <c r="F126" i="9"/>
  <c r="F127" i="9"/>
  <c r="F128" i="9"/>
  <c r="F129" i="9"/>
  <c r="F130" i="9"/>
  <c r="F131" i="9"/>
  <c r="F132" i="9"/>
  <c r="F133" i="9"/>
  <c r="F134" i="9"/>
  <c r="F135" i="9"/>
  <c r="F136" i="9"/>
  <c r="F137" i="9"/>
  <c r="F138" i="9"/>
  <c r="F139" i="9"/>
  <c r="F140" i="9"/>
  <c r="F141" i="9"/>
  <c r="F142" i="9"/>
  <c r="F143" i="9"/>
  <c r="F144" i="9"/>
  <c r="F145" i="9"/>
  <c r="F146" i="9"/>
  <c r="F147" i="9"/>
  <c r="F148" i="9"/>
  <c r="F149" i="9"/>
  <c r="F150" i="9"/>
  <c r="F151" i="9"/>
  <c r="F152" i="9"/>
  <c r="F153" i="9"/>
  <c r="F154" i="9"/>
  <c r="F155" i="9"/>
  <c r="F156" i="9"/>
  <c r="F157" i="9"/>
  <c r="F158" i="9"/>
  <c r="F159" i="9"/>
  <c r="F160" i="9"/>
  <c r="F161" i="9"/>
  <c r="F162" i="9"/>
  <c r="F163" i="9"/>
  <c r="F164" i="9"/>
  <c r="F165" i="9"/>
  <c r="F166" i="9"/>
  <c r="F167" i="9"/>
  <c r="F168" i="9"/>
  <c r="F169" i="9"/>
  <c r="F170" i="9"/>
  <c r="F171" i="9"/>
  <c r="F172" i="9"/>
  <c r="F173" i="9"/>
  <c r="F174" i="9"/>
  <c r="F175" i="9"/>
  <c r="F176" i="9"/>
  <c r="F177" i="9"/>
  <c r="F178" i="9"/>
  <c r="F179" i="9"/>
  <c r="F180" i="9"/>
  <c r="F181" i="9"/>
  <c r="F182" i="9"/>
  <c r="F183" i="9"/>
  <c r="F184" i="9"/>
  <c r="F185" i="9"/>
  <c r="F186" i="9"/>
  <c r="F187" i="9"/>
  <c r="F188" i="9"/>
  <c r="F189" i="9"/>
  <c r="F190" i="9"/>
  <c r="F191" i="9"/>
  <c r="F192" i="9"/>
  <c r="F193" i="9"/>
  <c r="F194" i="9"/>
  <c r="F195" i="9"/>
  <c r="F196" i="9"/>
  <c r="F197" i="9"/>
  <c r="F198" i="9"/>
  <c r="F199" i="9"/>
  <c r="F200" i="9"/>
  <c r="F201" i="9"/>
  <c r="F202" i="9"/>
  <c r="F203" i="9"/>
  <c r="F204" i="9"/>
  <c r="F205" i="9"/>
  <c r="F206" i="9"/>
  <c r="F207" i="9"/>
  <c r="F208" i="9"/>
  <c r="F209" i="9"/>
  <c r="F210" i="9"/>
  <c r="F211" i="9"/>
  <c r="F212" i="9"/>
  <c r="F213" i="9"/>
  <c r="F214" i="9"/>
  <c r="F215" i="9"/>
  <c r="F216" i="9"/>
  <c r="F217" i="9"/>
  <c r="F218" i="9"/>
  <c r="F219" i="9"/>
  <c r="F220" i="9"/>
  <c r="F221" i="9"/>
  <c r="F222" i="9"/>
  <c r="F223" i="9"/>
  <c r="F224" i="9"/>
  <c r="F225" i="9"/>
  <c r="F226" i="9"/>
  <c r="F227" i="9"/>
  <c r="F228" i="9"/>
  <c r="F229" i="9"/>
  <c r="F230" i="9"/>
  <c r="F231" i="9"/>
  <c r="F232" i="9"/>
  <c r="F233" i="9"/>
  <c r="F234" i="9"/>
  <c r="F235" i="9"/>
  <c r="F236" i="9"/>
  <c r="F237" i="9"/>
  <c r="F238" i="9"/>
  <c r="F239" i="9"/>
  <c r="F240" i="9"/>
  <c r="F241" i="9"/>
  <c r="F242" i="9"/>
  <c r="F243" i="9"/>
  <c r="F244" i="9"/>
  <c r="F245" i="9"/>
  <c r="F246" i="9"/>
  <c r="F247" i="9"/>
  <c r="F248" i="9"/>
  <c r="F249" i="9"/>
  <c r="F250" i="9"/>
  <c r="F251" i="9"/>
  <c r="F252" i="9"/>
  <c r="F253" i="9"/>
  <c r="F254" i="9"/>
  <c r="F255" i="9"/>
  <c r="F256" i="9"/>
  <c r="F257" i="9"/>
  <c r="F258" i="9"/>
  <c r="F259" i="9"/>
  <c r="F260" i="9"/>
  <c r="F261" i="9"/>
  <c r="F262" i="9"/>
  <c r="F263" i="9"/>
  <c r="F264" i="9"/>
  <c r="F265" i="9"/>
  <c r="F266" i="9"/>
  <c r="F267" i="9"/>
  <c r="F268" i="9"/>
  <c r="F269" i="9"/>
  <c r="F270" i="9"/>
  <c r="F271" i="9"/>
  <c r="F272" i="9"/>
  <c r="F273" i="9"/>
  <c r="F274" i="9"/>
  <c r="F275" i="9"/>
  <c r="F276" i="9"/>
  <c r="F277" i="9"/>
  <c r="F278" i="9"/>
  <c r="F279" i="9"/>
  <c r="F280" i="9"/>
  <c r="F281" i="9"/>
  <c r="F282" i="9"/>
  <c r="F283" i="9"/>
  <c r="F284" i="9"/>
  <c r="F285" i="9"/>
  <c r="F286" i="9"/>
  <c r="F287" i="9"/>
  <c r="F288" i="9"/>
  <c r="F289" i="9"/>
  <c r="F290" i="9"/>
  <c r="F291" i="9"/>
  <c r="F292" i="9"/>
  <c r="F293" i="9"/>
  <c r="F294" i="9"/>
  <c r="F295" i="9"/>
  <c r="F296" i="9"/>
  <c r="F297" i="9"/>
  <c r="F298" i="9"/>
  <c r="F299" i="9"/>
  <c r="F300" i="9"/>
  <c r="F301" i="9"/>
  <c r="F302" i="9"/>
  <c r="F303" i="9"/>
  <c r="F304" i="9"/>
  <c r="F305" i="9"/>
  <c r="F306" i="9"/>
  <c r="F307" i="9"/>
  <c r="F308" i="9"/>
  <c r="F309" i="9"/>
  <c r="F310" i="9"/>
  <c r="F311" i="9"/>
  <c r="F312" i="9"/>
  <c r="F313" i="9"/>
  <c r="F314" i="9"/>
  <c r="F315" i="9"/>
  <c r="F316" i="9"/>
  <c r="F317" i="9"/>
  <c r="F318" i="9"/>
  <c r="F319" i="9"/>
  <c r="F320" i="9"/>
  <c r="F321" i="9"/>
  <c r="F322" i="9"/>
  <c r="F323" i="9"/>
  <c r="F324" i="9"/>
  <c r="F325" i="9"/>
  <c r="F326" i="9"/>
  <c r="F327" i="9"/>
  <c r="F328" i="9"/>
  <c r="F329" i="9"/>
  <c r="F330" i="9"/>
  <c r="F331" i="9"/>
  <c r="F332" i="9"/>
  <c r="F333" i="9"/>
  <c r="F334" i="9"/>
  <c r="F335" i="9"/>
  <c r="F336" i="9"/>
  <c r="F337" i="9"/>
  <c r="F338" i="9"/>
  <c r="F339" i="9"/>
  <c r="F340" i="9"/>
  <c r="F341" i="9"/>
  <c r="F342" i="9"/>
  <c r="F343" i="9"/>
  <c r="F344" i="9"/>
  <c r="F345" i="9"/>
  <c r="F346" i="9"/>
  <c r="F347" i="9"/>
  <c r="F348" i="9"/>
  <c r="F349" i="9"/>
  <c r="F350" i="9"/>
  <c r="F351" i="9"/>
  <c r="F352" i="9"/>
  <c r="F353" i="9"/>
  <c r="F354" i="9"/>
  <c r="F355" i="9"/>
  <c r="F356" i="9"/>
  <c r="F357" i="9"/>
  <c r="F358" i="9"/>
  <c r="F359" i="9"/>
  <c r="F360" i="9"/>
  <c r="F361" i="9"/>
  <c r="F362" i="9"/>
  <c r="F363" i="9"/>
  <c r="F364" i="9"/>
  <c r="F365" i="9"/>
  <c r="F366" i="9"/>
  <c r="F367" i="9"/>
  <c r="F368" i="9"/>
  <c r="F369" i="9"/>
  <c r="F370" i="9"/>
  <c r="F371" i="9"/>
  <c r="F372" i="9"/>
  <c r="F373" i="9"/>
  <c r="F374" i="9"/>
  <c r="F375" i="9"/>
  <c r="F376" i="9"/>
  <c r="F377" i="9"/>
  <c r="F378" i="9"/>
  <c r="F379" i="9"/>
  <c r="F380" i="9"/>
  <c r="F381" i="9"/>
  <c r="F382" i="9"/>
  <c r="F383" i="9"/>
  <c r="F384" i="9"/>
  <c r="F385" i="9"/>
  <c r="F386" i="9"/>
  <c r="F387" i="9"/>
  <c r="F388" i="9"/>
  <c r="F389" i="9"/>
  <c r="F390" i="9"/>
  <c r="F391" i="9"/>
  <c r="F392" i="9"/>
  <c r="F393" i="9"/>
  <c r="F394" i="9"/>
  <c r="F395" i="9"/>
  <c r="F396" i="9"/>
  <c r="F397" i="9"/>
  <c r="F398" i="9"/>
  <c r="F399" i="9"/>
  <c r="F400" i="9"/>
  <c r="F401" i="9"/>
  <c r="F402" i="9"/>
  <c r="F403" i="9"/>
  <c r="F404" i="9"/>
  <c r="F405" i="9"/>
  <c r="F406" i="9"/>
  <c r="F407" i="9"/>
  <c r="F408" i="9"/>
  <c r="F409" i="9"/>
  <c r="F410" i="9"/>
  <c r="F411" i="9"/>
  <c r="F412" i="9"/>
  <c r="F413" i="9"/>
  <c r="F414" i="9"/>
  <c r="F415" i="9"/>
  <c r="F416" i="9"/>
  <c r="F417" i="9"/>
  <c r="F418" i="9"/>
  <c r="F419" i="9"/>
  <c r="F420" i="9"/>
  <c r="F421" i="9"/>
  <c r="F422" i="9"/>
  <c r="F423" i="9"/>
  <c r="F424" i="9"/>
  <c r="F425" i="9"/>
  <c r="F426" i="9"/>
  <c r="F427" i="9"/>
  <c r="F428" i="9"/>
  <c r="F429" i="9"/>
  <c r="F430" i="9"/>
  <c r="F431" i="9"/>
  <c r="F432" i="9"/>
  <c r="F433" i="9"/>
  <c r="F434" i="9"/>
  <c r="F435" i="9"/>
  <c r="F436" i="9"/>
  <c r="F437" i="9"/>
  <c r="F438" i="9"/>
  <c r="F439" i="9"/>
  <c r="F440" i="9"/>
  <c r="F441" i="9"/>
  <c r="F442" i="9"/>
  <c r="F443" i="9"/>
  <c r="F444" i="9"/>
  <c r="F445" i="9"/>
  <c r="F446" i="9"/>
  <c r="F447" i="9"/>
  <c r="F448" i="9"/>
  <c r="F449" i="9"/>
  <c r="F450" i="9"/>
  <c r="F451" i="9"/>
  <c r="F452" i="9"/>
  <c r="F453" i="9"/>
  <c r="F454" i="9"/>
  <c r="F455" i="9"/>
  <c r="F456" i="9"/>
  <c r="F457" i="9"/>
  <c r="F458" i="9"/>
  <c r="F459" i="9"/>
  <c r="F460" i="9"/>
  <c r="F461" i="9"/>
  <c r="F462" i="9"/>
  <c r="F463" i="9"/>
  <c r="F464" i="9"/>
  <c r="F465" i="9"/>
  <c r="F466" i="9"/>
  <c r="F467" i="9"/>
  <c r="F468" i="9"/>
  <c r="F469" i="9"/>
  <c r="F470" i="9"/>
  <c r="F471" i="9"/>
  <c r="F472" i="9"/>
  <c r="F473" i="9"/>
  <c r="F474" i="9"/>
  <c r="F475" i="9"/>
  <c r="F476" i="9"/>
  <c r="F477" i="9"/>
  <c r="F478" i="9"/>
  <c r="F479" i="9"/>
  <c r="F480" i="9"/>
  <c r="F481" i="9"/>
  <c r="F482" i="9"/>
  <c r="F483" i="9"/>
  <c r="F484" i="9"/>
  <c r="F485" i="9"/>
  <c r="F486" i="9"/>
  <c r="F487" i="9"/>
  <c r="F488" i="9"/>
  <c r="F489" i="9"/>
  <c r="F490" i="9"/>
  <c r="F491" i="9"/>
  <c r="F492" i="9"/>
  <c r="F493" i="9"/>
  <c r="E2" i="9"/>
  <c r="E3" i="9"/>
  <c r="E4" i="9"/>
  <c r="E5" i="9"/>
  <c r="E6" i="9"/>
  <c r="E7" i="9"/>
  <c r="E8" i="9"/>
  <c r="E9" i="9"/>
  <c r="E10" i="9"/>
  <c r="E11" i="9"/>
  <c r="E12" i="9"/>
  <c r="E13" i="9"/>
  <c r="E14" i="9"/>
  <c r="E15" i="9"/>
  <c r="E16" i="9"/>
  <c r="E17" i="9"/>
  <c r="E18" i="9"/>
  <c r="E19" i="9"/>
  <c r="E20" i="9"/>
  <c r="E21" i="9"/>
  <c r="E22" i="9"/>
  <c r="E23" i="9"/>
  <c r="E24" i="9"/>
  <c r="E25" i="9"/>
  <c r="E26" i="9"/>
  <c r="E27" i="9"/>
  <c r="E28" i="9"/>
  <c r="E29" i="9"/>
  <c r="E30" i="9"/>
  <c r="E31" i="9"/>
  <c r="E32" i="9"/>
  <c r="E33" i="9"/>
  <c r="E34" i="9"/>
  <c r="E35" i="9"/>
  <c r="E36" i="9"/>
  <c r="E37" i="9"/>
  <c r="E38" i="9"/>
  <c r="E39" i="9"/>
  <c r="E40" i="9"/>
  <c r="E41" i="9"/>
  <c r="E42" i="9"/>
  <c r="E43" i="9"/>
  <c r="E44" i="9"/>
  <c r="E45" i="9"/>
  <c r="E46" i="9"/>
  <c r="E47" i="9"/>
  <c r="E48" i="9"/>
  <c r="E49" i="9"/>
  <c r="E50" i="9"/>
  <c r="E51" i="9"/>
  <c r="E52" i="9"/>
  <c r="E53" i="9"/>
  <c r="E54" i="9"/>
  <c r="E55" i="9"/>
  <c r="E56" i="9"/>
  <c r="E57" i="9"/>
  <c r="E58" i="9"/>
  <c r="E59" i="9"/>
  <c r="E60" i="9"/>
  <c r="E61" i="9"/>
  <c r="E62" i="9"/>
  <c r="E63" i="9"/>
  <c r="E64" i="9"/>
  <c r="E65" i="9"/>
  <c r="E66" i="9"/>
  <c r="E67" i="9"/>
  <c r="E68" i="9"/>
  <c r="E69" i="9"/>
  <c r="E70" i="9"/>
  <c r="E71" i="9"/>
  <c r="E72" i="9"/>
  <c r="E73" i="9"/>
  <c r="E74" i="9"/>
  <c r="E75" i="9"/>
  <c r="E76" i="9"/>
  <c r="E77" i="9"/>
  <c r="E78" i="9"/>
  <c r="E79" i="9"/>
  <c r="E80" i="9"/>
  <c r="E81" i="9"/>
  <c r="E82" i="9"/>
  <c r="E83" i="9"/>
  <c r="E84" i="9"/>
  <c r="E85" i="9"/>
  <c r="E86" i="9"/>
  <c r="E87" i="9"/>
  <c r="E88" i="9"/>
  <c r="E89" i="9"/>
  <c r="E90" i="9"/>
  <c r="E91" i="9"/>
  <c r="E92" i="9"/>
  <c r="E93" i="9"/>
  <c r="E94" i="9"/>
  <c r="E95" i="9"/>
  <c r="E96" i="9"/>
  <c r="E97" i="9"/>
  <c r="E98" i="9"/>
  <c r="E99" i="9"/>
  <c r="E100" i="9"/>
  <c r="E101" i="9"/>
  <c r="E102" i="9"/>
  <c r="E103" i="9"/>
  <c r="E104" i="9"/>
  <c r="E105" i="9"/>
  <c r="E106" i="9"/>
  <c r="E107" i="9"/>
  <c r="E108" i="9"/>
  <c r="E109" i="9"/>
  <c r="E110" i="9"/>
  <c r="E111" i="9"/>
  <c r="E112" i="9"/>
  <c r="E113" i="9"/>
  <c r="E114" i="9"/>
  <c r="E115" i="9"/>
  <c r="E116" i="9"/>
  <c r="E117" i="9"/>
  <c r="E118" i="9"/>
  <c r="E119" i="9"/>
  <c r="E120" i="9"/>
  <c r="E121" i="9"/>
  <c r="E122" i="9"/>
  <c r="E123" i="9"/>
  <c r="E124" i="9"/>
  <c r="E125" i="9"/>
  <c r="E126" i="9"/>
  <c r="E127" i="9"/>
  <c r="E128" i="9"/>
  <c r="E129" i="9"/>
  <c r="E130" i="9"/>
  <c r="E131" i="9"/>
  <c r="E132" i="9"/>
  <c r="E133" i="9"/>
  <c r="E134" i="9"/>
  <c r="E135" i="9"/>
  <c r="E136" i="9"/>
  <c r="E137" i="9"/>
  <c r="E138" i="9"/>
  <c r="E139" i="9"/>
  <c r="E140" i="9"/>
  <c r="E141" i="9"/>
  <c r="E142" i="9"/>
  <c r="E143" i="9"/>
  <c r="E144" i="9"/>
  <c r="E145" i="9"/>
  <c r="E146" i="9"/>
  <c r="E147" i="9"/>
  <c r="E148" i="9"/>
  <c r="E149" i="9"/>
  <c r="E150" i="9"/>
  <c r="E151" i="9"/>
  <c r="E152" i="9"/>
  <c r="E153" i="9"/>
  <c r="E154" i="9"/>
  <c r="E155" i="9"/>
  <c r="E156" i="9"/>
  <c r="E157" i="9"/>
  <c r="E158" i="9"/>
  <c r="E159" i="9"/>
  <c r="E160" i="9"/>
  <c r="E161" i="9"/>
  <c r="E162" i="9"/>
  <c r="E163" i="9"/>
  <c r="E164" i="9"/>
  <c r="E165" i="9"/>
  <c r="E166" i="9"/>
  <c r="E167" i="9"/>
  <c r="E168" i="9"/>
  <c r="E169" i="9"/>
  <c r="E170" i="9"/>
  <c r="E171" i="9"/>
  <c r="E172" i="9"/>
  <c r="E173" i="9"/>
  <c r="E174" i="9"/>
  <c r="E175" i="9"/>
  <c r="E176" i="9"/>
  <c r="E177" i="9"/>
  <c r="E178" i="9"/>
  <c r="E179" i="9"/>
  <c r="E180" i="9"/>
  <c r="E181" i="9"/>
  <c r="E182" i="9"/>
  <c r="E183" i="9"/>
  <c r="E184" i="9"/>
  <c r="E185" i="9"/>
  <c r="E186" i="9"/>
  <c r="E187" i="9"/>
  <c r="E188" i="9"/>
  <c r="E189" i="9"/>
  <c r="E190" i="9"/>
  <c r="E191" i="9"/>
  <c r="E192" i="9"/>
  <c r="E193" i="9"/>
  <c r="E194" i="9"/>
  <c r="E195" i="9"/>
  <c r="E196" i="9"/>
  <c r="E197" i="9"/>
  <c r="E198" i="9"/>
  <c r="E199" i="9"/>
  <c r="E200" i="9"/>
  <c r="E201" i="9"/>
  <c r="E202" i="9"/>
  <c r="E203" i="9"/>
  <c r="E204" i="9"/>
  <c r="E205" i="9"/>
  <c r="E206" i="9"/>
  <c r="E207" i="9"/>
  <c r="E208" i="9"/>
  <c r="E209" i="9"/>
  <c r="E210" i="9"/>
  <c r="E211" i="9"/>
  <c r="E212" i="9"/>
  <c r="E213" i="9"/>
  <c r="E214" i="9"/>
  <c r="E215" i="9"/>
  <c r="E216" i="9"/>
  <c r="E217" i="9"/>
  <c r="E218" i="9"/>
  <c r="E219" i="9"/>
  <c r="E220" i="9"/>
  <c r="E221" i="9"/>
  <c r="E222" i="9"/>
  <c r="E223" i="9"/>
  <c r="E224" i="9"/>
  <c r="E225" i="9"/>
  <c r="E226" i="9"/>
  <c r="E227" i="9"/>
  <c r="E228" i="9"/>
  <c r="E229" i="9"/>
  <c r="E230" i="9"/>
  <c r="E231" i="9"/>
  <c r="E232" i="9"/>
  <c r="E233" i="9"/>
  <c r="E234" i="9"/>
  <c r="E235" i="9"/>
  <c r="E236" i="9"/>
  <c r="E237" i="9"/>
  <c r="E238" i="9"/>
  <c r="E239" i="9"/>
  <c r="E240" i="9"/>
  <c r="E241" i="9"/>
  <c r="E242" i="9"/>
  <c r="E243" i="9"/>
  <c r="E244" i="9"/>
  <c r="E245" i="9"/>
  <c r="E246" i="9"/>
  <c r="E247" i="9"/>
  <c r="E248" i="9"/>
  <c r="E249" i="9"/>
  <c r="E250" i="9"/>
  <c r="E251" i="9"/>
  <c r="E252" i="9"/>
  <c r="E253" i="9"/>
  <c r="E254" i="9"/>
  <c r="E255" i="9"/>
  <c r="E256" i="9"/>
  <c r="E257" i="9"/>
  <c r="E258" i="9"/>
  <c r="E259" i="9"/>
  <c r="E260" i="9"/>
  <c r="E261" i="9"/>
  <c r="E262" i="9"/>
  <c r="E263" i="9"/>
  <c r="E264" i="9"/>
  <c r="E265" i="9"/>
  <c r="E266" i="9"/>
  <c r="E267" i="9"/>
  <c r="E268" i="9"/>
  <c r="E269" i="9"/>
  <c r="E270" i="9"/>
  <c r="E271" i="9"/>
  <c r="E272" i="9"/>
  <c r="E273" i="9"/>
  <c r="E274" i="9"/>
  <c r="E275" i="9"/>
  <c r="E276" i="9"/>
  <c r="E277" i="9"/>
  <c r="E278" i="9"/>
  <c r="E279" i="9"/>
  <c r="E280" i="9"/>
  <c r="E281" i="9"/>
  <c r="E282" i="9"/>
  <c r="E283" i="9"/>
  <c r="E284" i="9"/>
  <c r="E285" i="9"/>
  <c r="E286" i="9"/>
  <c r="E287" i="9"/>
  <c r="E288" i="9"/>
  <c r="E289" i="9"/>
  <c r="E290" i="9"/>
  <c r="E291" i="9"/>
  <c r="E292" i="9"/>
  <c r="E293" i="9"/>
  <c r="E294" i="9"/>
  <c r="E295" i="9"/>
  <c r="E296" i="9"/>
  <c r="E297" i="9"/>
  <c r="E298" i="9"/>
  <c r="E299" i="9"/>
  <c r="E300" i="9"/>
  <c r="E301" i="9"/>
  <c r="E302" i="9"/>
  <c r="E303" i="9"/>
  <c r="E304" i="9"/>
  <c r="E305" i="9"/>
  <c r="E306" i="9"/>
  <c r="E307" i="9"/>
  <c r="E308" i="9"/>
  <c r="E309" i="9"/>
  <c r="E310" i="9"/>
  <c r="E311" i="9"/>
  <c r="E312" i="9"/>
  <c r="E313" i="9"/>
  <c r="E314" i="9"/>
  <c r="E315" i="9"/>
  <c r="E316" i="9"/>
  <c r="E317" i="9"/>
  <c r="E318" i="9"/>
  <c r="E319" i="9"/>
  <c r="E320" i="9"/>
  <c r="E321" i="9"/>
  <c r="E322" i="9"/>
  <c r="E323" i="9"/>
  <c r="E324" i="9"/>
  <c r="E325" i="9"/>
  <c r="E326" i="9"/>
  <c r="E327" i="9"/>
  <c r="E328" i="9"/>
  <c r="E329" i="9"/>
  <c r="E330" i="9"/>
  <c r="E331" i="9"/>
  <c r="E332" i="9"/>
  <c r="E333" i="9"/>
  <c r="E334" i="9"/>
  <c r="E335" i="9"/>
  <c r="E336" i="9"/>
  <c r="E337" i="9"/>
  <c r="E338" i="9"/>
  <c r="E339" i="9"/>
  <c r="E340" i="9"/>
  <c r="E341" i="9"/>
  <c r="E342" i="9"/>
  <c r="E343" i="9"/>
  <c r="E344" i="9"/>
  <c r="E345" i="9"/>
  <c r="E346" i="9"/>
  <c r="E347" i="9"/>
  <c r="E348" i="9"/>
  <c r="E349" i="9"/>
  <c r="E350" i="9"/>
  <c r="E351" i="9"/>
  <c r="E352" i="9"/>
  <c r="E353" i="9"/>
  <c r="E354" i="9"/>
  <c r="E355" i="9"/>
  <c r="E356" i="9"/>
  <c r="E357" i="9"/>
  <c r="E358" i="9"/>
  <c r="E359" i="9"/>
  <c r="E360" i="9"/>
  <c r="E361" i="9"/>
  <c r="E362" i="9"/>
  <c r="E363" i="9"/>
  <c r="E364" i="9"/>
  <c r="E365" i="9"/>
  <c r="E366" i="9"/>
  <c r="E367" i="9"/>
  <c r="E368" i="9"/>
  <c r="E369" i="9"/>
  <c r="E370" i="9"/>
  <c r="E371" i="9"/>
  <c r="E372" i="9"/>
  <c r="E373" i="9"/>
  <c r="E374" i="9"/>
  <c r="E375" i="9"/>
  <c r="E376" i="9"/>
  <c r="E377" i="9"/>
  <c r="E378" i="9"/>
  <c r="E379" i="9"/>
  <c r="E380" i="9"/>
  <c r="E381" i="9"/>
  <c r="E382" i="9"/>
  <c r="E383" i="9"/>
  <c r="E384" i="9"/>
  <c r="E385" i="9"/>
  <c r="E386" i="9"/>
  <c r="E387" i="9"/>
  <c r="E388" i="9"/>
  <c r="E389" i="9"/>
  <c r="E390" i="9"/>
  <c r="E391" i="9"/>
  <c r="E392" i="9"/>
  <c r="E393" i="9"/>
  <c r="E394" i="9"/>
  <c r="E395" i="9"/>
  <c r="E396" i="9"/>
  <c r="E397" i="9"/>
  <c r="E398" i="9"/>
  <c r="E399" i="9"/>
  <c r="E400" i="9"/>
  <c r="E401" i="9"/>
  <c r="E402" i="9"/>
  <c r="E403" i="9"/>
  <c r="E404" i="9"/>
  <c r="E405" i="9"/>
  <c r="E406" i="9"/>
  <c r="E407" i="9"/>
  <c r="E408" i="9"/>
  <c r="E409" i="9"/>
  <c r="E410" i="9"/>
  <c r="E411" i="9"/>
  <c r="E412" i="9"/>
  <c r="E413" i="9"/>
  <c r="E414" i="9"/>
  <c r="E415" i="9"/>
  <c r="E416" i="9"/>
  <c r="E417" i="9"/>
  <c r="E418" i="9"/>
  <c r="E419" i="9"/>
  <c r="E420" i="9"/>
  <c r="E421" i="9"/>
  <c r="E422" i="9"/>
  <c r="E423" i="9"/>
  <c r="E424" i="9"/>
  <c r="E425" i="9"/>
  <c r="E426" i="9"/>
  <c r="E427" i="9"/>
  <c r="E428" i="9"/>
  <c r="E429" i="9"/>
  <c r="E430" i="9"/>
  <c r="E431" i="9"/>
  <c r="E432" i="9"/>
  <c r="E433" i="9"/>
  <c r="E434" i="9"/>
  <c r="E435" i="9"/>
  <c r="E436" i="9"/>
  <c r="E437" i="9"/>
  <c r="E438" i="9"/>
  <c r="E439" i="9"/>
  <c r="E440" i="9"/>
  <c r="E441" i="9"/>
  <c r="E442" i="9"/>
  <c r="E443" i="9"/>
  <c r="E444" i="9"/>
  <c r="E445" i="9"/>
  <c r="E446" i="9"/>
  <c r="E447" i="9"/>
  <c r="E448" i="9"/>
  <c r="E449" i="9"/>
  <c r="E450" i="9"/>
  <c r="E451" i="9"/>
  <c r="E452" i="9"/>
  <c r="E453" i="9"/>
  <c r="E454" i="9"/>
  <c r="E455" i="9"/>
  <c r="E456" i="9"/>
  <c r="E457" i="9"/>
  <c r="E458" i="9"/>
  <c r="E459" i="9"/>
  <c r="E460" i="9"/>
  <c r="E461" i="9"/>
  <c r="E462" i="9"/>
  <c r="E463" i="9"/>
  <c r="E464" i="9"/>
  <c r="E465" i="9"/>
  <c r="E466" i="9"/>
  <c r="E467" i="9"/>
  <c r="E468" i="9"/>
  <c r="E469" i="9"/>
  <c r="E470" i="9"/>
  <c r="E471" i="9"/>
  <c r="E472" i="9"/>
  <c r="E473" i="9"/>
  <c r="E474" i="9"/>
  <c r="E475" i="9"/>
  <c r="E476" i="9"/>
  <c r="E477" i="9"/>
  <c r="E478" i="9"/>
  <c r="E479" i="9"/>
  <c r="E480" i="9"/>
  <c r="E481" i="9"/>
  <c r="E482" i="9"/>
  <c r="E483" i="9"/>
  <c r="E484" i="9"/>
  <c r="E485" i="9"/>
  <c r="E486" i="9"/>
  <c r="E487" i="9"/>
  <c r="E488" i="9"/>
  <c r="E489" i="9"/>
  <c r="E490" i="9"/>
  <c r="E491" i="9"/>
  <c r="E492" i="9"/>
  <c r="E493" i="9"/>
  <c r="H2" i="9"/>
  <c r="H3" i="9"/>
  <c r="H4" i="9"/>
  <c r="H5" i="9"/>
  <c r="H6" i="9"/>
  <c r="H7" i="9"/>
  <c r="H8" i="9"/>
  <c r="H9" i="9"/>
  <c r="H10" i="9"/>
  <c r="H11" i="9"/>
  <c r="H12" i="9"/>
  <c r="H13" i="9"/>
  <c r="H14" i="9"/>
  <c r="H15" i="9"/>
  <c r="H16" i="9"/>
  <c r="H17" i="9"/>
  <c r="H18" i="9"/>
  <c r="H19" i="9"/>
  <c r="H20" i="9"/>
  <c r="H21" i="9"/>
  <c r="H22" i="9"/>
  <c r="H23" i="9"/>
  <c r="H24" i="9"/>
  <c r="H25" i="9"/>
  <c r="H26" i="9"/>
  <c r="H27" i="9"/>
  <c r="H28" i="9"/>
  <c r="H29" i="9"/>
  <c r="H30" i="9"/>
  <c r="H31" i="9"/>
  <c r="H32" i="9"/>
  <c r="H33" i="9"/>
  <c r="H34" i="9"/>
  <c r="H35" i="9"/>
  <c r="H36" i="9"/>
  <c r="H37" i="9"/>
  <c r="H38" i="9"/>
  <c r="H39" i="9"/>
  <c r="H40" i="9"/>
  <c r="H41" i="9"/>
  <c r="H42" i="9"/>
  <c r="H43" i="9"/>
  <c r="H44" i="9"/>
  <c r="H45" i="9"/>
  <c r="H46" i="9"/>
  <c r="H47" i="9"/>
  <c r="H48" i="9"/>
  <c r="H49" i="9"/>
  <c r="H50" i="9"/>
  <c r="H51" i="9"/>
  <c r="H52" i="9"/>
  <c r="H53" i="9"/>
  <c r="H54" i="9"/>
  <c r="H55" i="9"/>
  <c r="H56" i="9"/>
  <c r="H57" i="9"/>
  <c r="H58" i="9"/>
  <c r="H59" i="9"/>
  <c r="H60" i="9"/>
  <c r="H61" i="9"/>
  <c r="H62" i="9"/>
  <c r="H63" i="9"/>
  <c r="H64" i="9"/>
  <c r="H65" i="9"/>
  <c r="H66" i="9"/>
  <c r="H67" i="9"/>
  <c r="H68" i="9"/>
  <c r="H69" i="9"/>
  <c r="H70" i="9"/>
  <c r="H71" i="9"/>
  <c r="H72" i="9"/>
  <c r="H73" i="9"/>
  <c r="H74" i="9"/>
  <c r="H75" i="9"/>
  <c r="H76" i="9"/>
  <c r="H77" i="9"/>
  <c r="H78" i="9"/>
  <c r="H79" i="9"/>
  <c r="H80" i="9"/>
  <c r="H81" i="9"/>
  <c r="H82" i="9"/>
  <c r="H83" i="9"/>
  <c r="H84" i="9"/>
  <c r="H85" i="9"/>
  <c r="H86" i="9"/>
  <c r="H87" i="9"/>
  <c r="H88" i="9"/>
  <c r="H89" i="9"/>
  <c r="H90" i="9"/>
  <c r="H91" i="9"/>
  <c r="H92" i="9"/>
  <c r="H93" i="9"/>
  <c r="H94" i="9"/>
  <c r="H95" i="9"/>
  <c r="H96" i="9"/>
  <c r="H97" i="9"/>
  <c r="H98" i="9"/>
  <c r="H99" i="9"/>
  <c r="H100" i="9"/>
  <c r="H101" i="9"/>
  <c r="H102" i="9"/>
  <c r="H103" i="9"/>
  <c r="H104" i="9"/>
  <c r="H105" i="9"/>
  <c r="H106" i="9"/>
  <c r="H107" i="9"/>
  <c r="H108" i="9"/>
  <c r="H109" i="9"/>
  <c r="H110" i="9"/>
  <c r="H111" i="9"/>
  <c r="H112" i="9"/>
  <c r="H113" i="9"/>
  <c r="H114" i="9"/>
  <c r="H115" i="9"/>
  <c r="H116" i="9"/>
  <c r="H117" i="9"/>
  <c r="H118" i="9"/>
  <c r="H119" i="9"/>
  <c r="H120" i="9"/>
  <c r="H121" i="9"/>
  <c r="H122" i="9"/>
  <c r="H123" i="9"/>
  <c r="H124" i="9"/>
  <c r="H125" i="9"/>
  <c r="H126" i="9"/>
  <c r="H127" i="9"/>
  <c r="H128" i="9"/>
  <c r="H129" i="9"/>
  <c r="H130" i="9"/>
  <c r="H131" i="9"/>
  <c r="H132" i="9"/>
  <c r="H133" i="9"/>
  <c r="H134" i="9"/>
  <c r="H135" i="9"/>
  <c r="H136" i="9"/>
  <c r="H137" i="9"/>
  <c r="H138" i="9"/>
  <c r="H139" i="9"/>
  <c r="H140" i="9"/>
  <c r="H141" i="9"/>
  <c r="H142" i="9"/>
  <c r="H143" i="9"/>
  <c r="H144" i="9"/>
  <c r="H145" i="9"/>
  <c r="H146" i="9"/>
  <c r="H147" i="9"/>
  <c r="H148" i="9"/>
  <c r="H149" i="9"/>
  <c r="H150" i="9"/>
  <c r="H151" i="9"/>
  <c r="H152" i="9"/>
  <c r="H153" i="9"/>
  <c r="H154" i="9"/>
  <c r="H155" i="9"/>
  <c r="H156" i="9"/>
  <c r="H157" i="9"/>
  <c r="H158" i="9"/>
  <c r="H159" i="9"/>
  <c r="H160" i="9"/>
  <c r="H161" i="9"/>
  <c r="H162" i="9"/>
  <c r="H163" i="9"/>
  <c r="H164" i="9"/>
  <c r="H165" i="9"/>
  <c r="H166" i="9"/>
  <c r="H167" i="9"/>
  <c r="H168" i="9"/>
  <c r="H169" i="9"/>
  <c r="H170" i="9"/>
  <c r="H171" i="9"/>
  <c r="H172" i="9"/>
  <c r="H173" i="9"/>
  <c r="H174" i="9"/>
  <c r="H175" i="9"/>
  <c r="H176" i="9"/>
  <c r="H177" i="9"/>
  <c r="H178" i="9"/>
  <c r="H179" i="9"/>
  <c r="H180" i="9"/>
  <c r="H181" i="9"/>
  <c r="H182" i="9"/>
  <c r="H183" i="9"/>
  <c r="H184" i="9"/>
  <c r="H185" i="9"/>
  <c r="H186" i="9"/>
  <c r="H187" i="9"/>
  <c r="H188" i="9"/>
  <c r="H189" i="9"/>
  <c r="H190" i="9"/>
  <c r="H191" i="9"/>
  <c r="H192" i="9"/>
  <c r="H193" i="9"/>
  <c r="H194" i="9"/>
  <c r="H195" i="9"/>
  <c r="H196" i="9"/>
  <c r="H197" i="9"/>
  <c r="H198" i="9"/>
  <c r="H199" i="9"/>
  <c r="H200" i="9"/>
  <c r="H201" i="9"/>
  <c r="H202" i="9"/>
  <c r="H203" i="9"/>
  <c r="H204" i="9"/>
  <c r="H205" i="9"/>
  <c r="H206" i="9"/>
  <c r="H207" i="9"/>
  <c r="H208" i="9"/>
  <c r="H209" i="9"/>
  <c r="H210" i="9"/>
  <c r="H211" i="9"/>
  <c r="H212" i="9"/>
  <c r="H213" i="9"/>
  <c r="H214" i="9"/>
  <c r="H215" i="9"/>
  <c r="H216" i="9"/>
  <c r="H217" i="9"/>
  <c r="H218" i="9"/>
  <c r="H219" i="9"/>
  <c r="H220" i="9"/>
  <c r="H221" i="9"/>
  <c r="H222" i="9"/>
  <c r="H223" i="9"/>
  <c r="H224" i="9"/>
  <c r="H225" i="9"/>
  <c r="H226" i="9"/>
  <c r="H227" i="9"/>
  <c r="H228" i="9"/>
  <c r="H229" i="9"/>
  <c r="H230" i="9"/>
  <c r="H231" i="9"/>
  <c r="H232" i="9"/>
  <c r="H233" i="9"/>
  <c r="H234" i="9"/>
  <c r="H235" i="9"/>
  <c r="H236" i="9"/>
  <c r="H237" i="9"/>
  <c r="H238" i="9"/>
  <c r="H239" i="9"/>
  <c r="H240" i="9"/>
  <c r="H241" i="9"/>
  <c r="H242" i="9"/>
  <c r="H243" i="9"/>
  <c r="H244" i="9"/>
  <c r="H245" i="9"/>
  <c r="H246" i="9"/>
  <c r="H247" i="9"/>
  <c r="H248" i="9"/>
  <c r="H249" i="9"/>
  <c r="H250" i="9"/>
  <c r="H251" i="9"/>
  <c r="H252" i="9"/>
  <c r="H253" i="9"/>
  <c r="H254" i="9"/>
  <c r="H255" i="9"/>
  <c r="H256" i="9"/>
  <c r="H257" i="9"/>
  <c r="H258" i="9"/>
  <c r="H259" i="9"/>
  <c r="H260" i="9"/>
  <c r="H261" i="9"/>
  <c r="H262" i="9"/>
  <c r="H263" i="9"/>
  <c r="H264" i="9"/>
  <c r="H265" i="9"/>
  <c r="H266" i="9"/>
  <c r="H267" i="9"/>
  <c r="H268" i="9"/>
  <c r="H269" i="9"/>
  <c r="H270" i="9"/>
  <c r="H271" i="9"/>
  <c r="H272" i="9"/>
  <c r="H273" i="9"/>
  <c r="H274" i="9"/>
  <c r="H275" i="9"/>
  <c r="H276" i="9"/>
  <c r="H277" i="9"/>
  <c r="H278" i="9"/>
  <c r="H279" i="9"/>
  <c r="H280" i="9"/>
  <c r="H281" i="9"/>
  <c r="H282" i="9"/>
  <c r="H283" i="9"/>
  <c r="H284" i="9"/>
  <c r="H285" i="9"/>
  <c r="H286" i="9"/>
  <c r="H287" i="9"/>
  <c r="H288" i="9"/>
  <c r="H289" i="9"/>
  <c r="H290" i="9"/>
  <c r="H291" i="9"/>
  <c r="H292" i="9"/>
  <c r="H293" i="9"/>
  <c r="H294" i="9"/>
  <c r="H295" i="9"/>
  <c r="H296" i="9"/>
  <c r="H297" i="9"/>
  <c r="H298" i="9"/>
  <c r="H299" i="9"/>
  <c r="H300" i="9"/>
  <c r="H301" i="9"/>
  <c r="H302" i="9"/>
  <c r="H303" i="9"/>
  <c r="H304" i="9"/>
  <c r="H305" i="9"/>
  <c r="H306" i="9"/>
  <c r="H307" i="9"/>
  <c r="H308" i="9"/>
  <c r="H309" i="9"/>
  <c r="H310" i="9"/>
  <c r="H311" i="9"/>
  <c r="H312" i="9"/>
  <c r="H313" i="9"/>
  <c r="H314" i="9"/>
  <c r="H315" i="9"/>
  <c r="H316" i="9"/>
  <c r="H317" i="9"/>
  <c r="H318" i="9"/>
  <c r="H319" i="9"/>
  <c r="H320" i="9"/>
  <c r="H321" i="9"/>
  <c r="H322" i="9"/>
  <c r="H323" i="9"/>
  <c r="H324" i="9"/>
  <c r="H325" i="9"/>
  <c r="H326" i="9"/>
  <c r="H327" i="9"/>
  <c r="H328" i="9"/>
  <c r="H329" i="9"/>
  <c r="H330" i="9"/>
  <c r="H331" i="9"/>
  <c r="H332" i="9"/>
  <c r="H333" i="9"/>
  <c r="H334" i="9"/>
  <c r="H335" i="9"/>
  <c r="H336" i="9"/>
  <c r="H337" i="9"/>
  <c r="H338" i="9"/>
  <c r="H339" i="9"/>
  <c r="H340" i="9"/>
  <c r="H341" i="9"/>
  <c r="H342" i="9"/>
  <c r="H343" i="9"/>
  <c r="H344" i="9"/>
  <c r="H345" i="9"/>
  <c r="H346" i="9"/>
  <c r="H347" i="9"/>
  <c r="H348" i="9"/>
  <c r="H349" i="9"/>
  <c r="H350" i="9"/>
  <c r="H351" i="9"/>
  <c r="H352" i="9"/>
  <c r="H353" i="9"/>
  <c r="H354" i="9"/>
  <c r="H355" i="9"/>
  <c r="H356" i="9"/>
  <c r="H357" i="9"/>
  <c r="H358" i="9"/>
  <c r="H359" i="9"/>
  <c r="H360" i="9"/>
  <c r="H361" i="9"/>
  <c r="H362" i="9"/>
  <c r="H363" i="9"/>
  <c r="H364" i="9"/>
  <c r="H365" i="9"/>
  <c r="H366" i="9"/>
  <c r="H367" i="9"/>
  <c r="H368" i="9"/>
  <c r="H369" i="9"/>
  <c r="H370" i="9"/>
  <c r="H371" i="9"/>
  <c r="H372" i="9"/>
  <c r="H373" i="9"/>
  <c r="H374" i="9"/>
  <c r="H375" i="9"/>
  <c r="H376" i="9"/>
  <c r="H377" i="9"/>
  <c r="H378" i="9"/>
  <c r="H379" i="9"/>
  <c r="H380" i="9"/>
  <c r="H381" i="9"/>
  <c r="H382" i="9"/>
  <c r="H383" i="9"/>
  <c r="H384" i="9"/>
  <c r="H385" i="9"/>
  <c r="H386" i="9"/>
  <c r="H387" i="9"/>
  <c r="H388" i="9"/>
  <c r="H389" i="9"/>
  <c r="H390" i="9"/>
  <c r="H391" i="9"/>
  <c r="H392" i="9"/>
  <c r="H393" i="9"/>
  <c r="H394" i="9"/>
  <c r="H395" i="9"/>
  <c r="H396" i="9"/>
  <c r="H397" i="9"/>
  <c r="H398" i="9"/>
  <c r="H399" i="9"/>
  <c r="H400" i="9"/>
  <c r="H401" i="9"/>
  <c r="H402" i="9"/>
  <c r="H403" i="9"/>
  <c r="H404" i="9"/>
  <c r="H405" i="9"/>
  <c r="H406" i="9"/>
  <c r="H407" i="9"/>
  <c r="H408" i="9"/>
  <c r="H409" i="9"/>
  <c r="H410" i="9"/>
  <c r="H411" i="9"/>
  <c r="H412" i="9"/>
  <c r="H413" i="9"/>
  <c r="H414" i="9"/>
  <c r="H415" i="9"/>
  <c r="H416" i="9"/>
  <c r="H417" i="9"/>
  <c r="H418" i="9"/>
  <c r="H419" i="9"/>
  <c r="H420" i="9"/>
  <c r="H421" i="9"/>
  <c r="H422" i="9"/>
  <c r="H423" i="9"/>
  <c r="H424" i="9"/>
  <c r="H425" i="9"/>
  <c r="H426" i="9"/>
  <c r="H427" i="9"/>
  <c r="H428" i="9"/>
  <c r="H429" i="9"/>
  <c r="H430" i="9"/>
  <c r="H431" i="9"/>
  <c r="H432" i="9"/>
  <c r="H433" i="9"/>
  <c r="H434" i="9"/>
  <c r="H435" i="9"/>
  <c r="H436" i="9"/>
  <c r="H437" i="9"/>
  <c r="H438" i="9"/>
  <c r="H439" i="9"/>
  <c r="H440" i="9"/>
  <c r="H441" i="9"/>
  <c r="H442" i="9"/>
  <c r="H443" i="9"/>
  <c r="H444" i="9"/>
  <c r="H445" i="9"/>
  <c r="H446" i="9"/>
  <c r="H447" i="9"/>
  <c r="H448" i="9"/>
  <c r="H449" i="9"/>
  <c r="H450" i="9"/>
  <c r="H451" i="9"/>
  <c r="H452" i="9"/>
  <c r="H453" i="9"/>
  <c r="H454" i="9"/>
  <c r="H455" i="9"/>
  <c r="H456" i="9"/>
  <c r="H457" i="9"/>
  <c r="H458" i="9"/>
  <c r="H459" i="9"/>
  <c r="H460" i="9"/>
  <c r="H461" i="9"/>
  <c r="H462" i="9"/>
  <c r="H463" i="9"/>
  <c r="H464" i="9"/>
  <c r="H465" i="9"/>
  <c r="H466" i="9"/>
  <c r="H467" i="9"/>
  <c r="H468" i="9"/>
  <c r="H469" i="9"/>
  <c r="H470" i="9"/>
  <c r="H471" i="9"/>
  <c r="H472" i="9"/>
  <c r="H473" i="9"/>
  <c r="H474" i="9"/>
  <c r="H475" i="9"/>
  <c r="H476" i="9"/>
  <c r="H477" i="9"/>
  <c r="H478" i="9"/>
  <c r="H479" i="9"/>
  <c r="H480" i="9"/>
  <c r="H481" i="9"/>
  <c r="H482" i="9"/>
  <c r="H483" i="9"/>
  <c r="H484" i="9"/>
  <c r="H485" i="9"/>
  <c r="H486" i="9"/>
  <c r="H487" i="9"/>
  <c r="H488" i="9"/>
  <c r="H489" i="9"/>
  <c r="H490" i="9"/>
  <c r="H491" i="9"/>
  <c r="H492" i="9"/>
  <c r="H493" i="9"/>
  <c r="G102" i="6"/>
  <c r="I102" i="6"/>
  <c r="I2" i="6"/>
  <c r="I3" i="6"/>
  <c r="I4" i="6"/>
  <c r="I5" i="6"/>
  <c r="I6" i="6"/>
  <c r="I7" i="6"/>
  <c r="I8" i="6"/>
  <c r="I9" i="6"/>
  <c r="I10" i="6"/>
  <c r="I11" i="6"/>
  <c r="I12" i="6"/>
  <c r="I13" i="6"/>
  <c r="I14" i="6"/>
  <c r="I15" i="6"/>
  <c r="I16" i="6"/>
  <c r="I17" i="6"/>
  <c r="I18" i="6"/>
  <c r="I19" i="6"/>
  <c r="I20" i="6"/>
  <c r="I21" i="6"/>
  <c r="I22" i="6"/>
  <c r="I23" i="6"/>
  <c r="I24" i="6"/>
  <c r="I25" i="6"/>
  <c r="I26" i="6"/>
  <c r="I27" i="6"/>
  <c r="I28" i="6"/>
  <c r="I29" i="6"/>
  <c r="I30" i="6"/>
  <c r="I31" i="6"/>
  <c r="I32" i="6"/>
  <c r="I33" i="6"/>
  <c r="I34" i="6"/>
  <c r="I35" i="6"/>
  <c r="I36" i="6"/>
  <c r="I37" i="6"/>
  <c r="I38" i="6"/>
  <c r="I39" i="6"/>
  <c r="I40" i="6"/>
  <c r="I41" i="6"/>
  <c r="I42" i="6"/>
  <c r="I43" i="6"/>
  <c r="I44" i="6"/>
  <c r="I45" i="6"/>
  <c r="I46" i="6"/>
  <c r="I47" i="6"/>
  <c r="I48" i="6"/>
  <c r="I49" i="6"/>
  <c r="I50" i="6"/>
  <c r="I51" i="6"/>
  <c r="I52" i="6"/>
  <c r="I53" i="6"/>
  <c r="I54" i="6"/>
  <c r="I55" i="6"/>
  <c r="I56" i="6"/>
  <c r="I57" i="6"/>
  <c r="I58" i="6"/>
  <c r="I59" i="6"/>
  <c r="I60" i="6"/>
  <c r="I61" i="6"/>
  <c r="I62" i="6"/>
  <c r="I63" i="6"/>
  <c r="I64" i="6"/>
  <c r="I65" i="6"/>
  <c r="I66" i="6"/>
  <c r="I67" i="6"/>
  <c r="I68" i="6"/>
  <c r="I69" i="6"/>
  <c r="I70" i="6"/>
  <c r="I71" i="6"/>
  <c r="I72" i="6"/>
  <c r="I73" i="6"/>
  <c r="I74" i="6"/>
  <c r="I75" i="6"/>
  <c r="I76" i="6"/>
  <c r="I77" i="6"/>
  <c r="I78" i="6"/>
  <c r="I79" i="6"/>
  <c r="I80" i="6"/>
  <c r="I81" i="6"/>
  <c r="I82" i="6"/>
  <c r="I83" i="6"/>
  <c r="I84" i="6"/>
  <c r="I85" i="6"/>
  <c r="I86" i="6"/>
  <c r="I87" i="6"/>
  <c r="I88" i="6"/>
  <c r="I89" i="6"/>
  <c r="I90" i="6"/>
  <c r="I91" i="6"/>
  <c r="I92" i="6"/>
  <c r="I93" i="6"/>
  <c r="I94" i="6"/>
  <c r="I95" i="6"/>
  <c r="I96" i="6"/>
  <c r="I97" i="6"/>
  <c r="I98" i="6"/>
  <c r="I99" i="6"/>
  <c r="I100" i="6"/>
  <c r="I101" i="6"/>
  <c r="G2" i="6"/>
  <c r="G3" i="6"/>
  <c r="G4" i="6"/>
  <c r="G5" i="6"/>
  <c r="G6" i="6"/>
  <c r="G7" i="6"/>
  <c r="G8" i="6"/>
  <c r="G9" i="6"/>
  <c r="G10" i="6"/>
  <c r="G11" i="6"/>
  <c r="G12" i="6"/>
  <c r="G13" i="6"/>
  <c r="G14" i="6"/>
  <c r="G15" i="6"/>
  <c r="G16" i="6"/>
  <c r="G17" i="6"/>
  <c r="G18" i="6"/>
  <c r="G19" i="6"/>
  <c r="G20" i="6"/>
  <c r="G21" i="6"/>
  <c r="G22" i="6"/>
  <c r="G23" i="6"/>
  <c r="G24" i="6"/>
  <c r="G25" i="6"/>
  <c r="G26" i="6"/>
  <c r="G27" i="6"/>
  <c r="G28" i="6"/>
  <c r="G29" i="6"/>
  <c r="G30" i="6"/>
  <c r="G31" i="6"/>
  <c r="G32" i="6"/>
  <c r="G33" i="6"/>
  <c r="G34" i="6"/>
  <c r="G35" i="6"/>
  <c r="G36" i="6"/>
  <c r="G37" i="6"/>
  <c r="G38" i="6"/>
  <c r="G39" i="6"/>
  <c r="G40" i="6"/>
  <c r="G41" i="6"/>
  <c r="G42" i="6"/>
  <c r="G43" i="6"/>
  <c r="G44" i="6"/>
  <c r="G45" i="6"/>
  <c r="G46" i="6"/>
  <c r="G47" i="6"/>
  <c r="G48" i="6"/>
  <c r="G49" i="6"/>
  <c r="G50" i="6"/>
  <c r="G51" i="6"/>
  <c r="G52" i="6"/>
  <c r="G53" i="6"/>
  <c r="G54" i="6"/>
  <c r="G55" i="6"/>
  <c r="G56" i="6"/>
  <c r="G57" i="6"/>
  <c r="G58" i="6"/>
  <c r="G59" i="6"/>
  <c r="G60" i="6"/>
  <c r="G61" i="6"/>
  <c r="G62" i="6"/>
  <c r="G63" i="6"/>
  <c r="G64" i="6"/>
  <c r="G65" i="6"/>
  <c r="G66" i="6"/>
  <c r="G67" i="6"/>
  <c r="G68" i="6"/>
  <c r="G69" i="6"/>
  <c r="G70" i="6"/>
  <c r="G71" i="6"/>
  <c r="G72" i="6"/>
  <c r="G73" i="6"/>
  <c r="G74" i="6"/>
  <c r="G75" i="6"/>
  <c r="G76" i="6"/>
  <c r="G77" i="6"/>
  <c r="G78" i="6"/>
  <c r="G79" i="6"/>
  <c r="G80" i="6"/>
  <c r="G81" i="6"/>
  <c r="G82" i="6"/>
  <c r="G83" i="6"/>
  <c r="G84" i="6"/>
  <c r="G85" i="6"/>
  <c r="G86" i="6"/>
  <c r="G87" i="6"/>
  <c r="G88" i="6"/>
  <c r="G89" i="6"/>
  <c r="G90" i="6"/>
  <c r="G91" i="6"/>
  <c r="G92" i="6"/>
  <c r="G93" i="6"/>
  <c r="G94" i="6"/>
  <c r="G95" i="6"/>
  <c r="G96" i="6"/>
  <c r="G97" i="6"/>
  <c r="G98" i="6"/>
  <c r="G99" i="6"/>
  <c r="G100" i="6"/>
  <c r="G101" i="6"/>
  <c r="J2" i="5"/>
  <c r="J3" i="5"/>
  <c r="J4" i="5"/>
  <c r="J5" i="5"/>
  <c r="J6" i="5"/>
  <c r="J7" i="5"/>
  <c r="J8" i="5"/>
  <c r="J9" i="5"/>
  <c r="J10" i="5"/>
  <c r="J11" i="5"/>
  <c r="J12" i="5"/>
  <c r="J13" i="5"/>
  <c r="J14" i="5"/>
  <c r="J15" i="5"/>
  <c r="J16" i="5"/>
  <c r="J17" i="5"/>
  <c r="J18" i="5"/>
  <c r="J19" i="5"/>
  <c r="J20" i="5"/>
  <c r="J21" i="5"/>
  <c r="J22" i="5"/>
  <c r="J23" i="5"/>
  <c r="J24" i="5"/>
  <c r="J25" i="5"/>
  <c r="J26" i="5"/>
  <c r="J27" i="5"/>
  <c r="J28" i="5"/>
  <c r="J29" i="5"/>
  <c r="J30" i="5"/>
  <c r="J31" i="5"/>
  <c r="J32" i="5"/>
  <c r="J33" i="5"/>
  <c r="J34" i="5"/>
  <c r="J35" i="5"/>
  <c r="J36" i="5"/>
  <c r="J37" i="5"/>
  <c r="J38" i="5"/>
  <c r="J39" i="5"/>
  <c r="J40" i="5"/>
  <c r="J41" i="5"/>
  <c r="J42" i="5"/>
  <c r="J43" i="5"/>
  <c r="J44" i="5"/>
  <c r="J45" i="5"/>
  <c r="J46" i="5"/>
  <c r="J47" i="5"/>
  <c r="J48" i="5"/>
  <c r="J49" i="5"/>
  <c r="J50" i="5"/>
  <c r="J51" i="5"/>
  <c r="J52" i="5"/>
  <c r="J53" i="5"/>
  <c r="J54" i="5"/>
  <c r="J55" i="5"/>
  <c r="J56" i="5"/>
  <c r="J57" i="5"/>
  <c r="J58" i="5"/>
  <c r="J59" i="5"/>
  <c r="J60" i="5"/>
  <c r="J61" i="5"/>
  <c r="J62" i="5"/>
  <c r="J63" i="5"/>
  <c r="J64" i="5"/>
  <c r="J65" i="5"/>
  <c r="J66" i="5"/>
  <c r="J67" i="5"/>
  <c r="J68" i="5"/>
  <c r="J69" i="5"/>
  <c r="J70" i="5"/>
  <c r="J71" i="5"/>
  <c r="J72" i="5"/>
  <c r="J73" i="5"/>
  <c r="J74" i="5"/>
  <c r="J75" i="5"/>
  <c r="J76" i="5"/>
  <c r="J77" i="5"/>
  <c r="J78" i="5"/>
  <c r="J79" i="5"/>
  <c r="J80" i="5"/>
  <c r="J81" i="5"/>
  <c r="J82" i="5"/>
  <c r="J83" i="5"/>
  <c r="J84" i="5"/>
  <c r="J85" i="5"/>
  <c r="J86" i="5"/>
  <c r="J87" i="5"/>
  <c r="J88" i="5"/>
  <c r="J89" i="5"/>
  <c r="J90" i="5"/>
  <c r="J91" i="5"/>
  <c r="J92" i="5"/>
  <c r="J93" i="5"/>
  <c r="J94" i="5"/>
  <c r="J95" i="5"/>
  <c r="J96" i="5"/>
  <c r="J97" i="5"/>
  <c r="J98" i="5"/>
  <c r="J99" i="5"/>
  <c r="J100" i="5"/>
  <c r="J101" i="5"/>
  <c r="J102" i="5"/>
  <c r="J103" i="5"/>
  <c r="J104" i="5"/>
  <c r="J105" i="5"/>
  <c r="J106" i="5"/>
  <c r="J107" i="5"/>
  <c r="J108" i="5"/>
  <c r="J109" i="5"/>
  <c r="J110" i="5"/>
  <c r="J111" i="5"/>
  <c r="J112" i="5"/>
  <c r="J113" i="5"/>
  <c r="J114" i="5"/>
  <c r="J115" i="5"/>
  <c r="J116" i="5"/>
  <c r="J117" i="5"/>
  <c r="J118" i="5"/>
  <c r="J119" i="5"/>
  <c r="J120" i="5"/>
  <c r="J121" i="5"/>
  <c r="J122" i="5"/>
  <c r="J123" i="5"/>
  <c r="J124" i="5"/>
  <c r="J125" i="5"/>
  <c r="J126" i="5"/>
  <c r="J127" i="5"/>
  <c r="J128" i="5"/>
  <c r="J129" i="5"/>
  <c r="J130" i="5"/>
  <c r="J131" i="5"/>
  <c r="J132" i="5"/>
  <c r="J133" i="5"/>
  <c r="J134" i="5"/>
  <c r="J135" i="5"/>
  <c r="J136" i="5"/>
  <c r="J137" i="5"/>
  <c r="J138" i="5"/>
  <c r="J139" i="5"/>
  <c r="J140" i="5"/>
  <c r="J141" i="5"/>
  <c r="J142" i="5"/>
  <c r="J143" i="5"/>
  <c r="J144" i="5"/>
  <c r="J145" i="5"/>
  <c r="J146" i="5"/>
  <c r="J147" i="5"/>
  <c r="J148" i="5"/>
  <c r="J149" i="5"/>
  <c r="J150" i="5"/>
  <c r="J151" i="5"/>
  <c r="J152" i="5"/>
  <c r="J153" i="5"/>
  <c r="J154" i="5"/>
  <c r="J155" i="5"/>
  <c r="J156" i="5"/>
  <c r="J157" i="5"/>
  <c r="J158" i="5"/>
  <c r="J159" i="5"/>
  <c r="J160" i="5"/>
  <c r="J161" i="5"/>
  <c r="J162" i="5"/>
  <c r="J163" i="5"/>
  <c r="J164" i="5"/>
  <c r="J165" i="5"/>
  <c r="J166" i="5"/>
  <c r="J167" i="5"/>
  <c r="J168" i="5"/>
  <c r="J169" i="5"/>
  <c r="J170" i="5"/>
  <c r="J171" i="5"/>
  <c r="J172" i="5"/>
  <c r="J173" i="5"/>
  <c r="J174" i="5"/>
  <c r="J175" i="5"/>
  <c r="J176" i="5"/>
  <c r="J177" i="5"/>
  <c r="J178" i="5"/>
  <c r="J179" i="5"/>
  <c r="J180" i="5"/>
  <c r="J181" i="5"/>
  <c r="J182" i="5"/>
  <c r="J183" i="5"/>
  <c r="J184" i="5"/>
  <c r="J185" i="5"/>
  <c r="J186" i="5"/>
  <c r="J187" i="5"/>
  <c r="J188" i="5"/>
  <c r="J189" i="5"/>
  <c r="J190" i="5"/>
  <c r="J191" i="5"/>
  <c r="J192" i="5"/>
  <c r="J193" i="5"/>
  <c r="J194" i="5"/>
  <c r="J195" i="5"/>
  <c r="J196" i="5"/>
  <c r="J197" i="5"/>
  <c r="J198" i="5"/>
  <c r="J199" i="5"/>
  <c r="J200" i="5"/>
  <c r="J201" i="5"/>
  <c r="J202" i="5"/>
  <c r="J203" i="5"/>
  <c r="J204" i="5"/>
  <c r="J205" i="5"/>
  <c r="J206" i="5"/>
  <c r="J207" i="5"/>
  <c r="J208" i="5"/>
  <c r="J209" i="5"/>
  <c r="J210" i="5"/>
  <c r="J211" i="5"/>
  <c r="J212" i="5"/>
  <c r="J213" i="5"/>
  <c r="J214" i="5"/>
  <c r="J215" i="5"/>
  <c r="J216" i="5"/>
  <c r="J217" i="5"/>
  <c r="J218" i="5"/>
  <c r="J219" i="5"/>
  <c r="J220" i="5"/>
  <c r="J221" i="5"/>
  <c r="J222" i="5"/>
  <c r="J223" i="5"/>
  <c r="J224" i="5"/>
  <c r="J225" i="5"/>
  <c r="J226" i="5"/>
  <c r="J227" i="5"/>
  <c r="J228" i="5"/>
  <c r="J229" i="5"/>
  <c r="J230" i="5"/>
  <c r="J231" i="5"/>
  <c r="J232" i="5"/>
  <c r="J233" i="5"/>
  <c r="J234" i="5"/>
  <c r="J235" i="5"/>
  <c r="J236" i="5"/>
  <c r="J237" i="5"/>
  <c r="J238" i="5"/>
  <c r="J239" i="5"/>
  <c r="J240" i="5"/>
  <c r="J241" i="5"/>
  <c r="J242" i="5"/>
  <c r="J243" i="5"/>
  <c r="J244" i="5"/>
  <c r="J245" i="5"/>
  <c r="J246" i="5"/>
  <c r="J247" i="5"/>
  <c r="J248" i="5"/>
  <c r="J249" i="5"/>
  <c r="J250" i="5"/>
  <c r="J251" i="5"/>
  <c r="J252" i="5"/>
  <c r="J253" i="5"/>
  <c r="J254" i="5"/>
  <c r="J255" i="5"/>
  <c r="J256" i="5"/>
  <c r="J257" i="5"/>
  <c r="J258" i="5"/>
  <c r="J259" i="5"/>
  <c r="J260" i="5"/>
  <c r="J261" i="5"/>
  <c r="J262" i="5"/>
  <c r="J263" i="5"/>
  <c r="J264" i="5"/>
  <c r="J265" i="5"/>
  <c r="J266" i="5"/>
  <c r="J267" i="5"/>
  <c r="J268" i="5"/>
  <c r="J269" i="5"/>
  <c r="J270" i="5"/>
  <c r="J271" i="5"/>
  <c r="J272" i="5"/>
  <c r="J273" i="5"/>
  <c r="J274" i="5"/>
  <c r="J275" i="5"/>
  <c r="J276" i="5"/>
  <c r="J277" i="5"/>
  <c r="J278" i="5"/>
  <c r="J279" i="5"/>
  <c r="J280" i="5"/>
  <c r="J281" i="5"/>
  <c r="J282" i="5"/>
  <c r="J283" i="5"/>
  <c r="J284" i="5"/>
  <c r="J285" i="5"/>
  <c r="J286" i="5"/>
  <c r="J287" i="5"/>
  <c r="J288" i="5"/>
  <c r="J289" i="5"/>
  <c r="J290" i="5"/>
  <c r="J291" i="5"/>
  <c r="J292" i="5"/>
  <c r="J293" i="5"/>
  <c r="J294" i="5"/>
  <c r="J295" i="5"/>
  <c r="J296" i="5"/>
  <c r="J297" i="5"/>
  <c r="J298" i="5"/>
  <c r="J299" i="5"/>
  <c r="J300" i="5"/>
  <c r="J301" i="5"/>
  <c r="J302" i="5"/>
  <c r="J303" i="5"/>
  <c r="J304" i="5"/>
  <c r="J305" i="5"/>
  <c r="J306" i="5"/>
  <c r="J307" i="5"/>
  <c r="J308" i="5"/>
  <c r="J309" i="5"/>
  <c r="J310" i="5"/>
  <c r="J311" i="5"/>
  <c r="J312" i="5"/>
  <c r="J313" i="5"/>
  <c r="J314" i="5"/>
  <c r="J315" i="5"/>
  <c r="J316" i="5"/>
  <c r="J317" i="5"/>
  <c r="J318" i="5"/>
  <c r="J319" i="5"/>
  <c r="J320" i="5"/>
  <c r="J321" i="5"/>
  <c r="J322" i="5"/>
  <c r="J323" i="5"/>
  <c r="J324" i="5"/>
  <c r="J325" i="5"/>
  <c r="J326" i="5"/>
  <c r="J327" i="5"/>
  <c r="J328" i="5"/>
  <c r="J329" i="5"/>
  <c r="J330" i="5"/>
  <c r="J331" i="5"/>
  <c r="J332" i="5"/>
  <c r="J333" i="5"/>
  <c r="J334" i="5"/>
  <c r="J335" i="5"/>
  <c r="J336" i="5"/>
  <c r="J337" i="5"/>
  <c r="J338" i="5"/>
  <c r="J339" i="5"/>
  <c r="J340" i="5"/>
  <c r="J341" i="5"/>
  <c r="J342" i="5"/>
  <c r="J343" i="5"/>
  <c r="J344" i="5"/>
  <c r="J345" i="5"/>
  <c r="J346" i="5"/>
  <c r="J347" i="5"/>
  <c r="J348" i="5"/>
  <c r="J349" i="5"/>
  <c r="J350" i="5"/>
  <c r="J351" i="5"/>
  <c r="J352" i="5"/>
  <c r="J353" i="5"/>
  <c r="J354" i="5"/>
  <c r="J355" i="5"/>
  <c r="J356" i="5"/>
  <c r="J357" i="5"/>
  <c r="J358" i="5"/>
  <c r="J359" i="5"/>
  <c r="J360" i="5"/>
  <c r="J361" i="5"/>
  <c r="J362" i="5"/>
  <c r="J363" i="5"/>
  <c r="J364" i="5"/>
  <c r="J365" i="5"/>
  <c r="J366" i="5"/>
  <c r="J367" i="5"/>
  <c r="J368" i="5"/>
  <c r="J369" i="5"/>
  <c r="J370" i="5"/>
  <c r="J371" i="5"/>
  <c r="J372" i="5"/>
  <c r="J373" i="5"/>
  <c r="J374" i="5"/>
  <c r="J375" i="5"/>
  <c r="J376" i="5"/>
  <c r="J377" i="5"/>
  <c r="J378" i="5"/>
  <c r="J379" i="5"/>
  <c r="J380" i="5"/>
  <c r="J381" i="5"/>
  <c r="J382" i="5"/>
  <c r="J383" i="5"/>
  <c r="J384" i="5"/>
  <c r="J385" i="5"/>
  <c r="J386" i="5"/>
  <c r="J387" i="5"/>
  <c r="J388" i="5"/>
  <c r="J389" i="5"/>
  <c r="J390" i="5"/>
  <c r="J391" i="5"/>
  <c r="J392" i="5"/>
  <c r="J393" i="5"/>
  <c r="J394" i="5"/>
  <c r="J395" i="5"/>
  <c r="J396" i="5"/>
  <c r="J397" i="5"/>
  <c r="J398" i="5"/>
  <c r="J399" i="5"/>
  <c r="J400" i="5"/>
  <c r="J401" i="5"/>
  <c r="J402" i="5"/>
  <c r="J403" i="5"/>
  <c r="J404" i="5"/>
  <c r="J405" i="5"/>
  <c r="J406" i="5"/>
  <c r="J407" i="5"/>
  <c r="J408" i="5"/>
  <c r="J409" i="5"/>
  <c r="J410" i="5"/>
  <c r="J411" i="5"/>
  <c r="J412" i="5"/>
  <c r="J413" i="5"/>
  <c r="J414" i="5"/>
  <c r="J415" i="5"/>
  <c r="J416" i="5"/>
  <c r="J417" i="5"/>
  <c r="J418" i="5"/>
  <c r="J419" i="5"/>
  <c r="J420" i="5"/>
  <c r="J421" i="5"/>
  <c r="J422" i="5"/>
  <c r="J423" i="5"/>
  <c r="J424" i="5"/>
  <c r="J425" i="5"/>
  <c r="J426" i="5"/>
  <c r="J427" i="5"/>
  <c r="J428" i="5"/>
  <c r="J429" i="5"/>
  <c r="J430" i="5"/>
  <c r="J431" i="5"/>
  <c r="J432" i="5"/>
  <c r="J433" i="5"/>
  <c r="J434" i="5"/>
  <c r="J435" i="5"/>
  <c r="J436" i="5"/>
  <c r="J437" i="5"/>
  <c r="J438" i="5"/>
  <c r="J439" i="5"/>
  <c r="J440" i="5"/>
  <c r="J441" i="5"/>
  <c r="J442" i="5"/>
  <c r="J443" i="5"/>
  <c r="J444" i="5"/>
  <c r="J445" i="5"/>
  <c r="J446" i="5"/>
  <c r="J447" i="5"/>
  <c r="J448" i="5"/>
  <c r="J449" i="5"/>
  <c r="J450" i="5"/>
  <c r="J451" i="5"/>
  <c r="J452" i="5"/>
  <c r="J453" i="5"/>
  <c r="J454" i="5"/>
  <c r="J455" i="5"/>
  <c r="J456" i="5"/>
  <c r="J457" i="5"/>
  <c r="J458" i="5"/>
  <c r="J459" i="5"/>
  <c r="J460" i="5"/>
  <c r="J461" i="5"/>
  <c r="J462" i="5"/>
  <c r="J463" i="5"/>
  <c r="J464" i="5"/>
  <c r="J465" i="5"/>
  <c r="J466" i="5"/>
  <c r="J467" i="5"/>
  <c r="J468" i="5"/>
  <c r="J469" i="5"/>
  <c r="J470" i="5"/>
  <c r="J471" i="5"/>
  <c r="J472" i="5"/>
  <c r="J473" i="5"/>
  <c r="J474" i="5"/>
  <c r="J475" i="5"/>
  <c r="J476" i="5"/>
  <c r="J477" i="5"/>
  <c r="J478" i="5"/>
  <c r="J479" i="5"/>
  <c r="J480" i="5"/>
  <c r="J481" i="5"/>
  <c r="J482" i="5"/>
  <c r="J483" i="5"/>
  <c r="J484" i="5"/>
  <c r="J485" i="5"/>
  <c r="J486" i="5"/>
  <c r="J487" i="5"/>
  <c r="J488" i="5"/>
  <c r="J489" i="5"/>
  <c r="J490" i="5"/>
  <c r="J491" i="5"/>
  <c r="J492" i="5"/>
  <c r="J493" i="5"/>
  <c r="J494" i="5"/>
  <c r="J495" i="5"/>
  <c r="J496" i="5"/>
  <c r="J497" i="5"/>
  <c r="J498" i="5"/>
  <c r="J499" i="5"/>
  <c r="J500" i="5"/>
  <c r="J501" i="5"/>
  <c r="C2" i="5"/>
  <c r="D2" i="5" s="1"/>
  <c r="C4" i="5"/>
  <c r="D4" i="5" s="1"/>
  <c r="C3" i="5"/>
  <c r="D3" i="5" s="1"/>
  <c r="C5" i="5"/>
  <c r="D5" i="5" s="1"/>
  <c r="C6" i="5"/>
  <c r="D6" i="5" s="1"/>
  <c r="C7" i="5"/>
  <c r="D7" i="5" s="1"/>
  <c r="C8" i="5"/>
  <c r="D8" i="5" s="1"/>
  <c r="C9" i="5"/>
  <c r="D9" i="5" s="1"/>
  <c r="C10" i="5"/>
  <c r="D10" i="5" s="1"/>
  <c r="C11" i="5"/>
  <c r="D11" i="5" s="1"/>
  <c r="C12" i="5"/>
  <c r="D12" i="5" s="1"/>
  <c r="C13" i="5"/>
  <c r="D13" i="5" s="1"/>
  <c r="C14" i="5"/>
  <c r="D14" i="5" s="1"/>
  <c r="C15" i="5"/>
  <c r="D15" i="5" s="1"/>
  <c r="C16" i="5"/>
  <c r="D16" i="5" s="1"/>
  <c r="C17" i="5"/>
  <c r="D17" i="5" s="1"/>
  <c r="C18" i="5"/>
  <c r="D18" i="5" s="1"/>
  <c r="C19" i="5"/>
  <c r="D19" i="5" s="1"/>
  <c r="C20" i="5"/>
  <c r="D20" i="5" s="1"/>
  <c r="C21" i="5"/>
  <c r="D21" i="5" s="1"/>
  <c r="C22" i="5"/>
  <c r="D22" i="5" s="1"/>
  <c r="C23" i="5"/>
  <c r="D23" i="5" s="1"/>
  <c r="C24" i="5"/>
  <c r="D24" i="5" s="1"/>
  <c r="C25" i="5"/>
  <c r="D25" i="5" s="1"/>
  <c r="C26" i="5"/>
  <c r="D26" i="5" s="1"/>
  <c r="C27" i="5"/>
  <c r="D27" i="5" s="1"/>
  <c r="C28" i="5"/>
  <c r="D28" i="5" s="1"/>
  <c r="C29" i="5"/>
  <c r="D29" i="5" s="1"/>
  <c r="C30" i="5"/>
  <c r="D30" i="5" s="1"/>
  <c r="C31" i="5"/>
  <c r="D31" i="5" s="1"/>
  <c r="C32" i="5"/>
  <c r="D32" i="5" s="1"/>
  <c r="C33" i="5"/>
  <c r="D33" i="5" s="1"/>
  <c r="C34" i="5"/>
  <c r="D34" i="5" s="1"/>
  <c r="C35" i="5"/>
  <c r="D35" i="5" s="1"/>
  <c r="C36" i="5"/>
  <c r="D36" i="5" s="1"/>
  <c r="C37" i="5"/>
  <c r="D37" i="5" s="1"/>
  <c r="C38" i="5"/>
  <c r="D38" i="5" s="1"/>
  <c r="C39" i="5"/>
  <c r="D39" i="5" s="1"/>
  <c r="C40" i="5"/>
  <c r="D40" i="5" s="1"/>
  <c r="C41" i="5"/>
  <c r="D41" i="5" s="1"/>
  <c r="C42" i="5"/>
  <c r="D42" i="5" s="1"/>
  <c r="C43" i="5"/>
  <c r="D43" i="5" s="1"/>
  <c r="C44" i="5"/>
  <c r="D44" i="5" s="1"/>
  <c r="C45" i="5"/>
  <c r="D45" i="5" s="1"/>
  <c r="C46" i="5"/>
  <c r="D46" i="5" s="1"/>
  <c r="C47" i="5"/>
  <c r="D47" i="5" s="1"/>
  <c r="C48" i="5"/>
  <c r="D48" i="5" s="1"/>
  <c r="C49" i="5"/>
  <c r="D49" i="5" s="1"/>
  <c r="C50" i="5"/>
  <c r="D50" i="5" s="1"/>
  <c r="C51" i="5"/>
  <c r="D51" i="5" s="1"/>
  <c r="C52" i="5"/>
  <c r="D52" i="5" s="1"/>
  <c r="C53" i="5"/>
  <c r="D53" i="5" s="1"/>
  <c r="C54" i="5"/>
  <c r="D54" i="5" s="1"/>
  <c r="C55" i="5"/>
  <c r="D55" i="5" s="1"/>
  <c r="C56" i="5"/>
  <c r="D56" i="5" s="1"/>
  <c r="C57" i="5"/>
  <c r="D57" i="5" s="1"/>
  <c r="C58" i="5"/>
  <c r="D58" i="5" s="1"/>
  <c r="C59" i="5"/>
  <c r="D59" i="5" s="1"/>
  <c r="C60" i="5"/>
  <c r="D60" i="5" s="1"/>
  <c r="C61" i="5"/>
  <c r="D61" i="5" s="1"/>
  <c r="C62" i="5"/>
  <c r="D62" i="5" s="1"/>
  <c r="C63" i="5"/>
  <c r="D63" i="5" s="1"/>
  <c r="C64" i="5"/>
  <c r="D64" i="5" s="1"/>
  <c r="C65" i="5"/>
  <c r="D65" i="5" s="1"/>
  <c r="C66" i="5"/>
  <c r="D66" i="5" s="1"/>
  <c r="C67" i="5"/>
  <c r="D67" i="5" s="1"/>
  <c r="C68" i="5"/>
  <c r="D68" i="5" s="1"/>
  <c r="C69" i="5"/>
  <c r="D69" i="5" s="1"/>
  <c r="C70" i="5"/>
  <c r="D70" i="5" s="1"/>
  <c r="C71" i="5"/>
  <c r="D71" i="5" s="1"/>
  <c r="C72" i="5"/>
  <c r="D72" i="5" s="1"/>
  <c r="C73" i="5"/>
  <c r="D73" i="5" s="1"/>
  <c r="C74" i="5"/>
  <c r="D74" i="5" s="1"/>
  <c r="C75" i="5"/>
  <c r="D75" i="5" s="1"/>
  <c r="C76" i="5"/>
  <c r="D76" i="5" s="1"/>
  <c r="C77" i="5"/>
  <c r="D77" i="5" s="1"/>
  <c r="C78" i="5"/>
  <c r="D78" i="5" s="1"/>
  <c r="C79" i="5"/>
  <c r="D79" i="5" s="1"/>
  <c r="C80" i="5"/>
  <c r="D80" i="5" s="1"/>
  <c r="C81" i="5"/>
  <c r="D81" i="5" s="1"/>
  <c r="C82" i="5"/>
  <c r="D82" i="5" s="1"/>
  <c r="C83" i="5"/>
  <c r="D83" i="5" s="1"/>
  <c r="C84" i="5"/>
  <c r="D84" i="5" s="1"/>
  <c r="C85" i="5"/>
  <c r="D85" i="5" s="1"/>
  <c r="C86" i="5"/>
  <c r="D86" i="5" s="1"/>
  <c r="C87" i="5"/>
  <c r="D87" i="5" s="1"/>
  <c r="C88" i="5"/>
  <c r="D88" i="5" s="1"/>
  <c r="C89" i="5"/>
  <c r="D89" i="5" s="1"/>
  <c r="C90" i="5"/>
  <c r="D90" i="5" s="1"/>
  <c r="C91" i="5"/>
  <c r="D91" i="5" s="1"/>
  <c r="C92" i="5"/>
  <c r="D92" i="5" s="1"/>
  <c r="C93" i="5"/>
  <c r="D93" i="5" s="1"/>
  <c r="C94" i="5"/>
  <c r="D94" i="5" s="1"/>
  <c r="C95" i="5"/>
  <c r="D95" i="5" s="1"/>
  <c r="C96" i="5"/>
  <c r="D96" i="5" s="1"/>
  <c r="C97" i="5"/>
  <c r="D97" i="5" s="1"/>
  <c r="C98" i="5"/>
  <c r="D98" i="5" s="1"/>
  <c r="C99" i="5"/>
  <c r="D99" i="5" s="1"/>
  <c r="C100" i="5"/>
  <c r="D100" i="5" s="1"/>
  <c r="C101" i="5"/>
  <c r="D101" i="5" s="1"/>
  <c r="C102" i="5"/>
  <c r="D102" i="5" s="1"/>
  <c r="C103" i="5"/>
  <c r="D103" i="5" s="1"/>
  <c r="C104" i="5"/>
  <c r="D104" i="5" s="1"/>
  <c r="C105" i="5"/>
  <c r="D105" i="5" s="1"/>
  <c r="C106" i="5"/>
  <c r="D106" i="5" s="1"/>
  <c r="C107" i="5"/>
  <c r="D107" i="5" s="1"/>
  <c r="C108" i="5"/>
  <c r="D108" i="5" s="1"/>
  <c r="C109" i="5"/>
  <c r="D109" i="5" s="1"/>
  <c r="C110" i="5"/>
  <c r="D110" i="5" s="1"/>
  <c r="C111" i="5"/>
  <c r="D111" i="5" s="1"/>
  <c r="C112" i="5"/>
  <c r="D112" i="5" s="1"/>
  <c r="C113" i="5"/>
  <c r="D113" i="5" s="1"/>
  <c r="C114" i="5"/>
  <c r="D114" i="5" s="1"/>
  <c r="C115" i="5"/>
  <c r="D115" i="5" s="1"/>
  <c r="C116" i="5"/>
  <c r="D116" i="5" s="1"/>
  <c r="C117" i="5"/>
  <c r="D117" i="5" s="1"/>
  <c r="C118" i="5"/>
  <c r="D118" i="5" s="1"/>
  <c r="C119" i="5"/>
  <c r="D119" i="5" s="1"/>
  <c r="C120" i="5"/>
  <c r="D120" i="5" s="1"/>
  <c r="C121" i="5"/>
  <c r="D121" i="5" s="1"/>
  <c r="C122" i="5"/>
  <c r="D122" i="5" s="1"/>
  <c r="C123" i="5"/>
  <c r="D123" i="5" s="1"/>
  <c r="C124" i="5"/>
  <c r="D124" i="5" s="1"/>
  <c r="C125" i="5"/>
  <c r="D125" i="5" s="1"/>
  <c r="C126" i="5"/>
  <c r="D126" i="5" s="1"/>
  <c r="C127" i="5"/>
  <c r="D127" i="5" s="1"/>
  <c r="C128" i="5"/>
  <c r="D128" i="5" s="1"/>
  <c r="C129" i="5"/>
  <c r="D129" i="5" s="1"/>
  <c r="C130" i="5"/>
  <c r="D130" i="5" s="1"/>
  <c r="C131" i="5"/>
  <c r="D131" i="5" s="1"/>
  <c r="C132" i="5"/>
  <c r="D132" i="5" s="1"/>
  <c r="C133" i="5"/>
  <c r="D133" i="5" s="1"/>
  <c r="C134" i="5"/>
  <c r="D134" i="5" s="1"/>
  <c r="C135" i="5"/>
  <c r="D135" i="5" s="1"/>
  <c r="C136" i="5"/>
  <c r="D136" i="5" s="1"/>
  <c r="C137" i="5"/>
  <c r="D137" i="5" s="1"/>
  <c r="C138" i="5"/>
  <c r="D138" i="5" s="1"/>
  <c r="C139" i="5"/>
  <c r="D139" i="5" s="1"/>
  <c r="C140" i="5"/>
  <c r="D140" i="5" s="1"/>
  <c r="C141" i="5"/>
  <c r="D141" i="5" s="1"/>
  <c r="C142" i="5"/>
  <c r="D142" i="5" s="1"/>
  <c r="C143" i="5"/>
  <c r="D143" i="5" s="1"/>
  <c r="C144" i="5"/>
  <c r="D144" i="5" s="1"/>
  <c r="C145" i="5"/>
  <c r="D145" i="5" s="1"/>
  <c r="C146" i="5"/>
  <c r="D146" i="5" s="1"/>
  <c r="C147" i="5"/>
  <c r="D147" i="5" s="1"/>
  <c r="C148" i="5"/>
  <c r="D148" i="5" s="1"/>
  <c r="C149" i="5"/>
  <c r="D149" i="5" s="1"/>
  <c r="C150" i="5"/>
  <c r="D150" i="5" s="1"/>
  <c r="C151" i="5"/>
  <c r="D151" i="5" s="1"/>
  <c r="C152" i="5"/>
  <c r="D152" i="5" s="1"/>
  <c r="C153" i="5"/>
  <c r="D153" i="5" s="1"/>
  <c r="C154" i="5"/>
  <c r="D154" i="5" s="1"/>
  <c r="C155" i="5"/>
  <c r="D155" i="5" s="1"/>
  <c r="C156" i="5"/>
  <c r="D156" i="5" s="1"/>
  <c r="C157" i="5"/>
  <c r="D157" i="5" s="1"/>
  <c r="C158" i="5"/>
  <c r="D158" i="5" s="1"/>
  <c r="C159" i="5"/>
  <c r="D159" i="5" s="1"/>
  <c r="C160" i="5"/>
  <c r="D160" i="5" s="1"/>
  <c r="C161" i="5"/>
  <c r="D161" i="5" s="1"/>
  <c r="C162" i="5"/>
  <c r="D162" i="5" s="1"/>
  <c r="C163" i="5"/>
  <c r="D163" i="5" s="1"/>
  <c r="C164" i="5"/>
  <c r="D164" i="5" s="1"/>
  <c r="C165" i="5"/>
  <c r="D165" i="5" s="1"/>
  <c r="C166" i="5"/>
  <c r="D166" i="5" s="1"/>
  <c r="C167" i="5"/>
  <c r="D167" i="5" s="1"/>
  <c r="C168" i="5"/>
  <c r="D168" i="5" s="1"/>
  <c r="C169" i="5"/>
  <c r="D169" i="5" s="1"/>
  <c r="C170" i="5"/>
  <c r="D170" i="5" s="1"/>
  <c r="C171" i="5"/>
  <c r="D171" i="5" s="1"/>
  <c r="C172" i="5"/>
  <c r="D172" i="5" s="1"/>
  <c r="C173" i="5"/>
  <c r="D173" i="5" s="1"/>
  <c r="C174" i="5"/>
  <c r="D174" i="5" s="1"/>
  <c r="C175" i="5"/>
  <c r="D175" i="5" s="1"/>
  <c r="C176" i="5"/>
  <c r="D176" i="5" s="1"/>
  <c r="C177" i="5"/>
  <c r="D177" i="5" s="1"/>
  <c r="C178" i="5"/>
  <c r="D178" i="5" s="1"/>
  <c r="C179" i="5"/>
  <c r="D179" i="5" s="1"/>
  <c r="C180" i="5"/>
  <c r="D180" i="5" s="1"/>
  <c r="C181" i="5"/>
  <c r="D181" i="5" s="1"/>
  <c r="C182" i="5"/>
  <c r="D182" i="5" s="1"/>
  <c r="C183" i="5"/>
  <c r="D183" i="5" s="1"/>
  <c r="C184" i="5"/>
  <c r="D184" i="5" s="1"/>
  <c r="C185" i="5"/>
  <c r="D185" i="5" s="1"/>
  <c r="C186" i="5"/>
  <c r="D186" i="5" s="1"/>
  <c r="C187" i="5"/>
  <c r="D187" i="5" s="1"/>
  <c r="C188" i="5"/>
  <c r="D188" i="5" s="1"/>
  <c r="C189" i="5"/>
  <c r="D189" i="5" s="1"/>
  <c r="C190" i="5"/>
  <c r="D190" i="5" s="1"/>
  <c r="C191" i="5"/>
  <c r="D191" i="5" s="1"/>
  <c r="C192" i="5"/>
  <c r="D192" i="5" s="1"/>
  <c r="C193" i="5"/>
  <c r="D193" i="5" s="1"/>
  <c r="C194" i="5"/>
  <c r="D194" i="5" s="1"/>
  <c r="C195" i="5"/>
  <c r="D195" i="5" s="1"/>
  <c r="C196" i="5"/>
  <c r="D196" i="5" s="1"/>
  <c r="C197" i="5"/>
  <c r="D197" i="5" s="1"/>
  <c r="C198" i="5"/>
  <c r="D198" i="5" s="1"/>
  <c r="C199" i="5"/>
  <c r="D199" i="5" s="1"/>
  <c r="C200" i="5"/>
  <c r="D200" i="5" s="1"/>
  <c r="C201" i="5"/>
  <c r="D201" i="5" s="1"/>
  <c r="C202" i="5"/>
  <c r="D202" i="5" s="1"/>
  <c r="C203" i="5"/>
  <c r="D203" i="5" s="1"/>
  <c r="C204" i="5"/>
  <c r="D204" i="5" s="1"/>
  <c r="C205" i="5"/>
  <c r="D205" i="5" s="1"/>
  <c r="C206" i="5"/>
  <c r="D206" i="5" s="1"/>
  <c r="C207" i="5"/>
  <c r="D207" i="5" s="1"/>
  <c r="C208" i="5"/>
  <c r="D208" i="5" s="1"/>
  <c r="C209" i="5"/>
  <c r="D209" i="5" s="1"/>
  <c r="C210" i="5"/>
  <c r="D210" i="5" s="1"/>
  <c r="C211" i="5"/>
  <c r="D211" i="5" s="1"/>
  <c r="C212" i="5"/>
  <c r="D212" i="5" s="1"/>
  <c r="C213" i="5"/>
  <c r="D213" i="5" s="1"/>
  <c r="C214" i="5"/>
  <c r="D214" i="5" s="1"/>
  <c r="C215" i="5"/>
  <c r="D215" i="5" s="1"/>
  <c r="C216" i="5"/>
  <c r="D216" i="5" s="1"/>
  <c r="C217" i="5"/>
  <c r="D217" i="5" s="1"/>
  <c r="C218" i="5"/>
  <c r="D218" i="5" s="1"/>
  <c r="C219" i="5"/>
  <c r="D219" i="5" s="1"/>
  <c r="C220" i="5"/>
  <c r="D220" i="5" s="1"/>
  <c r="C221" i="5"/>
  <c r="D221" i="5" s="1"/>
  <c r="C222" i="5"/>
  <c r="D222" i="5" s="1"/>
  <c r="C223" i="5"/>
  <c r="D223" i="5" s="1"/>
  <c r="C224" i="5"/>
  <c r="D224" i="5" s="1"/>
  <c r="C225" i="5"/>
  <c r="D225" i="5" s="1"/>
  <c r="C226" i="5"/>
  <c r="D226" i="5" s="1"/>
  <c r="C227" i="5"/>
  <c r="D227" i="5" s="1"/>
  <c r="C228" i="5"/>
  <c r="D228" i="5" s="1"/>
  <c r="C229" i="5"/>
  <c r="D229" i="5" s="1"/>
  <c r="C230" i="5"/>
  <c r="D230" i="5" s="1"/>
  <c r="C231" i="5"/>
  <c r="D231" i="5" s="1"/>
  <c r="C232" i="5"/>
  <c r="D232" i="5" s="1"/>
  <c r="C233" i="5"/>
  <c r="D233" i="5" s="1"/>
  <c r="C234" i="5"/>
  <c r="D234" i="5" s="1"/>
  <c r="C235" i="5"/>
  <c r="D235" i="5" s="1"/>
  <c r="C236" i="5"/>
  <c r="D236" i="5" s="1"/>
  <c r="C237" i="5"/>
  <c r="D237" i="5" s="1"/>
  <c r="C238" i="5"/>
  <c r="D238" i="5" s="1"/>
  <c r="C239" i="5"/>
  <c r="D239" i="5" s="1"/>
  <c r="C240" i="5"/>
  <c r="D240" i="5" s="1"/>
  <c r="C241" i="5"/>
  <c r="D241" i="5" s="1"/>
  <c r="C242" i="5"/>
  <c r="D242" i="5" s="1"/>
  <c r="C243" i="5"/>
  <c r="D243" i="5" s="1"/>
  <c r="C244" i="5"/>
  <c r="D244" i="5" s="1"/>
  <c r="C245" i="5"/>
  <c r="D245" i="5" s="1"/>
  <c r="C246" i="5"/>
  <c r="D246" i="5" s="1"/>
  <c r="C247" i="5"/>
  <c r="D247" i="5" s="1"/>
  <c r="C248" i="5"/>
  <c r="D248" i="5" s="1"/>
  <c r="C249" i="5"/>
  <c r="D249" i="5" s="1"/>
  <c r="C250" i="5"/>
  <c r="D250" i="5" s="1"/>
  <c r="C251" i="5"/>
  <c r="D251" i="5" s="1"/>
  <c r="C252" i="5"/>
  <c r="D252" i="5" s="1"/>
  <c r="C253" i="5"/>
  <c r="D253" i="5" s="1"/>
  <c r="C254" i="5"/>
  <c r="D254" i="5" s="1"/>
  <c r="C255" i="5"/>
  <c r="D255" i="5" s="1"/>
  <c r="C256" i="5"/>
  <c r="D256" i="5" s="1"/>
  <c r="C257" i="5"/>
  <c r="D257" i="5" s="1"/>
  <c r="C258" i="5"/>
  <c r="D258" i="5" s="1"/>
  <c r="C259" i="5"/>
  <c r="D259" i="5" s="1"/>
  <c r="C260" i="5"/>
  <c r="D260" i="5" s="1"/>
  <c r="C261" i="5"/>
  <c r="D261" i="5" s="1"/>
  <c r="C262" i="5"/>
  <c r="D262" i="5" s="1"/>
  <c r="C263" i="5"/>
  <c r="D263" i="5" s="1"/>
  <c r="C264" i="5"/>
  <c r="D264" i="5" s="1"/>
  <c r="C265" i="5"/>
  <c r="D265" i="5" s="1"/>
  <c r="C266" i="5"/>
  <c r="D266" i="5" s="1"/>
  <c r="C267" i="5"/>
  <c r="D267" i="5" s="1"/>
  <c r="C268" i="5"/>
  <c r="D268" i="5" s="1"/>
  <c r="C269" i="5"/>
  <c r="D269" i="5" s="1"/>
  <c r="C270" i="5"/>
  <c r="D270" i="5" s="1"/>
  <c r="C271" i="5"/>
  <c r="D271" i="5" s="1"/>
  <c r="C272" i="5"/>
  <c r="D272" i="5" s="1"/>
  <c r="C273" i="5"/>
  <c r="D273" i="5" s="1"/>
  <c r="C274" i="5"/>
  <c r="D274" i="5" s="1"/>
  <c r="C275" i="5"/>
  <c r="D275" i="5" s="1"/>
  <c r="C276" i="5"/>
  <c r="D276" i="5" s="1"/>
  <c r="C277" i="5"/>
  <c r="D277" i="5" s="1"/>
  <c r="C278" i="5"/>
  <c r="D278" i="5" s="1"/>
  <c r="C279" i="5"/>
  <c r="D279" i="5" s="1"/>
  <c r="C280" i="5"/>
  <c r="D280" i="5" s="1"/>
  <c r="C281" i="5"/>
  <c r="D281" i="5" s="1"/>
  <c r="C282" i="5"/>
  <c r="D282" i="5" s="1"/>
  <c r="C283" i="5"/>
  <c r="D283" i="5" s="1"/>
  <c r="C284" i="5"/>
  <c r="D284" i="5" s="1"/>
  <c r="C285" i="5"/>
  <c r="D285" i="5" s="1"/>
  <c r="C286" i="5"/>
  <c r="D286" i="5" s="1"/>
  <c r="C287" i="5"/>
  <c r="D287" i="5" s="1"/>
  <c r="C288" i="5"/>
  <c r="D288" i="5" s="1"/>
  <c r="C289" i="5"/>
  <c r="D289" i="5" s="1"/>
  <c r="C290" i="5"/>
  <c r="D290" i="5" s="1"/>
  <c r="C291" i="5"/>
  <c r="D291" i="5" s="1"/>
  <c r="C292" i="5"/>
  <c r="D292" i="5" s="1"/>
  <c r="C293" i="5"/>
  <c r="D293" i="5" s="1"/>
  <c r="C294" i="5"/>
  <c r="D294" i="5" s="1"/>
  <c r="C295" i="5"/>
  <c r="D295" i="5" s="1"/>
  <c r="C296" i="5"/>
  <c r="D296" i="5" s="1"/>
  <c r="C297" i="5"/>
  <c r="D297" i="5" s="1"/>
  <c r="C298" i="5"/>
  <c r="D298" i="5" s="1"/>
  <c r="C299" i="5"/>
  <c r="D299" i="5" s="1"/>
  <c r="C300" i="5"/>
  <c r="D300" i="5" s="1"/>
  <c r="C301" i="5"/>
  <c r="D301" i="5" s="1"/>
  <c r="C302" i="5"/>
  <c r="D302" i="5" s="1"/>
  <c r="C303" i="5"/>
  <c r="D303" i="5" s="1"/>
  <c r="C304" i="5"/>
  <c r="D304" i="5" s="1"/>
  <c r="C305" i="5"/>
  <c r="D305" i="5" s="1"/>
  <c r="C306" i="5"/>
  <c r="D306" i="5" s="1"/>
  <c r="C307" i="5"/>
  <c r="D307" i="5" s="1"/>
  <c r="C308" i="5"/>
  <c r="D308" i="5" s="1"/>
  <c r="C309" i="5"/>
  <c r="D309" i="5" s="1"/>
  <c r="C310" i="5"/>
  <c r="D310" i="5" s="1"/>
  <c r="C311" i="5"/>
  <c r="D311" i="5" s="1"/>
  <c r="C312" i="5"/>
  <c r="D312" i="5" s="1"/>
  <c r="C313" i="5"/>
  <c r="D313" i="5" s="1"/>
  <c r="C314" i="5"/>
  <c r="D314" i="5" s="1"/>
  <c r="C315" i="5"/>
  <c r="D315" i="5" s="1"/>
  <c r="C316" i="5"/>
  <c r="D316" i="5" s="1"/>
  <c r="C317" i="5"/>
  <c r="D317" i="5" s="1"/>
  <c r="C318" i="5"/>
  <c r="D318" i="5" s="1"/>
  <c r="C319" i="5"/>
  <c r="D319" i="5" s="1"/>
  <c r="C320" i="5"/>
  <c r="D320" i="5" s="1"/>
  <c r="C321" i="5"/>
  <c r="D321" i="5" s="1"/>
  <c r="C322" i="5"/>
  <c r="D322" i="5" s="1"/>
  <c r="C323" i="5"/>
  <c r="D323" i="5" s="1"/>
  <c r="C324" i="5"/>
  <c r="D324" i="5" s="1"/>
  <c r="C325" i="5"/>
  <c r="D325" i="5" s="1"/>
  <c r="C326" i="5"/>
  <c r="D326" i="5" s="1"/>
  <c r="C327" i="5"/>
  <c r="D327" i="5" s="1"/>
  <c r="C328" i="5"/>
  <c r="D328" i="5" s="1"/>
  <c r="C329" i="5"/>
  <c r="D329" i="5" s="1"/>
  <c r="C330" i="5"/>
  <c r="D330" i="5" s="1"/>
  <c r="C331" i="5"/>
  <c r="D331" i="5" s="1"/>
  <c r="C332" i="5"/>
  <c r="D332" i="5" s="1"/>
  <c r="C333" i="5"/>
  <c r="D333" i="5" s="1"/>
  <c r="C334" i="5"/>
  <c r="D334" i="5" s="1"/>
  <c r="C335" i="5"/>
  <c r="D335" i="5" s="1"/>
  <c r="C336" i="5"/>
  <c r="D336" i="5" s="1"/>
  <c r="C337" i="5"/>
  <c r="D337" i="5" s="1"/>
  <c r="C338" i="5"/>
  <c r="D338" i="5" s="1"/>
  <c r="C339" i="5"/>
  <c r="D339" i="5" s="1"/>
  <c r="C340" i="5"/>
  <c r="D340" i="5" s="1"/>
  <c r="C341" i="5"/>
  <c r="D341" i="5" s="1"/>
  <c r="C342" i="5"/>
  <c r="D342" i="5" s="1"/>
  <c r="C343" i="5"/>
  <c r="D343" i="5" s="1"/>
  <c r="C344" i="5"/>
  <c r="D344" i="5" s="1"/>
  <c r="C345" i="5"/>
  <c r="D345" i="5" s="1"/>
  <c r="C346" i="5"/>
  <c r="D346" i="5" s="1"/>
  <c r="C347" i="5"/>
  <c r="D347" i="5" s="1"/>
  <c r="C348" i="5"/>
  <c r="D348" i="5" s="1"/>
  <c r="C349" i="5"/>
  <c r="D349" i="5" s="1"/>
  <c r="C350" i="5"/>
  <c r="D350" i="5" s="1"/>
  <c r="C351" i="5"/>
  <c r="D351" i="5" s="1"/>
  <c r="C352" i="5"/>
  <c r="D352" i="5" s="1"/>
  <c r="C353" i="5"/>
  <c r="D353" i="5" s="1"/>
  <c r="C354" i="5"/>
  <c r="D354" i="5" s="1"/>
  <c r="C355" i="5"/>
  <c r="D355" i="5" s="1"/>
  <c r="C356" i="5"/>
  <c r="D356" i="5" s="1"/>
  <c r="C357" i="5"/>
  <c r="D357" i="5" s="1"/>
  <c r="C358" i="5"/>
  <c r="D358" i="5" s="1"/>
  <c r="C359" i="5"/>
  <c r="D359" i="5" s="1"/>
  <c r="C360" i="5"/>
  <c r="D360" i="5" s="1"/>
  <c r="C361" i="5"/>
  <c r="D361" i="5" s="1"/>
  <c r="C362" i="5"/>
  <c r="D362" i="5" s="1"/>
  <c r="C363" i="5"/>
  <c r="D363" i="5" s="1"/>
  <c r="C364" i="5"/>
  <c r="D364" i="5" s="1"/>
  <c r="C365" i="5"/>
  <c r="D365" i="5" s="1"/>
  <c r="C366" i="5"/>
  <c r="D366" i="5" s="1"/>
  <c r="C367" i="5"/>
  <c r="D367" i="5" s="1"/>
  <c r="C368" i="5"/>
  <c r="D368" i="5" s="1"/>
  <c r="C369" i="5"/>
  <c r="D369" i="5" s="1"/>
  <c r="C370" i="5"/>
  <c r="D370" i="5" s="1"/>
  <c r="C371" i="5"/>
  <c r="D371" i="5" s="1"/>
  <c r="C372" i="5"/>
  <c r="D372" i="5" s="1"/>
  <c r="C373" i="5"/>
  <c r="D373" i="5" s="1"/>
  <c r="C374" i="5"/>
  <c r="D374" i="5" s="1"/>
  <c r="C375" i="5"/>
  <c r="D375" i="5" s="1"/>
  <c r="C376" i="5"/>
  <c r="D376" i="5" s="1"/>
  <c r="C377" i="5"/>
  <c r="D377" i="5" s="1"/>
  <c r="C378" i="5"/>
  <c r="D378" i="5" s="1"/>
  <c r="C379" i="5"/>
  <c r="D379" i="5" s="1"/>
  <c r="C380" i="5"/>
  <c r="D380" i="5" s="1"/>
  <c r="C381" i="5"/>
  <c r="D381" i="5" s="1"/>
  <c r="C382" i="5"/>
  <c r="D382" i="5" s="1"/>
  <c r="C383" i="5"/>
  <c r="D383" i="5" s="1"/>
  <c r="C384" i="5"/>
  <c r="D384" i="5" s="1"/>
  <c r="C385" i="5"/>
  <c r="D385" i="5" s="1"/>
  <c r="C386" i="5"/>
  <c r="D386" i="5" s="1"/>
  <c r="C387" i="5"/>
  <c r="D387" i="5" s="1"/>
  <c r="C388" i="5"/>
  <c r="D388" i="5" s="1"/>
  <c r="C389" i="5"/>
  <c r="D389" i="5" s="1"/>
  <c r="C390" i="5"/>
  <c r="D390" i="5" s="1"/>
  <c r="C391" i="5"/>
  <c r="D391" i="5" s="1"/>
  <c r="C392" i="5"/>
  <c r="D392" i="5" s="1"/>
  <c r="C393" i="5"/>
  <c r="D393" i="5" s="1"/>
  <c r="C394" i="5"/>
  <c r="D394" i="5" s="1"/>
  <c r="C395" i="5"/>
  <c r="D395" i="5" s="1"/>
  <c r="C396" i="5"/>
  <c r="D396" i="5" s="1"/>
  <c r="C397" i="5"/>
  <c r="D397" i="5" s="1"/>
  <c r="C398" i="5"/>
  <c r="D398" i="5" s="1"/>
  <c r="C399" i="5"/>
  <c r="D399" i="5" s="1"/>
  <c r="C400" i="5"/>
  <c r="D400" i="5" s="1"/>
  <c r="C401" i="5"/>
  <c r="D401" i="5" s="1"/>
  <c r="C402" i="5"/>
  <c r="D402" i="5" s="1"/>
  <c r="C403" i="5"/>
  <c r="D403" i="5" s="1"/>
  <c r="C404" i="5"/>
  <c r="D404" i="5" s="1"/>
  <c r="C405" i="5"/>
  <c r="D405" i="5" s="1"/>
  <c r="C406" i="5"/>
  <c r="D406" i="5" s="1"/>
  <c r="C407" i="5"/>
  <c r="D407" i="5" s="1"/>
  <c r="C408" i="5"/>
  <c r="D408" i="5" s="1"/>
  <c r="C409" i="5"/>
  <c r="D409" i="5" s="1"/>
  <c r="C410" i="5"/>
  <c r="D410" i="5" s="1"/>
  <c r="C411" i="5"/>
  <c r="D411" i="5" s="1"/>
  <c r="C412" i="5"/>
  <c r="D412" i="5" s="1"/>
  <c r="C413" i="5"/>
  <c r="D413" i="5" s="1"/>
  <c r="C414" i="5"/>
  <c r="D414" i="5" s="1"/>
  <c r="C415" i="5"/>
  <c r="D415" i="5" s="1"/>
  <c r="C416" i="5"/>
  <c r="D416" i="5" s="1"/>
  <c r="C417" i="5"/>
  <c r="D417" i="5" s="1"/>
  <c r="C418" i="5"/>
  <c r="D418" i="5" s="1"/>
  <c r="C419" i="5"/>
  <c r="D419" i="5" s="1"/>
  <c r="C420" i="5"/>
  <c r="D420" i="5" s="1"/>
  <c r="C421" i="5"/>
  <c r="D421" i="5" s="1"/>
  <c r="C422" i="5"/>
  <c r="D422" i="5" s="1"/>
  <c r="C423" i="5"/>
  <c r="D423" i="5" s="1"/>
  <c r="C424" i="5"/>
  <c r="D424" i="5" s="1"/>
  <c r="C425" i="5"/>
  <c r="D425" i="5" s="1"/>
  <c r="C426" i="5"/>
  <c r="D426" i="5" s="1"/>
  <c r="C427" i="5"/>
  <c r="D427" i="5" s="1"/>
  <c r="C428" i="5"/>
  <c r="D428" i="5" s="1"/>
  <c r="C429" i="5"/>
  <c r="D429" i="5" s="1"/>
  <c r="C430" i="5"/>
  <c r="D430" i="5" s="1"/>
  <c r="C431" i="5"/>
  <c r="D431" i="5" s="1"/>
  <c r="C432" i="5"/>
  <c r="D432" i="5" s="1"/>
  <c r="C433" i="5"/>
  <c r="D433" i="5" s="1"/>
  <c r="C434" i="5"/>
  <c r="D434" i="5" s="1"/>
  <c r="C435" i="5"/>
  <c r="D435" i="5" s="1"/>
  <c r="C436" i="5"/>
  <c r="D436" i="5" s="1"/>
  <c r="C437" i="5"/>
  <c r="D437" i="5" s="1"/>
  <c r="C438" i="5"/>
  <c r="D438" i="5" s="1"/>
  <c r="C439" i="5"/>
  <c r="D439" i="5" s="1"/>
  <c r="C440" i="5"/>
  <c r="D440" i="5" s="1"/>
  <c r="C441" i="5"/>
  <c r="D441" i="5" s="1"/>
  <c r="C442" i="5"/>
  <c r="D442" i="5" s="1"/>
  <c r="C443" i="5"/>
  <c r="D443" i="5" s="1"/>
  <c r="C444" i="5"/>
  <c r="D444" i="5" s="1"/>
  <c r="C445" i="5"/>
  <c r="D445" i="5" s="1"/>
  <c r="C446" i="5"/>
  <c r="D446" i="5" s="1"/>
  <c r="C447" i="5"/>
  <c r="D447" i="5" s="1"/>
  <c r="C448" i="5"/>
  <c r="D448" i="5" s="1"/>
  <c r="C449" i="5"/>
  <c r="D449" i="5" s="1"/>
  <c r="C450" i="5"/>
  <c r="D450" i="5" s="1"/>
  <c r="C451" i="5"/>
  <c r="D451" i="5" s="1"/>
  <c r="C452" i="5"/>
  <c r="D452" i="5" s="1"/>
  <c r="C453" i="5"/>
  <c r="D453" i="5" s="1"/>
  <c r="C454" i="5"/>
  <c r="D454" i="5" s="1"/>
  <c r="C455" i="5"/>
  <c r="D455" i="5" s="1"/>
  <c r="C456" i="5"/>
  <c r="D456" i="5" s="1"/>
  <c r="C457" i="5"/>
  <c r="D457" i="5" s="1"/>
  <c r="C458" i="5"/>
  <c r="D458" i="5" s="1"/>
  <c r="C459" i="5"/>
  <c r="D459" i="5" s="1"/>
  <c r="C460" i="5"/>
  <c r="D460" i="5" s="1"/>
  <c r="C461" i="5"/>
  <c r="D461" i="5" s="1"/>
  <c r="C462" i="5"/>
  <c r="D462" i="5" s="1"/>
  <c r="C463" i="5"/>
  <c r="D463" i="5" s="1"/>
  <c r="C464" i="5"/>
  <c r="D464" i="5" s="1"/>
  <c r="C465" i="5"/>
  <c r="D465" i="5" s="1"/>
  <c r="C466" i="5"/>
  <c r="D466" i="5" s="1"/>
  <c r="C467" i="5"/>
  <c r="D467" i="5" s="1"/>
  <c r="C468" i="5"/>
  <c r="D468" i="5" s="1"/>
  <c r="C469" i="5"/>
  <c r="D469" i="5" s="1"/>
  <c r="C470" i="5"/>
  <c r="D470" i="5" s="1"/>
  <c r="C471" i="5"/>
  <c r="D471" i="5" s="1"/>
  <c r="C472" i="5"/>
  <c r="D472" i="5" s="1"/>
  <c r="C473" i="5"/>
  <c r="D473" i="5" s="1"/>
  <c r="C474" i="5"/>
  <c r="D474" i="5" s="1"/>
  <c r="C475" i="5"/>
  <c r="D475" i="5" s="1"/>
  <c r="C476" i="5"/>
  <c r="D476" i="5" s="1"/>
  <c r="C477" i="5"/>
  <c r="D477" i="5" s="1"/>
  <c r="C478" i="5"/>
  <c r="D478" i="5" s="1"/>
  <c r="C479" i="5"/>
  <c r="D479" i="5" s="1"/>
  <c r="C480" i="5"/>
  <c r="D480" i="5" s="1"/>
  <c r="C481" i="5"/>
  <c r="D481" i="5" s="1"/>
  <c r="C482" i="5"/>
  <c r="D482" i="5" s="1"/>
  <c r="C483" i="5"/>
  <c r="D483" i="5" s="1"/>
  <c r="C484" i="5"/>
  <c r="D484" i="5" s="1"/>
  <c r="C485" i="5"/>
  <c r="D485" i="5" s="1"/>
  <c r="C486" i="5"/>
  <c r="D486" i="5" s="1"/>
  <c r="C487" i="5"/>
  <c r="D487" i="5" s="1"/>
  <c r="C488" i="5"/>
  <c r="D488" i="5" s="1"/>
  <c r="C489" i="5"/>
  <c r="D489" i="5" s="1"/>
  <c r="C490" i="5"/>
  <c r="D490" i="5" s="1"/>
  <c r="C491" i="5"/>
  <c r="D491" i="5" s="1"/>
  <c r="C492" i="5"/>
  <c r="D492" i="5" s="1"/>
  <c r="C493" i="5"/>
  <c r="D493" i="5" s="1"/>
  <c r="C494" i="5"/>
  <c r="D494" i="5" s="1"/>
  <c r="C495" i="5"/>
  <c r="D495" i="5" s="1"/>
  <c r="C496" i="5"/>
  <c r="D496" i="5" s="1"/>
  <c r="C497" i="5"/>
  <c r="D497" i="5" s="1"/>
  <c r="C498" i="5"/>
  <c r="D498" i="5" s="1"/>
  <c r="C499" i="5"/>
  <c r="D499" i="5" s="1"/>
  <c r="C500" i="5"/>
  <c r="D500" i="5" s="1"/>
  <c r="C501" i="5"/>
  <c r="D501" i="5" s="1"/>
  <c r="R2" i="9" l="1"/>
</calcChain>
</file>

<file path=xl/sharedStrings.xml><?xml version="1.0" encoding="utf-8"?>
<sst xmlns="http://schemas.openxmlformats.org/spreadsheetml/2006/main" count="6286" uniqueCount="2533">
  <si>
    <t>Customer_ID</t>
  </si>
  <si>
    <t>Name</t>
  </si>
  <si>
    <t>Age</t>
  </si>
  <si>
    <t>Gender</t>
  </si>
  <si>
    <t>City</t>
  </si>
  <si>
    <t>State</t>
  </si>
  <si>
    <t>Loyalty_Level</t>
  </si>
  <si>
    <t>CUST1000</t>
  </si>
  <si>
    <t>Male</t>
  </si>
  <si>
    <t>Donaldton</t>
  </si>
  <si>
    <t>North Carolina</t>
  </si>
  <si>
    <t>Gold</t>
  </si>
  <si>
    <t>CUST1001</t>
  </si>
  <si>
    <t>Eugene Nelson</t>
  </si>
  <si>
    <t>Female</t>
  </si>
  <si>
    <t>Phillipsmouth</t>
  </si>
  <si>
    <t>North Dakota</t>
  </si>
  <si>
    <t>Platinum</t>
  </si>
  <si>
    <t>CUST1002</t>
  </si>
  <si>
    <t>Kylebury</t>
  </si>
  <si>
    <t>Alabama</t>
  </si>
  <si>
    <t>CUST1003</t>
  </si>
  <si>
    <t>Thomastown</t>
  </si>
  <si>
    <t>Ohio</t>
  </si>
  <si>
    <t>Bronze</t>
  </si>
  <si>
    <t>CUST1004</t>
  </si>
  <si>
    <t>Caroline Collins</t>
  </si>
  <si>
    <t>Nicholasshire</t>
  </si>
  <si>
    <t>California</t>
  </si>
  <si>
    <t>Silver</t>
  </si>
  <si>
    <t>CUST1005</t>
  </si>
  <si>
    <t>Christine Vaughn</t>
  </si>
  <si>
    <t>East Amandamouth</t>
  </si>
  <si>
    <t>Oregon</t>
  </si>
  <si>
    <t>CUST1006</t>
  </si>
  <si>
    <t>Amber Jackson</t>
  </si>
  <si>
    <t>Deborahborough</t>
  </si>
  <si>
    <t>South Dakota</t>
  </si>
  <si>
    <t>CUST1007</t>
  </si>
  <si>
    <t>Daniel Boyd</t>
  </si>
  <si>
    <t>West Pamelafurt</t>
  </si>
  <si>
    <t>West Virginia</t>
  </si>
  <si>
    <t>CUST1008</t>
  </si>
  <si>
    <t>Melissa Howard</t>
  </si>
  <si>
    <t>Maynardton</t>
  </si>
  <si>
    <t>New Hampshire</t>
  </si>
  <si>
    <t>CUST1009</t>
  </si>
  <si>
    <t>Ms. Maria Leach</t>
  </si>
  <si>
    <t>Melissashire</t>
  </si>
  <si>
    <t>Pennsylvania</t>
  </si>
  <si>
    <t>CUST1010</t>
  </si>
  <si>
    <t>Dominic Page</t>
  </si>
  <si>
    <t>Port Michaelburgh</t>
  </si>
  <si>
    <t>CUST1011</t>
  </si>
  <si>
    <t>Brian Lopez</t>
  </si>
  <si>
    <t>East Krista</t>
  </si>
  <si>
    <t>New York</t>
  </si>
  <si>
    <t>CUST1012</t>
  </si>
  <si>
    <t>Kenneth Lambert</t>
  </si>
  <si>
    <t>North Kathryn</t>
  </si>
  <si>
    <t>Kansas</t>
  </si>
  <si>
    <t>CUST1013</t>
  </si>
  <si>
    <t>Nathan Hernandez</t>
  </si>
  <si>
    <t>New Becky</t>
  </si>
  <si>
    <t>Montana</t>
  </si>
  <si>
    <t>CUST1014</t>
  </si>
  <si>
    <t>Ashley Cohen</t>
  </si>
  <si>
    <t>Lake Kristamouth</t>
  </si>
  <si>
    <t>Nebraska</t>
  </si>
  <si>
    <t>CUST1015</t>
  </si>
  <si>
    <t>Laura Alvarez</t>
  </si>
  <si>
    <t>Lawsonhaven</t>
  </si>
  <si>
    <t>Washington</t>
  </si>
  <si>
    <t>CUST1016</t>
  </si>
  <si>
    <t>John Scott</t>
  </si>
  <si>
    <t>South Christopher</t>
  </si>
  <si>
    <t>CUST1017</t>
  </si>
  <si>
    <t>Adam Cruz</t>
  </si>
  <si>
    <t>Brandonville</t>
  </si>
  <si>
    <t>Georgia</t>
  </si>
  <si>
    <t>CUST1018</t>
  </si>
  <si>
    <t>Rhonda Moss</t>
  </si>
  <si>
    <t>South William</t>
  </si>
  <si>
    <t>CUST1019</t>
  </si>
  <si>
    <t>Michael Torres</t>
  </si>
  <si>
    <t>Gonzalezfort</t>
  </si>
  <si>
    <t>New Jersey</t>
  </si>
  <si>
    <t>CUST1020</t>
  </si>
  <si>
    <t>Bridget Allen</t>
  </si>
  <si>
    <t>Lake Shaneburgh</t>
  </si>
  <si>
    <t>Delaware</t>
  </si>
  <si>
    <t>CUST1021</t>
  </si>
  <si>
    <t>Jeff Martinez</t>
  </si>
  <si>
    <t>Smithburgh</t>
  </si>
  <si>
    <t>Oklahoma</t>
  </si>
  <si>
    <t>CUST1022</t>
  </si>
  <si>
    <t>Michaelton</t>
  </si>
  <si>
    <t>Hawaii</t>
  </si>
  <si>
    <t>CUST1023</t>
  </si>
  <si>
    <t>Jonathan Steele</t>
  </si>
  <si>
    <t>Molinabury</t>
  </si>
  <si>
    <t>CUST1024</t>
  </si>
  <si>
    <t>Heather Collins</t>
  </si>
  <si>
    <t>Rogerschester</t>
  </si>
  <si>
    <t>Idaho</t>
  </si>
  <si>
    <t>CUST1025</t>
  </si>
  <si>
    <t>Diana Taylor</t>
  </si>
  <si>
    <t>Vasqueztown</t>
  </si>
  <si>
    <t>CUST1026</t>
  </si>
  <si>
    <t>Amber Carlson</t>
  </si>
  <si>
    <t>East Michellemouth</t>
  </si>
  <si>
    <t>Missouri</t>
  </si>
  <si>
    <t>CUST1027</t>
  </si>
  <si>
    <t>Leslie Johnson</t>
  </si>
  <si>
    <t>Mollyshire</t>
  </si>
  <si>
    <t>Utah</t>
  </si>
  <si>
    <t>CUST1028</t>
  </si>
  <si>
    <t>Joshua Ryan</t>
  </si>
  <si>
    <t>New David</t>
  </si>
  <si>
    <t>CUST1029</t>
  </si>
  <si>
    <t>David Arnold</t>
  </si>
  <si>
    <t>East Jennifer</t>
  </si>
  <si>
    <t>CUST1030</t>
  </si>
  <si>
    <t>Jessica Acevedo</t>
  </si>
  <si>
    <t>Amybury</t>
  </si>
  <si>
    <t>CUST1031</t>
  </si>
  <si>
    <t>Sarah Vance</t>
  </si>
  <si>
    <t>Johnsonville</t>
  </si>
  <si>
    <t>CUST1032</t>
  </si>
  <si>
    <t>Mike Jennings</t>
  </si>
  <si>
    <t>Fostermouth</t>
  </si>
  <si>
    <t>Arizona</t>
  </si>
  <si>
    <t>CUST1033</t>
  </si>
  <si>
    <t>Robert Jones DDS</t>
  </si>
  <si>
    <t>Tristanton</t>
  </si>
  <si>
    <t>CUST1034</t>
  </si>
  <si>
    <t>Christopher Olson</t>
  </si>
  <si>
    <t>West Richard</t>
  </si>
  <si>
    <t>Maryland</t>
  </si>
  <si>
    <t>CUST1035</t>
  </si>
  <si>
    <t>Rachel Myers</t>
  </si>
  <si>
    <t>Robertberg</t>
  </si>
  <si>
    <t>CUST1036</t>
  </si>
  <si>
    <t>Thomas Phillips</t>
  </si>
  <si>
    <t>Luisfurt</t>
  </si>
  <si>
    <t>CUST1037</t>
  </si>
  <si>
    <t>Christopher Carter</t>
  </si>
  <si>
    <t>Brendastad</t>
  </si>
  <si>
    <t>CUST1038</t>
  </si>
  <si>
    <t>Deanna Simpson</t>
  </si>
  <si>
    <t>Brownport</t>
  </si>
  <si>
    <t>CUST1039</t>
  </si>
  <si>
    <t>Tonya Reynolds</t>
  </si>
  <si>
    <t>Darleneton</t>
  </si>
  <si>
    <t>Michigan</t>
  </si>
  <si>
    <t>CUST1040</t>
  </si>
  <si>
    <t>Eric Vega</t>
  </si>
  <si>
    <t>Williamsonland</t>
  </si>
  <si>
    <t>CUST1041</t>
  </si>
  <si>
    <t>James Gibbs</t>
  </si>
  <si>
    <t>Mooneyshire</t>
  </si>
  <si>
    <t>Alaska</t>
  </si>
  <si>
    <t>CUST1042</t>
  </si>
  <si>
    <t>William Martin</t>
  </si>
  <si>
    <t>Ryanburgh</t>
  </si>
  <si>
    <t>Connecticut</t>
  </si>
  <si>
    <t>CUST1043</t>
  </si>
  <si>
    <t>Joseph Snow</t>
  </si>
  <si>
    <t>South Michaelfort</t>
  </si>
  <si>
    <t>Vermont</t>
  </si>
  <si>
    <t>CUST1044</t>
  </si>
  <si>
    <t>Denise Williams</t>
  </si>
  <si>
    <t>Christianstad</t>
  </si>
  <si>
    <t>CUST1045</t>
  </si>
  <si>
    <t>Jordan Jackson DDS</t>
  </si>
  <si>
    <t>North Johnview</t>
  </si>
  <si>
    <t>CUST1046</t>
  </si>
  <si>
    <t>Michelle Garcia DDS</t>
  </si>
  <si>
    <t>Perezbury</t>
  </si>
  <si>
    <t>CUST1047</t>
  </si>
  <si>
    <t>Gina Knight</t>
  </si>
  <si>
    <t>Lake Roberthaven</t>
  </si>
  <si>
    <t>Nevada</t>
  </si>
  <si>
    <t>CUST1048</t>
  </si>
  <si>
    <t>April Mullins</t>
  </si>
  <si>
    <t>Dawsonbury</t>
  </si>
  <si>
    <t>CUST1049</t>
  </si>
  <si>
    <t>Timothy Weaver</t>
  </si>
  <si>
    <t>New Amy</t>
  </si>
  <si>
    <t>CUST1050</t>
  </si>
  <si>
    <t>Gregoryview</t>
  </si>
  <si>
    <t>Illinois</t>
  </si>
  <si>
    <t>CUST1051</t>
  </si>
  <si>
    <t>Sarah Rodgers</t>
  </si>
  <si>
    <t>New Julia</t>
  </si>
  <si>
    <t>CUST1052</t>
  </si>
  <si>
    <t>Debra Liu</t>
  </si>
  <si>
    <t>South Timtown</t>
  </si>
  <si>
    <t>Minnesota</t>
  </si>
  <si>
    <t>CUST1053</t>
  </si>
  <si>
    <t>Sharon Brown</t>
  </si>
  <si>
    <t>East Andrea</t>
  </si>
  <si>
    <t>CUST1054</t>
  </si>
  <si>
    <t>Katherine Dorsey</t>
  </si>
  <si>
    <t>Christopherland</t>
  </si>
  <si>
    <t>CUST1055</t>
  </si>
  <si>
    <t>Wayne Mcpherson</t>
  </si>
  <si>
    <t>Edwardsfort</t>
  </si>
  <si>
    <t>CUST1056</t>
  </si>
  <si>
    <t>Christopher Sutton</t>
  </si>
  <si>
    <t>Deborahberg</t>
  </si>
  <si>
    <t>CUST1057</t>
  </si>
  <si>
    <t>Jay Patel</t>
  </si>
  <si>
    <t>Morrisbury</t>
  </si>
  <si>
    <t>Rhode Island</t>
  </si>
  <si>
    <t>CUST1058</t>
  </si>
  <si>
    <t>Cheryl Copeland</t>
  </si>
  <si>
    <t>Snowmouth</t>
  </si>
  <si>
    <t>CUST1059</t>
  </si>
  <si>
    <t>Alyssa Vargas</t>
  </si>
  <si>
    <t>New Kathrynland</t>
  </si>
  <si>
    <t>CUST1060</t>
  </si>
  <si>
    <t>Dr. David Smith</t>
  </si>
  <si>
    <t>Schmidtchester</t>
  </si>
  <si>
    <t>CUST1061</t>
  </si>
  <si>
    <t>Kristin Stein</t>
  </si>
  <si>
    <t>Jennifermouth</t>
  </si>
  <si>
    <t>CUST1062</t>
  </si>
  <si>
    <t>James Bean</t>
  </si>
  <si>
    <t>Stevensonton</t>
  </si>
  <si>
    <t>New Mexico</t>
  </si>
  <si>
    <t>CUST1063</t>
  </si>
  <si>
    <t>Michael Daniel</t>
  </si>
  <si>
    <t>New Jesse</t>
  </si>
  <si>
    <t>Tennessee</t>
  </si>
  <si>
    <t>CUST1064</t>
  </si>
  <si>
    <t>Mr. Mason Butler</t>
  </si>
  <si>
    <t>Port Kathrynhaven</t>
  </si>
  <si>
    <t>CUST1065</t>
  </si>
  <si>
    <t>Michael Thomas</t>
  </si>
  <si>
    <t>Woodmouth</t>
  </si>
  <si>
    <t>CUST1066</t>
  </si>
  <si>
    <t>Cody Diaz</t>
  </si>
  <si>
    <t>South Aaronside</t>
  </si>
  <si>
    <t>CUST1067</t>
  </si>
  <si>
    <t>Amber Mcclain</t>
  </si>
  <si>
    <t>Brendaburgh</t>
  </si>
  <si>
    <t>Florida</t>
  </si>
  <si>
    <t>CUST1068</t>
  </si>
  <si>
    <t>Mr. Mark Beasley</t>
  </si>
  <si>
    <t>West Johnchester</t>
  </si>
  <si>
    <t>Indiana</t>
  </si>
  <si>
    <t>CUST1069</t>
  </si>
  <si>
    <t>Roy Cole</t>
  </si>
  <si>
    <t>North Cynthiatown</t>
  </si>
  <si>
    <t>CUST1070</t>
  </si>
  <si>
    <t>Eric Singh</t>
  </si>
  <si>
    <t>Port Lisa</t>
  </si>
  <si>
    <t>CUST1071</t>
  </si>
  <si>
    <t>Andrea Perez</t>
  </si>
  <si>
    <t>South Shaun</t>
  </si>
  <si>
    <t>CUST1072</t>
  </si>
  <si>
    <t>Tonya Burch</t>
  </si>
  <si>
    <t>Olsonhaven</t>
  </si>
  <si>
    <t>Iowa</t>
  </si>
  <si>
    <t>CUST1073</t>
  </si>
  <si>
    <t>Christopher Brown</t>
  </si>
  <si>
    <t>Sandrastad</t>
  </si>
  <si>
    <t>CUST1074</t>
  </si>
  <si>
    <t>John Mayer</t>
  </si>
  <si>
    <t>Longport</t>
  </si>
  <si>
    <t>Colorado</t>
  </si>
  <si>
    <t>CUST1075</t>
  </si>
  <si>
    <t>Rhonda Morales</t>
  </si>
  <si>
    <t>Lake Barryfurt</t>
  </si>
  <si>
    <t>CUST1076</t>
  </si>
  <si>
    <t>Nathan Campbell</t>
  </si>
  <si>
    <t>Rodrigueztown</t>
  </si>
  <si>
    <t>CUST1077</t>
  </si>
  <si>
    <t>Katherine Young</t>
  </si>
  <si>
    <t>North Valeriemouth</t>
  </si>
  <si>
    <t>CUST1078</t>
  </si>
  <si>
    <t>Cody Blake</t>
  </si>
  <si>
    <t>North Scottport</t>
  </si>
  <si>
    <t>Virginia</t>
  </si>
  <si>
    <t>CUST1079</t>
  </si>
  <si>
    <t>Molly Gardner</t>
  </si>
  <si>
    <t>Nicoleborough</t>
  </si>
  <si>
    <t>Arkansas</t>
  </si>
  <si>
    <t>CUST1080</t>
  </si>
  <si>
    <t>Jennifer Garcia</t>
  </si>
  <si>
    <t>New Sean</t>
  </si>
  <si>
    <t>CUST1081</t>
  </si>
  <si>
    <t>Krystal Ford</t>
  </si>
  <si>
    <t>South David</t>
  </si>
  <si>
    <t>CUST1082</t>
  </si>
  <si>
    <t>George Rosario</t>
  </si>
  <si>
    <t>Leburgh</t>
  </si>
  <si>
    <t>CUST1083</t>
  </si>
  <si>
    <t>Thomas Robinson</t>
  </si>
  <si>
    <t>Nicholastown</t>
  </si>
  <si>
    <t>CUST1084</t>
  </si>
  <si>
    <t>Christy Hoffman</t>
  </si>
  <si>
    <t>Garyberg</t>
  </si>
  <si>
    <t>CUST1085</t>
  </si>
  <si>
    <t>Richard Delgado</t>
  </si>
  <si>
    <t>West Theodorechester</t>
  </si>
  <si>
    <t>CUST1086</t>
  </si>
  <si>
    <t>Tammy Miller MD</t>
  </si>
  <si>
    <t>Austinfurt</t>
  </si>
  <si>
    <t>Mississippi</t>
  </si>
  <si>
    <t>CUST1087</t>
  </si>
  <si>
    <t>Melissa Duffy MD</t>
  </si>
  <si>
    <t>East Jenna</t>
  </si>
  <si>
    <t>South Carolina</t>
  </si>
  <si>
    <t>CUST1088</t>
  </si>
  <si>
    <t>Timothy Wright</t>
  </si>
  <si>
    <t>Ashleystad</t>
  </si>
  <si>
    <t>CUST1089</t>
  </si>
  <si>
    <t>Jamie Yoder</t>
  </si>
  <si>
    <t>New Gabrielleville</t>
  </si>
  <si>
    <t>Wisconsin</t>
  </si>
  <si>
    <t>CUST1090</t>
  </si>
  <si>
    <t>Oscar Moon</t>
  </si>
  <si>
    <t>West Cody</t>
  </si>
  <si>
    <t>Louisiana</t>
  </si>
  <si>
    <t>CUST1091</t>
  </si>
  <si>
    <t>Donna Gregory</t>
  </si>
  <si>
    <t>South Amandahaven</t>
  </si>
  <si>
    <t>CUST1092</t>
  </si>
  <si>
    <t>Robert Jackson</t>
  </si>
  <si>
    <t>Lake Brandy</t>
  </si>
  <si>
    <t>CUST1093</t>
  </si>
  <si>
    <t>Christy Vasquez</t>
  </si>
  <si>
    <t>Port Travisstad</t>
  </si>
  <si>
    <t>CUST1094</t>
  </si>
  <si>
    <t>David Patterson</t>
  </si>
  <si>
    <t>New Amyport</t>
  </si>
  <si>
    <t>CUST1095</t>
  </si>
  <si>
    <t>Amy Fowler</t>
  </si>
  <si>
    <t>West Bobbyshire</t>
  </si>
  <si>
    <t>CUST1096</t>
  </si>
  <si>
    <t>Samantha Walker</t>
  </si>
  <si>
    <t>Timothyburgh</t>
  </si>
  <si>
    <t>CUST1097</t>
  </si>
  <si>
    <t>David Cobb</t>
  </si>
  <si>
    <t>Lake Thomas</t>
  </si>
  <si>
    <t>CUST1098</t>
  </si>
  <si>
    <t>Brittney Morgan</t>
  </si>
  <si>
    <t>Lake Kaylahaven</t>
  </si>
  <si>
    <t>CUST1099</t>
  </si>
  <si>
    <t>Sheila Wilson</t>
  </si>
  <si>
    <t>South Dustin</t>
  </si>
  <si>
    <t>CUST1100</t>
  </si>
  <si>
    <t>Diane Watson</t>
  </si>
  <si>
    <t>North Codyport</t>
  </si>
  <si>
    <t>Texas</t>
  </si>
  <si>
    <t>CUST1101</t>
  </si>
  <si>
    <t>Colleen Maynard</t>
  </si>
  <si>
    <t>Singletonmouth</t>
  </si>
  <si>
    <t>CUST1102</t>
  </si>
  <si>
    <t>Sarah Schneider</t>
  </si>
  <si>
    <t>Port Joshuachester</t>
  </si>
  <si>
    <t>CUST1103</t>
  </si>
  <si>
    <t>Steven Stein</t>
  </si>
  <si>
    <t>West Lauren</t>
  </si>
  <si>
    <t>CUST1104</t>
  </si>
  <si>
    <t>Christopher Lester</t>
  </si>
  <si>
    <t>South Jenniferville</t>
  </si>
  <si>
    <t>CUST1105</t>
  </si>
  <si>
    <t>Lance Baker</t>
  </si>
  <si>
    <t>Port Victoria</t>
  </si>
  <si>
    <t>CUST1106</t>
  </si>
  <si>
    <t>Howard Summers</t>
  </si>
  <si>
    <t>East Linda</t>
  </si>
  <si>
    <t>CUST1107</t>
  </si>
  <si>
    <t>Erica Carney</t>
  </si>
  <si>
    <t>North Justin</t>
  </si>
  <si>
    <t>CUST1108</t>
  </si>
  <si>
    <t>Travis Holland</t>
  </si>
  <si>
    <t>Webstermouth</t>
  </si>
  <si>
    <t>CUST1109</t>
  </si>
  <si>
    <t>Amy Walker</t>
  </si>
  <si>
    <t>Smithland</t>
  </si>
  <si>
    <t>CUST1110</t>
  </si>
  <si>
    <t>Ashley Griffin</t>
  </si>
  <si>
    <t>New Dawnton</t>
  </si>
  <si>
    <t>CUST1111</t>
  </si>
  <si>
    <t>Julie Farmer</t>
  </si>
  <si>
    <t>Rodriguezmouth</t>
  </si>
  <si>
    <t>CUST1112</t>
  </si>
  <si>
    <t>David Cole</t>
  </si>
  <si>
    <t>Lake Michael</t>
  </si>
  <si>
    <t>CUST1113</t>
  </si>
  <si>
    <t>Edward Hall</t>
  </si>
  <si>
    <t>New William</t>
  </si>
  <si>
    <t>CUST1114</t>
  </si>
  <si>
    <t>Ryan Hernandez</t>
  </si>
  <si>
    <t>East Donna</t>
  </si>
  <si>
    <t>CUST1115</t>
  </si>
  <si>
    <t>Tyler Conrad</t>
  </si>
  <si>
    <t>North Curtischester</t>
  </si>
  <si>
    <t>CUST1116</t>
  </si>
  <si>
    <t>Anthony Phillips</t>
  </si>
  <si>
    <t>North Davidport</t>
  </si>
  <si>
    <t>CUST1117</t>
  </si>
  <si>
    <t>Colleen Mccarthy</t>
  </si>
  <si>
    <t>North Katherine</t>
  </si>
  <si>
    <t>CUST1118</t>
  </si>
  <si>
    <t>Earl Allen</t>
  </si>
  <si>
    <t>New Jenniferburgh</t>
  </si>
  <si>
    <t>CUST1119</t>
  </si>
  <si>
    <t>Michael Jones</t>
  </si>
  <si>
    <t>North Edwardton</t>
  </si>
  <si>
    <t>CUST1120</t>
  </si>
  <si>
    <t>Jacob Hopkins</t>
  </si>
  <si>
    <t>CUST1121</t>
  </si>
  <si>
    <t>Joel Robinson</t>
  </si>
  <si>
    <t>Lake Danielport</t>
  </si>
  <si>
    <t>CUST1122</t>
  </si>
  <si>
    <t>Michael Chang</t>
  </si>
  <si>
    <t>Kathrynport</t>
  </si>
  <si>
    <t>CUST1123</t>
  </si>
  <si>
    <t>Erin Hopkins</t>
  </si>
  <si>
    <t>North Sabrina</t>
  </si>
  <si>
    <t>CUST1124</t>
  </si>
  <si>
    <t>Donald Lee</t>
  </si>
  <si>
    <t>Wongberg</t>
  </si>
  <si>
    <t>CUST1125</t>
  </si>
  <si>
    <t>Keith Miller</t>
  </si>
  <si>
    <t>West Jameston</t>
  </si>
  <si>
    <t>Maine</t>
  </si>
  <si>
    <t>CUST1126</t>
  </si>
  <si>
    <t>James Wolfe</t>
  </si>
  <si>
    <t>Benjaminton</t>
  </si>
  <si>
    <t>CUST1127</t>
  </si>
  <si>
    <t>John Mcknight</t>
  </si>
  <si>
    <t>South Nathan</t>
  </si>
  <si>
    <t>CUST1128</t>
  </si>
  <si>
    <t>Susan Mcdonald</t>
  </si>
  <si>
    <t>East Ellen</t>
  </si>
  <si>
    <t>CUST1129</t>
  </si>
  <si>
    <t>Jessica Mitchell</t>
  </si>
  <si>
    <t>Matthewbury</t>
  </si>
  <si>
    <t>CUST1130</t>
  </si>
  <si>
    <t>Jamie Reyes</t>
  </si>
  <si>
    <t>CUST1131</t>
  </si>
  <si>
    <t>Joseph Richards</t>
  </si>
  <si>
    <t>Wigginsville</t>
  </si>
  <si>
    <t>CUST1132</t>
  </si>
  <si>
    <t>Miguel Reynolds</t>
  </si>
  <si>
    <t>Taylorberg</t>
  </si>
  <si>
    <t>CUST1133</t>
  </si>
  <si>
    <t>Hayley Pope</t>
  </si>
  <si>
    <t>West Stephenville</t>
  </si>
  <si>
    <t>CUST1134</t>
  </si>
  <si>
    <t>Morgan Bowen</t>
  </si>
  <si>
    <t>Parksfort</t>
  </si>
  <si>
    <t>CUST1135</t>
  </si>
  <si>
    <t>Matthew Hanna</t>
  </si>
  <si>
    <t>Gonzalezbury</t>
  </si>
  <si>
    <t>CUST1136</t>
  </si>
  <si>
    <t>Patrick Coleman</t>
  </si>
  <si>
    <t>New Jeffrey</t>
  </si>
  <si>
    <t>CUST1137</t>
  </si>
  <si>
    <t>Rick Dominguez</t>
  </si>
  <si>
    <t>North Johnbury</t>
  </si>
  <si>
    <t>CUST1138</t>
  </si>
  <si>
    <t>Sean Roth</t>
  </si>
  <si>
    <t>CUST1139</t>
  </si>
  <si>
    <t>Brian Holder</t>
  </si>
  <si>
    <t>Port Travis</t>
  </si>
  <si>
    <t>CUST1140</t>
  </si>
  <si>
    <t>Patty Francis</t>
  </si>
  <si>
    <t>South Brooke</t>
  </si>
  <si>
    <t>CUST1141</t>
  </si>
  <si>
    <t>Cristian Wright</t>
  </si>
  <si>
    <t>Port Denise</t>
  </si>
  <si>
    <t>CUST1142</t>
  </si>
  <si>
    <t>Maria Ramirez</t>
  </si>
  <si>
    <t>West Brandon</t>
  </si>
  <si>
    <t>CUST1143</t>
  </si>
  <si>
    <t>Carlos Skinner</t>
  </si>
  <si>
    <t>Dwaynemouth</t>
  </si>
  <si>
    <t>CUST1144</t>
  </si>
  <si>
    <t>Justin Cross</t>
  </si>
  <si>
    <t>North Anthonychester</t>
  </si>
  <si>
    <t>CUST1145</t>
  </si>
  <si>
    <t>Cameron Simpson</t>
  </si>
  <si>
    <t>Michaelfort</t>
  </si>
  <si>
    <t>CUST1146</t>
  </si>
  <si>
    <t>Edward Rivera</t>
  </si>
  <si>
    <t>Chungmouth</t>
  </si>
  <si>
    <t>CUST1147</t>
  </si>
  <si>
    <t>Rhonda Young</t>
  </si>
  <si>
    <t>Lake Nathanfort</t>
  </si>
  <si>
    <t>CUST1148</t>
  </si>
  <si>
    <t>Theresa Campbell</t>
  </si>
  <si>
    <t>New Brian</t>
  </si>
  <si>
    <t>CUST1149</t>
  </si>
  <si>
    <t>Denise Griffin</t>
  </si>
  <si>
    <t>West Markhaven</t>
  </si>
  <si>
    <t>CUST1150</t>
  </si>
  <si>
    <t>Stephanie Conway</t>
  </si>
  <si>
    <t>Port Frankmouth</t>
  </si>
  <si>
    <t>CUST1151</t>
  </si>
  <si>
    <t>Michael Davies</t>
  </si>
  <si>
    <t>Lake Stevenfort</t>
  </si>
  <si>
    <t>CUST1152</t>
  </si>
  <si>
    <t>Patrick Roberts</t>
  </si>
  <si>
    <t>Jaredville</t>
  </si>
  <si>
    <t>CUST1153</t>
  </si>
  <si>
    <t>Joseph Faulkner</t>
  </si>
  <si>
    <t>New Leahfurt</t>
  </si>
  <si>
    <t>CUST1154</t>
  </si>
  <si>
    <t>Julie Hale</t>
  </si>
  <si>
    <t>Owensview</t>
  </si>
  <si>
    <t>CUST1155</t>
  </si>
  <si>
    <t>Curtis Haynes</t>
  </si>
  <si>
    <t>Estradaside</t>
  </si>
  <si>
    <t>CUST1156</t>
  </si>
  <si>
    <t>Maria Sanchez</t>
  </si>
  <si>
    <t>East Peterbury</t>
  </si>
  <si>
    <t>CUST1157</t>
  </si>
  <si>
    <t>Paul Zamora</t>
  </si>
  <si>
    <t>North Larryfurt</t>
  </si>
  <si>
    <t>CUST1158</t>
  </si>
  <si>
    <t>Sean Powell</t>
  </si>
  <si>
    <t>South Kevin</t>
  </si>
  <si>
    <t>CUST1159</t>
  </si>
  <si>
    <t>Brian Choi</t>
  </si>
  <si>
    <t>Floydton</t>
  </si>
  <si>
    <t>CUST1160</t>
  </si>
  <si>
    <t>John Lawson</t>
  </si>
  <si>
    <t>New Juliemouth</t>
  </si>
  <si>
    <t>CUST1161</t>
  </si>
  <si>
    <t>Cynthia Morris</t>
  </si>
  <si>
    <t>Hessmouth</t>
  </si>
  <si>
    <t>CUST1162</t>
  </si>
  <si>
    <t>Mariah Brown</t>
  </si>
  <si>
    <t>Palmerbury</t>
  </si>
  <si>
    <t>CUST1163</t>
  </si>
  <si>
    <t>Joseph Jones</t>
  </si>
  <si>
    <t>North Matthew</t>
  </si>
  <si>
    <t>CUST1164</t>
  </si>
  <si>
    <t>Daniel Rivas</t>
  </si>
  <si>
    <t>Dominiquefort</t>
  </si>
  <si>
    <t>CUST1165</t>
  </si>
  <si>
    <t>Jason Wheeler</t>
  </si>
  <si>
    <t>Carolview</t>
  </si>
  <si>
    <t>CUST1166</t>
  </si>
  <si>
    <t>Patricia Gardner</t>
  </si>
  <si>
    <t>South Ashleyton</t>
  </si>
  <si>
    <t>CUST1167</t>
  </si>
  <si>
    <t>Antonio Wade</t>
  </si>
  <si>
    <t>New Jasonmouth</t>
  </si>
  <si>
    <t>CUST1168</t>
  </si>
  <si>
    <t>Daniel Contreras</t>
  </si>
  <si>
    <t>Robertview</t>
  </si>
  <si>
    <t>CUST1169</t>
  </si>
  <si>
    <t>Steve Mclaughlin</t>
  </si>
  <si>
    <t>Josephmouth</t>
  </si>
  <si>
    <t>CUST1170</t>
  </si>
  <si>
    <t>Christopher Garcia DDS</t>
  </si>
  <si>
    <t>New Joseph</t>
  </si>
  <si>
    <t>CUST1171</t>
  </si>
  <si>
    <t>Amy Wilson</t>
  </si>
  <si>
    <t>Morrisburgh</t>
  </si>
  <si>
    <t>CUST1172</t>
  </si>
  <si>
    <t>Thomas Rhodes</t>
  </si>
  <si>
    <t>Port Richard</t>
  </si>
  <si>
    <t>CUST1173</t>
  </si>
  <si>
    <t>Teresa Stokes</t>
  </si>
  <si>
    <t>CUST1174</t>
  </si>
  <si>
    <t>Maria Davis</t>
  </si>
  <si>
    <t>Avilahaven</t>
  </si>
  <si>
    <t>CUST1175</t>
  </si>
  <si>
    <t>Michelle Rogers</t>
  </si>
  <si>
    <t>East Jessicaborough</t>
  </si>
  <si>
    <t>CUST1176</t>
  </si>
  <si>
    <t>John Bradford</t>
  </si>
  <si>
    <t>Anabury</t>
  </si>
  <si>
    <t>CUST1177</t>
  </si>
  <si>
    <t>Curtis Lam</t>
  </si>
  <si>
    <t>Butlerberg</t>
  </si>
  <si>
    <t>Kentucky</t>
  </si>
  <si>
    <t>CUST1178</t>
  </si>
  <si>
    <t>Michelle Myers</t>
  </si>
  <si>
    <t>West Daniel</t>
  </si>
  <si>
    <t>CUST1179</t>
  </si>
  <si>
    <t>Nicholas Bradshaw</t>
  </si>
  <si>
    <t>Murphyfurt</t>
  </si>
  <si>
    <t>CUST1180</t>
  </si>
  <si>
    <t>Wesley Thompson</t>
  </si>
  <si>
    <t>East Davidmouth</t>
  </si>
  <si>
    <t>CUST1181</t>
  </si>
  <si>
    <t>Erin Ward</t>
  </si>
  <si>
    <t>New Brianchester</t>
  </si>
  <si>
    <t>CUST1182</t>
  </si>
  <si>
    <t>Melissa Hamilton</t>
  </si>
  <si>
    <t>Hutchinsonville</t>
  </si>
  <si>
    <t>CUST1183</t>
  </si>
  <si>
    <t>Mario Jacobs</t>
  </si>
  <si>
    <t>Port James</t>
  </si>
  <si>
    <t>CUST1184</t>
  </si>
  <si>
    <t>Leonard Cochran</t>
  </si>
  <si>
    <t>Port Sherryview</t>
  </si>
  <si>
    <t>CUST1185</t>
  </si>
  <si>
    <t>Brent Rivas</t>
  </si>
  <si>
    <t>North Kellyberg</t>
  </si>
  <si>
    <t>CUST1186</t>
  </si>
  <si>
    <t>Jennifer Pruitt</t>
  </si>
  <si>
    <t>East Justin</t>
  </si>
  <si>
    <t>CUST1187</t>
  </si>
  <si>
    <t>Dr. Suzanne Bullock</t>
  </si>
  <si>
    <t>Lake Blaketon</t>
  </si>
  <si>
    <t>CUST1188</t>
  </si>
  <si>
    <t>Kimberly Brooks</t>
  </si>
  <si>
    <t>Kingfort</t>
  </si>
  <si>
    <t>CUST1189</t>
  </si>
  <si>
    <t>Daniel Austin</t>
  </si>
  <si>
    <t>Lake Howardberg</t>
  </si>
  <si>
    <t>CUST1190</t>
  </si>
  <si>
    <t>Christopher Stewart</t>
  </si>
  <si>
    <t>Amandaside</t>
  </si>
  <si>
    <t>CUST1191</t>
  </si>
  <si>
    <t>Todd Poole</t>
  </si>
  <si>
    <t>Johnsonshire</t>
  </si>
  <si>
    <t>CUST1192</t>
  </si>
  <si>
    <t>Jacob Wood</t>
  </si>
  <si>
    <t>Lake Samanthafort</t>
  </si>
  <si>
    <t>CUST1193</t>
  </si>
  <si>
    <t>David Roberts</t>
  </si>
  <si>
    <t>Port Amanda</t>
  </si>
  <si>
    <t>CUST1194</t>
  </si>
  <si>
    <t>Ashley Ferguson</t>
  </si>
  <si>
    <t>Sarahmouth</t>
  </si>
  <si>
    <t>CUST1195</t>
  </si>
  <si>
    <t>Anthony Garcia</t>
  </si>
  <si>
    <t>Taraberg</t>
  </si>
  <si>
    <t>CUST1196</t>
  </si>
  <si>
    <t>Megan Greer</t>
  </si>
  <si>
    <t>West John</t>
  </si>
  <si>
    <t>CUST1197</t>
  </si>
  <si>
    <t>Andrea Jacobs</t>
  </si>
  <si>
    <t>CUST1198</t>
  </si>
  <si>
    <t>Wanda Snyder</t>
  </si>
  <si>
    <t>Frostmouth</t>
  </si>
  <si>
    <t>CUST1199</t>
  </si>
  <si>
    <t>Carmen Price</t>
  </si>
  <si>
    <t>North Briannamouth</t>
  </si>
  <si>
    <t>CUST1200</t>
  </si>
  <si>
    <t>Anna Perez</t>
  </si>
  <si>
    <t>South Jerry</t>
  </si>
  <si>
    <t>CUST1201</t>
  </si>
  <si>
    <t>Mary Boyd</t>
  </si>
  <si>
    <t>New Logan</t>
  </si>
  <si>
    <t>CUST1202</t>
  </si>
  <si>
    <t>Christina Garcia</t>
  </si>
  <si>
    <t>Clarkeside</t>
  </si>
  <si>
    <t>CUST1203</t>
  </si>
  <si>
    <t>Sarah Brady</t>
  </si>
  <si>
    <t>Johnsonland</t>
  </si>
  <si>
    <t>CUST1204</t>
  </si>
  <si>
    <t>Tiffany Herrera</t>
  </si>
  <si>
    <t>New Dianebury</t>
  </si>
  <si>
    <t>CUST1205</t>
  </si>
  <si>
    <t>Michelle Carpenter</t>
  </si>
  <si>
    <t>Lake Danielleton</t>
  </si>
  <si>
    <t>CUST1206</t>
  </si>
  <si>
    <t>Ronald Jones</t>
  </si>
  <si>
    <t>Brownshire</t>
  </si>
  <si>
    <t>CUST1207</t>
  </si>
  <si>
    <t>Jacqueline Pacheco</t>
  </si>
  <si>
    <t>South Emily</t>
  </si>
  <si>
    <t>CUST1208</t>
  </si>
  <si>
    <t>John Perez</t>
  </si>
  <si>
    <t>Kathrynview</t>
  </si>
  <si>
    <t>CUST1209</t>
  </si>
  <si>
    <t>Joan Johnson</t>
  </si>
  <si>
    <t>Lake Josephport</t>
  </si>
  <si>
    <t>CUST1210</t>
  </si>
  <si>
    <t>Antonio Jones</t>
  </si>
  <si>
    <t>Matthewborough</t>
  </si>
  <si>
    <t>CUST1211</t>
  </si>
  <si>
    <t>Rodney Huffman</t>
  </si>
  <si>
    <t>Garzafort</t>
  </si>
  <si>
    <t>CUST1212</t>
  </si>
  <si>
    <t>Blake Harrison</t>
  </si>
  <si>
    <t>Lyonsfort</t>
  </si>
  <si>
    <t>CUST1213</t>
  </si>
  <si>
    <t>Stuart Johnson</t>
  </si>
  <si>
    <t>West Markport</t>
  </si>
  <si>
    <t>CUST1214</t>
  </si>
  <si>
    <t>Eric Todd</t>
  </si>
  <si>
    <t>Danielstad</t>
  </si>
  <si>
    <t>CUST1215</t>
  </si>
  <si>
    <t>Steve Medina</t>
  </si>
  <si>
    <t>East Josephside</t>
  </si>
  <si>
    <t>CUST1216</t>
  </si>
  <si>
    <t>Kathryn Garcia</t>
  </si>
  <si>
    <t>Morrismouth</t>
  </si>
  <si>
    <t>CUST1217</t>
  </si>
  <si>
    <t>Kathy Copeland</t>
  </si>
  <si>
    <t>North Christinemouth</t>
  </si>
  <si>
    <t>CUST1218</t>
  </si>
  <si>
    <t>Julia Jackson</t>
  </si>
  <si>
    <t>Edwardland</t>
  </si>
  <si>
    <t>CUST1219</t>
  </si>
  <si>
    <t>Jordan Wells</t>
  </si>
  <si>
    <t>CUST1220</t>
  </si>
  <si>
    <t>George Davis</t>
  </si>
  <si>
    <t>Massachusetts</t>
  </si>
  <si>
    <t>CUST1221</t>
  </si>
  <si>
    <t>Lisa Young</t>
  </si>
  <si>
    <t>Maybury</t>
  </si>
  <si>
    <t>CUST1222</t>
  </si>
  <si>
    <t>Alejandro Doyle</t>
  </si>
  <si>
    <t>East Crystalton</t>
  </si>
  <si>
    <t>CUST1223</t>
  </si>
  <si>
    <t>Robert Harris</t>
  </si>
  <si>
    <t>CUST1224</t>
  </si>
  <si>
    <t>Anthony Morgan</t>
  </si>
  <si>
    <t>New Anthonyfurt</t>
  </si>
  <si>
    <t>CUST1225</t>
  </si>
  <si>
    <t>Elizabeth Stanley</t>
  </si>
  <si>
    <t>Bethanyton</t>
  </si>
  <si>
    <t>CUST1226</t>
  </si>
  <si>
    <t>Alexis Castaneda</t>
  </si>
  <si>
    <t>CUST1227</t>
  </si>
  <si>
    <t>Gregory Pham</t>
  </si>
  <si>
    <t>Pollardton</t>
  </si>
  <si>
    <t>CUST1228</t>
  </si>
  <si>
    <t>Casey Flores</t>
  </si>
  <si>
    <t>CUST1229</t>
  </si>
  <si>
    <t>Tanner Thompson</t>
  </si>
  <si>
    <t>Port Lisashire</t>
  </si>
  <si>
    <t>CUST1230</t>
  </si>
  <si>
    <t>Timothy Sanders</t>
  </si>
  <si>
    <t>Aaronmouth</t>
  </si>
  <si>
    <t>CUST1231</t>
  </si>
  <si>
    <t>Timothy Juarez</t>
  </si>
  <si>
    <t>Grahamstad</t>
  </si>
  <si>
    <t>CUST1232</t>
  </si>
  <si>
    <t>Christy Hill</t>
  </si>
  <si>
    <t>Tammyton</t>
  </si>
  <si>
    <t>CUST1233</t>
  </si>
  <si>
    <t>Michelle Gonzalez</t>
  </si>
  <si>
    <t>Clarkport</t>
  </si>
  <si>
    <t>CUST1234</t>
  </si>
  <si>
    <t>Nathaniel Hill</t>
  </si>
  <si>
    <t>Lake Mark</t>
  </si>
  <si>
    <t>CUST1235</t>
  </si>
  <si>
    <t>Jon Ortiz</t>
  </si>
  <si>
    <t>South Angelaport</t>
  </si>
  <si>
    <t>CUST1236</t>
  </si>
  <si>
    <t>Joshua Wilson</t>
  </si>
  <si>
    <t>North Larryport</t>
  </si>
  <si>
    <t>CUST1237</t>
  </si>
  <si>
    <t>Wesley Short</t>
  </si>
  <si>
    <t>Susanstad</t>
  </si>
  <si>
    <t>CUST1238</t>
  </si>
  <si>
    <t>Steven Smith</t>
  </si>
  <si>
    <t>Port Krista</t>
  </si>
  <si>
    <t>CUST1239</t>
  </si>
  <si>
    <t>Maria Hill</t>
  </si>
  <si>
    <t>Zamoraborough</t>
  </si>
  <si>
    <t>CUST1240</t>
  </si>
  <si>
    <t>William Hull</t>
  </si>
  <si>
    <t>Heathfort</t>
  </si>
  <si>
    <t>CUST1241</t>
  </si>
  <si>
    <t>Mr. William Horton</t>
  </si>
  <si>
    <t>Dawsonchester</t>
  </si>
  <si>
    <t>CUST1242</t>
  </si>
  <si>
    <t>William Jackson</t>
  </si>
  <si>
    <t>New Tina</t>
  </si>
  <si>
    <t>CUST1243</t>
  </si>
  <si>
    <t>Brian Hammond</t>
  </si>
  <si>
    <t>North Nicholas</t>
  </si>
  <si>
    <t>CUST1244</t>
  </si>
  <si>
    <t>Nancy Page</t>
  </si>
  <si>
    <t>West Julia</t>
  </si>
  <si>
    <t>CUST1245</t>
  </si>
  <si>
    <t>Laura Soto</t>
  </si>
  <si>
    <t>Rodriguezton</t>
  </si>
  <si>
    <t>CUST1246</t>
  </si>
  <si>
    <t>Mary Russell</t>
  </si>
  <si>
    <t>South Regina</t>
  </si>
  <si>
    <t>CUST1247</t>
  </si>
  <si>
    <t>Douglas Rhodes</t>
  </si>
  <si>
    <t>Mikehaven</t>
  </si>
  <si>
    <t>CUST1248</t>
  </si>
  <si>
    <t>Nicholas Webb</t>
  </si>
  <si>
    <t>Lake Timothy</t>
  </si>
  <si>
    <t>CUST1249</t>
  </si>
  <si>
    <t>Lauren George</t>
  </si>
  <si>
    <t>Garciamouth</t>
  </si>
  <si>
    <t>CUST1250</t>
  </si>
  <si>
    <t>Veronica Newman</t>
  </si>
  <si>
    <t>New Daniel</t>
  </si>
  <si>
    <t>CUST1251</t>
  </si>
  <si>
    <t>Tyler Garner</t>
  </si>
  <si>
    <t>Port Coreyfort</t>
  </si>
  <si>
    <t>CUST1252</t>
  </si>
  <si>
    <t>John Mccoy</t>
  </si>
  <si>
    <t>Robinborough</t>
  </si>
  <si>
    <t>CUST1253</t>
  </si>
  <si>
    <t>Dr. Ashley Yates MD</t>
  </si>
  <si>
    <t>New Maria</t>
  </si>
  <si>
    <t>CUST1254</t>
  </si>
  <si>
    <t>Linda Kline</t>
  </si>
  <si>
    <t>Masseyland</t>
  </si>
  <si>
    <t>CUST1255</t>
  </si>
  <si>
    <t>Damon Perez</t>
  </si>
  <si>
    <t>Jasonton</t>
  </si>
  <si>
    <t>CUST1256</t>
  </si>
  <si>
    <t>Kristen Fischer</t>
  </si>
  <si>
    <t>Lake Christopher</t>
  </si>
  <si>
    <t>CUST1257</t>
  </si>
  <si>
    <t>Christopher David</t>
  </si>
  <si>
    <t>Karenmouth</t>
  </si>
  <si>
    <t>CUST1258</t>
  </si>
  <si>
    <t>Sarah Stewart</t>
  </si>
  <si>
    <t>East Richard</t>
  </si>
  <si>
    <t>CUST1259</t>
  </si>
  <si>
    <t>Beth Allen</t>
  </si>
  <si>
    <t>South Kathrynmouth</t>
  </si>
  <si>
    <t>CUST1260</t>
  </si>
  <si>
    <t>Russell Lamb</t>
  </si>
  <si>
    <t>North Jonathon</t>
  </si>
  <si>
    <t>CUST1261</t>
  </si>
  <si>
    <t>Carol Bishop</t>
  </si>
  <si>
    <t>Lake Saramouth</t>
  </si>
  <si>
    <t>CUST1262</t>
  </si>
  <si>
    <t>Katherine Cowan</t>
  </si>
  <si>
    <t>New Ana</t>
  </si>
  <si>
    <t>CUST1263</t>
  </si>
  <si>
    <t>Crystal Davis</t>
  </si>
  <si>
    <t>Sallymouth</t>
  </si>
  <si>
    <t>CUST1264</t>
  </si>
  <si>
    <t>Matthew Payne</t>
  </si>
  <si>
    <t>Grahamfurt</t>
  </si>
  <si>
    <t>Wyoming</t>
  </si>
  <si>
    <t>CUST1265</t>
  </si>
  <si>
    <t>Tracy Kelly</t>
  </si>
  <si>
    <t>West Jamieport</t>
  </si>
  <si>
    <t>CUST1266</t>
  </si>
  <si>
    <t>Cynthia Payne</t>
  </si>
  <si>
    <t>South Gina</t>
  </si>
  <si>
    <t>CUST1267</t>
  </si>
  <si>
    <t>Zachary Shelton</t>
  </si>
  <si>
    <t>CUST1268</t>
  </si>
  <si>
    <t>Kevin Orr</t>
  </si>
  <si>
    <t>Ryanberg</t>
  </si>
  <si>
    <t>CUST1269</t>
  </si>
  <si>
    <t>Tyrone Olson</t>
  </si>
  <si>
    <t>Emilytown</t>
  </si>
  <si>
    <t>CUST1270</t>
  </si>
  <si>
    <t>Brian Garcia</t>
  </si>
  <si>
    <t>Ramosmouth</t>
  </si>
  <si>
    <t>CUST1271</t>
  </si>
  <si>
    <t>Daisy Johnson DDS</t>
  </si>
  <si>
    <t>North Stephanie</t>
  </si>
  <si>
    <t>CUST1272</t>
  </si>
  <si>
    <t>Adam Rowland</t>
  </si>
  <si>
    <t>Welchview</t>
  </si>
  <si>
    <t>CUST1273</t>
  </si>
  <si>
    <t>Samantha Robinson</t>
  </si>
  <si>
    <t>North Roy</t>
  </si>
  <si>
    <t>CUST1274</t>
  </si>
  <si>
    <t>Sarah Lane</t>
  </si>
  <si>
    <t>Edwardborough</t>
  </si>
  <si>
    <t>CUST1275</t>
  </si>
  <si>
    <t>Shannon Miller</t>
  </si>
  <si>
    <t>North Austinport</t>
  </si>
  <si>
    <t>CUST1276</t>
  </si>
  <si>
    <t>Arthur Warren</t>
  </si>
  <si>
    <t>Ericshire</t>
  </si>
  <si>
    <t>CUST1277</t>
  </si>
  <si>
    <t>Jeffrey Gomez</t>
  </si>
  <si>
    <t>Lake Nicole</t>
  </si>
  <si>
    <t>CUST1278</t>
  </si>
  <si>
    <t>Stephen Fowler</t>
  </si>
  <si>
    <t>Port Mariastad</t>
  </si>
  <si>
    <t>CUST1279</t>
  </si>
  <si>
    <t>Aaron Luna</t>
  </si>
  <si>
    <t>Gilltown</t>
  </si>
  <si>
    <t>CUST1280</t>
  </si>
  <si>
    <t>Antonio Leon</t>
  </si>
  <si>
    <t>Morrisville</t>
  </si>
  <si>
    <t>CUST1281</t>
  </si>
  <si>
    <t>Brittany Watson</t>
  </si>
  <si>
    <t>North Joshualand</t>
  </si>
  <si>
    <t>CUST1282</t>
  </si>
  <si>
    <t>Kristi Lopez</t>
  </si>
  <si>
    <t>Spencermouth</t>
  </si>
  <si>
    <t>CUST1283</t>
  </si>
  <si>
    <t>Bryan Garcia</t>
  </si>
  <si>
    <t>Garciaborough</t>
  </si>
  <si>
    <t>CUST1284</t>
  </si>
  <si>
    <t>Hunter Sutton</t>
  </si>
  <si>
    <t>Patrickshire</t>
  </si>
  <si>
    <t>CUST1285</t>
  </si>
  <si>
    <t>Donna Guerra</t>
  </si>
  <si>
    <t>North Robert</t>
  </si>
  <si>
    <t>CUST1286</t>
  </si>
  <si>
    <t>Tommy Roberts</t>
  </si>
  <si>
    <t>Port Tonyfort</t>
  </si>
  <si>
    <t>CUST1287</t>
  </si>
  <si>
    <t>Cynthia Roberts</t>
  </si>
  <si>
    <t>Millerfort</t>
  </si>
  <si>
    <t>CUST1288</t>
  </si>
  <si>
    <t>Misty Ferguson</t>
  </si>
  <si>
    <t>North Joseside</t>
  </si>
  <si>
    <t>CUST1289</t>
  </si>
  <si>
    <t>Jennifer Figueroa</t>
  </si>
  <si>
    <t>North Brookestad</t>
  </si>
  <si>
    <t>CUST1290</t>
  </si>
  <si>
    <t>Chase Williams MD</t>
  </si>
  <si>
    <t>Sherimouth</t>
  </si>
  <si>
    <t>CUST1291</t>
  </si>
  <si>
    <t>James Powell</t>
  </si>
  <si>
    <t>West Beverlymouth</t>
  </si>
  <si>
    <t>CUST1292</t>
  </si>
  <si>
    <t>Ricardo Jones</t>
  </si>
  <si>
    <t>Danielland</t>
  </si>
  <si>
    <t>CUST1293</t>
  </si>
  <si>
    <t>Gloria Taylor</t>
  </si>
  <si>
    <t>North Daniel</t>
  </si>
  <si>
    <t>CUST1294</t>
  </si>
  <si>
    <t>Lisa Chandler</t>
  </si>
  <si>
    <t>CUST1295</t>
  </si>
  <si>
    <t>Crystal Waters</t>
  </si>
  <si>
    <t>North Michelleport</t>
  </si>
  <si>
    <t>CUST1296</t>
  </si>
  <si>
    <t>Jared Moran</t>
  </si>
  <si>
    <t>CUST1297</t>
  </si>
  <si>
    <t>Jennifer Carr</t>
  </si>
  <si>
    <t>Lake Brett</t>
  </si>
  <si>
    <t>CUST1298</t>
  </si>
  <si>
    <t>Tracy Stephens</t>
  </si>
  <si>
    <t>New Joshuatown</t>
  </si>
  <si>
    <t>CUST1299</t>
  </si>
  <si>
    <t>Stephanie Jacobs</t>
  </si>
  <si>
    <t>West Robinmouth</t>
  </si>
  <si>
    <t>CUST1300</t>
  </si>
  <si>
    <t>Matthew Avery</t>
  </si>
  <si>
    <t>Lake Melissashire</t>
  </si>
  <si>
    <t>CUST1301</t>
  </si>
  <si>
    <t>Ryan Kane</t>
  </si>
  <si>
    <t>West Bruceburgh</t>
  </si>
  <si>
    <t>CUST1302</t>
  </si>
  <si>
    <t>Edward Cole</t>
  </si>
  <si>
    <t>Lake Charlotte</t>
  </si>
  <si>
    <t>CUST1303</t>
  </si>
  <si>
    <t>John Sloan</t>
  </si>
  <si>
    <t>East Johntown</t>
  </si>
  <si>
    <t>CUST1304</t>
  </si>
  <si>
    <t>Miss Alexandria Li DVM</t>
  </si>
  <si>
    <t>Port Jenniferton</t>
  </si>
  <si>
    <t>CUST1305</t>
  </si>
  <si>
    <t>Roberta Green</t>
  </si>
  <si>
    <t>West Joseph</t>
  </si>
  <si>
    <t>CUST1306</t>
  </si>
  <si>
    <t>Angela Robinson</t>
  </si>
  <si>
    <t>New Nicholasstad</t>
  </si>
  <si>
    <t>CUST1307</t>
  </si>
  <si>
    <t>Brandy Thompson</t>
  </si>
  <si>
    <t>West Patriciaview</t>
  </si>
  <si>
    <t>CUST1308</t>
  </si>
  <si>
    <t>Jennifer Zamora</t>
  </si>
  <si>
    <t>Sarahland</t>
  </si>
  <si>
    <t>CUST1309</t>
  </si>
  <si>
    <t>Stacy Collins</t>
  </si>
  <si>
    <t>Randychester</t>
  </si>
  <si>
    <t>CUST1310</t>
  </si>
  <si>
    <t>Kara Dodson</t>
  </si>
  <si>
    <t>Joelside</t>
  </si>
  <si>
    <t>CUST1311</t>
  </si>
  <si>
    <t>Kevin Larson</t>
  </si>
  <si>
    <t>Port Edwardmouth</t>
  </si>
  <si>
    <t>CUST1312</t>
  </si>
  <si>
    <t>Jason Mullins</t>
  </si>
  <si>
    <t>Brianchester</t>
  </si>
  <si>
    <t>CUST1313</t>
  </si>
  <si>
    <t>Elizabeth Jones</t>
  </si>
  <si>
    <t>Brownburgh</t>
  </si>
  <si>
    <t>CUST1314</t>
  </si>
  <si>
    <t>Elizabeth Johnson</t>
  </si>
  <si>
    <t>Anitaland</t>
  </si>
  <si>
    <t>CUST1315</t>
  </si>
  <si>
    <t>William Rodriguez</t>
  </si>
  <si>
    <t>Port Chad</t>
  </si>
  <si>
    <t>CUST1316</t>
  </si>
  <si>
    <t>Robert House</t>
  </si>
  <si>
    <t>Lake James</t>
  </si>
  <si>
    <t>CUST1317</t>
  </si>
  <si>
    <t>Tiffany Williams</t>
  </si>
  <si>
    <t>Richardsport</t>
  </si>
  <si>
    <t>CUST1318</t>
  </si>
  <si>
    <t>Madison Wright</t>
  </si>
  <si>
    <t>Monicaview</t>
  </si>
  <si>
    <t>CUST1319</t>
  </si>
  <si>
    <t>Casey Simpson</t>
  </si>
  <si>
    <t>West Mathewside</t>
  </si>
  <si>
    <t>CUST1320</t>
  </si>
  <si>
    <t>Jessica Gonzalez</t>
  </si>
  <si>
    <t>South Darrenland</t>
  </si>
  <si>
    <t>CUST1321</t>
  </si>
  <si>
    <t>Darren Burton</t>
  </si>
  <si>
    <t>Lake Alice</t>
  </si>
  <si>
    <t>CUST1322</t>
  </si>
  <si>
    <t>Samuel Arias</t>
  </si>
  <si>
    <t>North Nicole</t>
  </si>
  <si>
    <t>CUST1323</t>
  </si>
  <si>
    <t>Kristy Dunlap</t>
  </si>
  <si>
    <t>Whiteport</t>
  </si>
  <si>
    <t>CUST1324</t>
  </si>
  <si>
    <t>Alex Mann II</t>
  </si>
  <si>
    <t>South Zacharychester</t>
  </si>
  <si>
    <t>CUST1325</t>
  </si>
  <si>
    <t>Andrew Smith</t>
  </si>
  <si>
    <t>East Matthew</t>
  </si>
  <si>
    <t>CUST1326</t>
  </si>
  <si>
    <t>Robert King</t>
  </si>
  <si>
    <t>Cindyton</t>
  </si>
  <si>
    <t>CUST1327</t>
  </si>
  <si>
    <t>Reginald Willis</t>
  </si>
  <si>
    <t>Kellybury</t>
  </si>
  <si>
    <t>CUST1328</t>
  </si>
  <si>
    <t>Mario Harvey Jr.</t>
  </si>
  <si>
    <t>Jessicaport</t>
  </si>
  <si>
    <t>CUST1329</t>
  </si>
  <si>
    <t>Victor Mcintosh</t>
  </si>
  <si>
    <t>Tiffanyshire</t>
  </si>
  <si>
    <t>CUST1330</t>
  </si>
  <si>
    <t>Pamela Mcguire</t>
  </si>
  <si>
    <t>South Jasontown</t>
  </si>
  <si>
    <t>CUST1331</t>
  </si>
  <si>
    <t>Maria Phillips</t>
  </si>
  <si>
    <t>North Kathytown</t>
  </si>
  <si>
    <t>CUST1332</t>
  </si>
  <si>
    <t>Dr. Lindsay Hanna</t>
  </si>
  <si>
    <t>New Paulstad</t>
  </si>
  <si>
    <t>CUST1333</t>
  </si>
  <si>
    <t>Teresa Johnson</t>
  </si>
  <si>
    <t>Johnsonbury</t>
  </si>
  <si>
    <t>CUST1334</t>
  </si>
  <si>
    <t>Mr. Christopher Sims</t>
  </si>
  <si>
    <t>Donaldsontown</t>
  </si>
  <si>
    <t>CUST1335</t>
  </si>
  <si>
    <t>Jennifer Woods</t>
  </si>
  <si>
    <t>West Brendamouth</t>
  </si>
  <si>
    <t>CUST1336</t>
  </si>
  <si>
    <t>John Jones</t>
  </si>
  <si>
    <t>North Michaelborough</t>
  </si>
  <si>
    <t>CUST1337</t>
  </si>
  <si>
    <t>Carol Lewis</t>
  </si>
  <si>
    <t>Ryanport</t>
  </si>
  <si>
    <t>CUST1338</t>
  </si>
  <si>
    <t>Jasmine Snyder</t>
  </si>
  <si>
    <t>Hudsonfort</t>
  </si>
  <si>
    <t>CUST1339</t>
  </si>
  <si>
    <t>Mrs. Susan Buckley</t>
  </si>
  <si>
    <t>Stevensbury</t>
  </si>
  <si>
    <t>CUST1340</t>
  </si>
  <si>
    <t>Eric Davis</t>
  </si>
  <si>
    <t>Johntown</t>
  </si>
  <si>
    <t>CUST1341</t>
  </si>
  <si>
    <t>Angela Williams</t>
  </si>
  <si>
    <t>Lake Alyssaburgh</t>
  </si>
  <si>
    <t>CUST1342</t>
  </si>
  <si>
    <t>Michelle Cunningham</t>
  </si>
  <si>
    <t>Amandaborough</t>
  </si>
  <si>
    <t>CUST1343</t>
  </si>
  <si>
    <t>Ryan Moore</t>
  </si>
  <si>
    <t>Cartershire</t>
  </si>
  <si>
    <t>CUST1344</t>
  </si>
  <si>
    <t>Evelyn Brown</t>
  </si>
  <si>
    <t>West Victoriaborough</t>
  </si>
  <si>
    <t>CUST1345</t>
  </si>
  <si>
    <t>Daniel Nelson</t>
  </si>
  <si>
    <t>North Jonathan</t>
  </si>
  <si>
    <t>CUST1346</t>
  </si>
  <si>
    <t>John Jordan</t>
  </si>
  <si>
    <t>Port Crystalberg</t>
  </si>
  <si>
    <t>CUST1347</t>
  </si>
  <si>
    <t>Justin Mason DDS</t>
  </si>
  <si>
    <t>Peggystad</t>
  </si>
  <si>
    <t>CUST1348</t>
  </si>
  <si>
    <t>Sherry Cabrera</t>
  </si>
  <si>
    <t>Shannonview</t>
  </si>
  <si>
    <t>CUST1349</t>
  </si>
  <si>
    <t>Heather Valenzuela</t>
  </si>
  <si>
    <t>New Angiefurt</t>
  </si>
  <si>
    <t>CUST1350</t>
  </si>
  <si>
    <t>Charles Miller</t>
  </si>
  <si>
    <t>Lake Allisonborough</t>
  </si>
  <si>
    <t>CUST1351</t>
  </si>
  <si>
    <t>Jeffrey Mccarthy</t>
  </si>
  <si>
    <t>North Samuel</t>
  </si>
  <si>
    <t>CUST1352</t>
  </si>
  <si>
    <t>Michael Greene</t>
  </si>
  <si>
    <t>Port Saramouth</t>
  </si>
  <si>
    <t>CUST1353</t>
  </si>
  <si>
    <t>Westbury</t>
  </si>
  <si>
    <t>CUST1354</t>
  </si>
  <si>
    <t>Ryan Torres</t>
  </si>
  <si>
    <t>Guerreroport</t>
  </si>
  <si>
    <t>CUST1355</t>
  </si>
  <si>
    <t>Carlos Flores</t>
  </si>
  <si>
    <t>North Johnfurt</t>
  </si>
  <si>
    <t>CUST1356</t>
  </si>
  <si>
    <t>Steve Hunt</t>
  </si>
  <si>
    <t>North Richard</t>
  </si>
  <si>
    <t>CUST1357</t>
  </si>
  <si>
    <t>Manuel Castillo</t>
  </si>
  <si>
    <t>Nealview</t>
  </si>
  <si>
    <t>CUST1358</t>
  </si>
  <si>
    <t>Ashley Anderson</t>
  </si>
  <si>
    <t>West Johnmouth</t>
  </si>
  <si>
    <t>CUST1359</t>
  </si>
  <si>
    <t>Melanie Lam</t>
  </si>
  <si>
    <t>East Michaelton</t>
  </si>
  <si>
    <t>CUST1360</t>
  </si>
  <si>
    <t>Denise Tate</t>
  </si>
  <si>
    <t>Andersonside</t>
  </si>
  <si>
    <t>CUST1361</t>
  </si>
  <si>
    <t>Natalie Johnson</t>
  </si>
  <si>
    <t>New Jessechester</t>
  </si>
  <si>
    <t>CUST1362</t>
  </si>
  <si>
    <t>Joshua Smith DVM</t>
  </si>
  <si>
    <t>Melvinton</t>
  </si>
  <si>
    <t>CUST1363</t>
  </si>
  <si>
    <t>Elizabeth Smith</t>
  </si>
  <si>
    <t>Murphytown</t>
  </si>
  <si>
    <t>CUST1364</t>
  </si>
  <si>
    <t>Chloe Aguilar</t>
  </si>
  <si>
    <t>Lake Johnside</t>
  </si>
  <si>
    <t>CUST1365</t>
  </si>
  <si>
    <t>Brandon Mcbride</t>
  </si>
  <si>
    <t>Kellyside</t>
  </si>
  <si>
    <t>CUST1366</t>
  </si>
  <si>
    <t>Mallory Allen</t>
  </si>
  <si>
    <t>North Theresa</t>
  </si>
  <si>
    <t>CUST1367</t>
  </si>
  <si>
    <t>Melinda Johnson</t>
  </si>
  <si>
    <t>Kaufmanfurt</t>
  </si>
  <si>
    <t>CUST1368</t>
  </si>
  <si>
    <t>Miranda King</t>
  </si>
  <si>
    <t>West Mathew</t>
  </si>
  <si>
    <t>CUST1369</t>
  </si>
  <si>
    <t>Gregory Allen</t>
  </si>
  <si>
    <t>West Bruce</t>
  </si>
  <si>
    <t>CUST1370</t>
  </si>
  <si>
    <t>Millston</t>
  </si>
  <si>
    <t>CUST1371</t>
  </si>
  <si>
    <t>Michael Garner</t>
  </si>
  <si>
    <t>Port Crystal</t>
  </si>
  <si>
    <t>CUST1372</t>
  </si>
  <si>
    <t>Jacqueline Anthony</t>
  </si>
  <si>
    <t>Vincentside</t>
  </si>
  <si>
    <t>CUST1373</t>
  </si>
  <si>
    <t>James Orozco</t>
  </si>
  <si>
    <t>Simpsonfort</t>
  </si>
  <si>
    <t>CUST1374</t>
  </si>
  <si>
    <t>Emma Wilson</t>
  </si>
  <si>
    <t>Andersonburgh</t>
  </si>
  <si>
    <t>CUST1375</t>
  </si>
  <si>
    <t>Joshua Bell</t>
  </si>
  <si>
    <t>Port Richardshire</t>
  </si>
  <si>
    <t>CUST1376</t>
  </si>
  <si>
    <t>Michele Burke</t>
  </si>
  <si>
    <t>Chambersberg</t>
  </si>
  <si>
    <t>CUST1377</t>
  </si>
  <si>
    <t>Charles Conley</t>
  </si>
  <si>
    <t>Nathanshire</t>
  </si>
  <si>
    <t>CUST1378</t>
  </si>
  <si>
    <t>Frank Stewart</t>
  </si>
  <si>
    <t>Fischerborough</t>
  </si>
  <si>
    <t>CUST1379</t>
  </si>
  <si>
    <t>Tanya Lopez</t>
  </si>
  <si>
    <t>West Jeffreyburgh</t>
  </si>
  <si>
    <t>CUST1380</t>
  </si>
  <si>
    <t>Shelley Ponce</t>
  </si>
  <si>
    <t>South Cassandrachester</t>
  </si>
  <si>
    <t>CUST1381</t>
  </si>
  <si>
    <t>Erika Padilla</t>
  </si>
  <si>
    <t>Andrewsland</t>
  </si>
  <si>
    <t>CUST1382</t>
  </si>
  <si>
    <t>Martha Brown</t>
  </si>
  <si>
    <t>Novakstad</t>
  </si>
  <si>
    <t>CUST1383</t>
  </si>
  <si>
    <t>Kristine Higgins</t>
  </si>
  <si>
    <t>Jennifertown</t>
  </si>
  <si>
    <t>CUST1384</t>
  </si>
  <si>
    <t>Andrew Mason</t>
  </si>
  <si>
    <t>North Michael</t>
  </si>
  <si>
    <t>CUST1385</t>
  </si>
  <si>
    <t>Tammy Brennan</t>
  </si>
  <si>
    <t>Lake Brandontown</t>
  </si>
  <si>
    <t>CUST1386</t>
  </si>
  <si>
    <t>Melanie Mitchell</t>
  </si>
  <si>
    <t>West Laura</t>
  </si>
  <si>
    <t>CUST1387</t>
  </si>
  <si>
    <t>Timothy Gardner</t>
  </si>
  <si>
    <t>New Dawn</t>
  </si>
  <si>
    <t>CUST1388</t>
  </si>
  <si>
    <t>Timothy Valenzuela</t>
  </si>
  <si>
    <t>Stevensshire</t>
  </si>
  <si>
    <t>CUST1389</t>
  </si>
  <si>
    <t>Cynthia Lopez</t>
  </si>
  <si>
    <t>Joseland</t>
  </si>
  <si>
    <t>CUST1390</t>
  </si>
  <si>
    <t>Daniel Bell</t>
  </si>
  <si>
    <t>Deniseberg</t>
  </si>
  <si>
    <t>CUST1391</t>
  </si>
  <si>
    <t>Heidi Tyler</t>
  </si>
  <si>
    <t>Dawnstad</t>
  </si>
  <si>
    <t>CUST1392</t>
  </si>
  <si>
    <t>Jacqueline Payne</t>
  </si>
  <si>
    <t>Gutierrezstad</t>
  </si>
  <si>
    <t>CUST1393</t>
  </si>
  <si>
    <t>Michael Mcneil</t>
  </si>
  <si>
    <t>Stewartchester</t>
  </si>
  <si>
    <t>CUST1394</t>
  </si>
  <si>
    <t>Alejandro Evans</t>
  </si>
  <si>
    <t>Cannonberg</t>
  </si>
  <si>
    <t>CUST1395</t>
  </si>
  <si>
    <t>Brandon Mcguire</t>
  </si>
  <si>
    <t>Lake Morganland</t>
  </si>
  <si>
    <t>CUST1396</t>
  </si>
  <si>
    <t>Alexander Byrd</t>
  </si>
  <si>
    <t>Parkerview</t>
  </si>
  <si>
    <t>CUST1397</t>
  </si>
  <si>
    <t>Charles Norman PhD</t>
  </si>
  <si>
    <t>CUST1398</t>
  </si>
  <si>
    <t>Jennifer Johnson</t>
  </si>
  <si>
    <t>Cheyenneborough</t>
  </si>
  <si>
    <t>CUST1399</t>
  </si>
  <si>
    <t>John Donaldson</t>
  </si>
  <si>
    <t>New Edward</t>
  </si>
  <si>
    <t>CUST1400</t>
  </si>
  <si>
    <t>Mark Rogers</t>
  </si>
  <si>
    <t>Bookertown</t>
  </si>
  <si>
    <t>CUST1401</t>
  </si>
  <si>
    <t>Terry Moses</t>
  </si>
  <si>
    <t>Leahmouth</t>
  </si>
  <si>
    <t>CUST1402</t>
  </si>
  <si>
    <t>Cassandra Perez</t>
  </si>
  <si>
    <t>CUST1403</t>
  </si>
  <si>
    <t>Justin Ingram</t>
  </si>
  <si>
    <t>Lake Lisaland</t>
  </si>
  <si>
    <t>CUST1404</t>
  </si>
  <si>
    <t>David Ross</t>
  </si>
  <si>
    <t>South Angela</t>
  </si>
  <si>
    <t>CUST1405</t>
  </si>
  <si>
    <t>Eric Wolfe</t>
  </si>
  <si>
    <t>Garciaview</t>
  </si>
  <si>
    <t>CUST1406</t>
  </si>
  <si>
    <t>David Lozano</t>
  </si>
  <si>
    <t>North Michaelfurt</t>
  </si>
  <si>
    <t>CUST1407</t>
  </si>
  <si>
    <t>Joseph Mendoza</t>
  </si>
  <si>
    <t>Ashleymouth</t>
  </si>
  <si>
    <t>CUST1408</t>
  </si>
  <si>
    <t>Isabel Foster</t>
  </si>
  <si>
    <t>Port Joshuaville</t>
  </si>
  <si>
    <t>CUST1409</t>
  </si>
  <si>
    <t>Sarah Smith</t>
  </si>
  <si>
    <t>Kathleenport</t>
  </si>
  <si>
    <t>CUST1410</t>
  </si>
  <si>
    <t>Jackie Thompson</t>
  </si>
  <si>
    <t>South Edwin</t>
  </si>
  <si>
    <t>CUST1411</t>
  </si>
  <si>
    <t>Katrina Perez</t>
  </si>
  <si>
    <t>West Rebecca</t>
  </si>
  <si>
    <t>CUST1412</t>
  </si>
  <si>
    <t>Shane Brown</t>
  </si>
  <si>
    <t>CUST1413</t>
  </si>
  <si>
    <t>Megan Ryan</t>
  </si>
  <si>
    <t>Andrewsfurt</t>
  </si>
  <si>
    <t>CUST1414</t>
  </si>
  <si>
    <t>Melissa Valentine</t>
  </si>
  <si>
    <t>East Patriciafort</t>
  </si>
  <si>
    <t>CUST1415</t>
  </si>
  <si>
    <t>Tyler Cook</t>
  </si>
  <si>
    <t>Kramerview</t>
  </si>
  <si>
    <t>CUST1416</t>
  </si>
  <si>
    <t>Jennifer Myers</t>
  </si>
  <si>
    <t>Marthaborough</t>
  </si>
  <si>
    <t>CUST1417</t>
  </si>
  <si>
    <t>Karen King</t>
  </si>
  <si>
    <t>Kimburgh</t>
  </si>
  <si>
    <t>CUST1418</t>
  </si>
  <si>
    <t>Luke Parks</t>
  </si>
  <si>
    <t>West Mario</t>
  </si>
  <si>
    <t>CUST1419</t>
  </si>
  <si>
    <t>Monica Miller</t>
  </si>
  <si>
    <t>Lake David</t>
  </si>
  <si>
    <t>CUST1420</t>
  </si>
  <si>
    <t>Dr. Tamara White MD</t>
  </si>
  <si>
    <t>New Benjamin</t>
  </si>
  <si>
    <t>CUST1421</t>
  </si>
  <si>
    <t>Holly Robinson</t>
  </si>
  <si>
    <t>East Amy</t>
  </si>
  <si>
    <t>CUST1422</t>
  </si>
  <si>
    <t>Brittany Edwards DDS</t>
  </si>
  <si>
    <t>Aliciahaven</t>
  </si>
  <si>
    <t>CUST1423</t>
  </si>
  <si>
    <t>Rebecca Baker</t>
  </si>
  <si>
    <t>New Katherine</t>
  </si>
  <si>
    <t>CUST1424</t>
  </si>
  <si>
    <t>Edwin Barnes</t>
  </si>
  <si>
    <t>Lake Alexandra</t>
  </si>
  <si>
    <t>CUST1425</t>
  </si>
  <si>
    <t>Bryce Hawkins</t>
  </si>
  <si>
    <t>Lake Monique</t>
  </si>
  <si>
    <t>CUST1426</t>
  </si>
  <si>
    <t>Jeanette Nichols</t>
  </si>
  <si>
    <t>Aguilarland</t>
  </si>
  <si>
    <t>CUST1427</t>
  </si>
  <si>
    <t>Jose Stewart</t>
  </si>
  <si>
    <t>South Robert</t>
  </si>
  <si>
    <t>CUST1428</t>
  </si>
  <si>
    <t>Samuel Mullins</t>
  </si>
  <si>
    <t>Hartmouth</t>
  </si>
  <si>
    <t>CUST1429</t>
  </si>
  <si>
    <t>Sean Vang</t>
  </si>
  <si>
    <t>Davidchester</t>
  </si>
  <si>
    <t>CUST1430</t>
  </si>
  <si>
    <t>Kimberly Roberts</t>
  </si>
  <si>
    <t>Josephchester</t>
  </si>
  <si>
    <t>CUST1431</t>
  </si>
  <si>
    <t>John Smith</t>
  </si>
  <si>
    <t>South Andrewport</t>
  </si>
  <si>
    <t>CUST1432</t>
  </si>
  <si>
    <t>Summer Weiss</t>
  </si>
  <si>
    <t>Phyllisport</t>
  </si>
  <si>
    <t>CUST1433</t>
  </si>
  <si>
    <t>Thomas Moore</t>
  </si>
  <si>
    <t>Williamsberg</t>
  </si>
  <si>
    <t>CUST1434</t>
  </si>
  <si>
    <t>Monique Castro</t>
  </si>
  <si>
    <t>New Sarah</t>
  </si>
  <si>
    <t>CUST1435</t>
  </si>
  <si>
    <t>Lindsay Beasley</t>
  </si>
  <si>
    <t>Wesleyhaven</t>
  </si>
  <si>
    <t>CUST1436</t>
  </si>
  <si>
    <t>Sharon Simpson</t>
  </si>
  <si>
    <t>South Michellebury</t>
  </si>
  <si>
    <t>CUST1437</t>
  </si>
  <si>
    <t>Melinda Rivera</t>
  </si>
  <si>
    <t>CUST1438</t>
  </si>
  <si>
    <t>Monica Flynn</t>
  </si>
  <si>
    <t>Amberburgh</t>
  </si>
  <si>
    <t>CUST1439</t>
  </si>
  <si>
    <t>John Compton</t>
  </si>
  <si>
    <t>CUST1440</t>
  </si>
  <si>
    <t>Tammy Trevino</t>
  </si>
  <si>
    <t>Justinberg</t>
  </si>
  <si>
    <t>CUST1441</t>
  </si>
  <si>
    <t>Dalton Walters</t>
  </si>
  <si>
    <t>Jonesstad</t>
  </si>
  <si>
    <t>CUST1442</t>
  </si>
  <si>
    <t>Kelli Smith</t>
  </si>
  <si>
    <t>North Maryfort</t>
  </si>
  <si>
    <t>CUST1443</t>
  </si>
  <si>
    <t>Adam Castro</t>
  </si>
  <si>
    <t>New Donnabury</t>
  </si>
  <si>
    <t>CUST1444</t>
  </si>
  <si>
    <t>Cheryl Carr</t>
  </si>
  <si>
    <t>Jessicaland</t>
  </si>
  <si>
    <t>CUST1445</t>
  </si>
  <si>
    <t>Gene Lee</t>
  </si>
  <si>
    <t>Mcfarlandmouth</t>
  </si>
  <si>
    <t>CUST1446</t>
  </si>
  <si>
    <t>Shannon Turner</t>
  </si>
  <si>
    <t>West Jorge</t>
  </si>
  <si>
    <t>CUST1447</t>
  </si>
  <si>
    <t>Monica Wright</t>
  </si>
  <si>
    <t>Paulside</t>
  </si>
  <si>
    <t>CUST1448</t>
  </si>
  <si>
    <t>Eric Holmes</t>
  </si>
  <si>
    <t>Smithville</t>
  </si>
  <si>
    <t>CUST1449</t>
  </si>
  <si>
    <t>William Cortez</t>
  </si>
  <si>
    <t>Port Hannahport</t>
  </si>
  <si>
    <t>CUST1450</t>
  </si>
  <si>
    <t>Shane Mills</t>
  </si>
  <si>
    <t>Lake Meganstad</t>
  </si>
  <si>
    <t>CUST1451</t>
  </si>
  <si>
    <t>Ashley Roberts</t>
  </si>
  <si>
    <t>CUST1452</t>
  </si>
  <si>
    <t>Jeffery Wolf</t>
  </si>
  <si>
    <t>New Laura</t>
  </si>
  <si>
    <t>CUST1453</t>
  </si>
  <si>
    <t>April Phillips</t>
  </si>
  <si>
    <t>Lake Carolyn</t>
  </si>
  <si>
    <t>CUST1454</t>
  </si>
  <si>
    <t>John Berg</t>
  </si>
  <si>
    <t>CUST1455</t>
  </si>
  <si>
    <t>Tyler Weber</t>
  </si>
  <si>
    <t>East Yvette</t>
  </si>
  <si>
    <t>CUST1456</t>
  </si>
  <si>
    <t>Julie Powell</t>
  </si>
  <si>
    <t>South Barbara</t>
  </si>
  <si>
    <t>CUST1457</t>
  </si>
  <si>
    <t>Christina Robertson</t>
  </si>
  <si>
    <t>Hubbardborough</t>
  </si>
  <si>
    <t>CUST1458</t>
  </si>
  <si>
    <t>Kelly Garrett</t>
  </si>
  <si>
    <t>Port Taylorberg</t>
  </si>
  <si>
    <t>CUST1459</t>
  </si>
  <si>
    <t>Brandontown</t>
  </si>
  <si>
    <t>CUST1460</t>
  </si>
  <si>
    <t>Justin Johnson</t>
  </si>
  <si>
    <t>Hughesview</t>
  </si>
  <si>
    <t>CUST1461</t>
  </si>
  <si>
    <t>Paul Cox</t>
  </si>
  <si>
    <t>East Julie</t>
  </si>
  <si>
    <t>CUST1462</t>
  </si>
  <si>
    <t>Beth Martin</t>
  </si>
  <si>
    <t>Burkefurt</t>
  </si>
  <si>
    <t>CUST1463</t>
  </si>
  <si>
    <t>Samantha Lee</t>
  </si>
  <si>
    <t>Port Anthony</t>
  </si>
  <si>
    <t>CUST1464</t>
  </si>
  <si>
    <t>David Pierce</t>
  </si>
  <si>
    <t>Grayland</t>
  </si>
  <si>
    <t>CUST1465</t>
  </si>
  <si>
    <t>Ronald Ross</t>
  </si>
  <si>
    <t>Hartmanside</t>
  </si>
  <si>
    <t>CUST1466</t>
  </si>
  <si>
    <t>Cynthia Parrish</t>
  </si>
  <si>
    <t>Espinozaberg</t>
  </si>
  <si>
    <t>CUST1467</t>
  </si>
  <si>
    <t>Michael Foley</t>
  </si>
  <si>
    <t>Oneillfurt</t>
  </si>
  <si>
    <t>CUST1468</t>
  </si>
  <si>
    <t>Gregory Curtis</t>
  </si>
  <si>
    <t>Bergermouth</t>
  </si>
  <si>
    <t>CUST1469</t>
  </si>
  <si>
    <t>James Foster</t>
  </si>
  <si>
    <t>East Audrey</t>
  </si>
  <si>
    <t>CUST1470</t>
  </si>
  <si>
    <t>Manuel Fisher</t>
  </si>
  <si>
    <t>Kanebury</t>
  </si>
  <si>
    <t>CUST1471</t>
  </si>
  <si>
    <t>Debra Mccullough</t>
  </si>
  <si>
    <t>Mcdanielfurt</t>
  </si>
  <si>
    <t>CUST1472</t>
  </si>
  <si>
    <t>Philip Mendoza</t>
  </si>
  <si>
    <t>Tylermouth</t>
  </si>
  <si>
    <t>CUST1473</t>
  </si>
  <si>
    <t>Laura Mathews</t>
  </si>
  <si>
    <t>Chambersfurt</t>
  </si>
  <si>
    <t>CUST1474</t>
  </si>
  <si>
    <t>Joshua Howard</t>
  </si>
  <si>
    <t>East Christopherhaven</t>
  </si>
  <si>
    <t>CUST1475</t>
  </si>
  <si>
    <t>Barbara Berry</t>
  </si>
  <si>
    <t>CUST1476</t>
  </si>
  <si>
    <t>Elizabeth Foster</t>
  </si>
  <si>
    <t>Anthonymouth</t>
  </si>
  <si>
    <t>CUST1477</t>
  </si>
  <si>
    <t>Andrea Harris</t>
  </si>
  <si>
    <t>West Kelseyberg</t>
  </si>
  <si>
    <t>CUST1478</t>
  </si>
  <si>
    <t>Earl Smith DDS</t>
  </si>
  <si>
    <t>West Sarah</t>
  </si>
  <si>
    <t>CUST1479</t>
  </si>
  <si>
    <t>Dylan Gutierrez</t>
  </si>
  <si>
    <t>New Jamesview</t>
  </si>
  <si>
    <t>CUST1480</t>
  </si>
  <si>
    <t>Jordan Medina</t>
  </si>
  <si>
    <t>Robinchester</t>
  </si>
  <si>
    <t>CUST1481</t>
  </si>
  <si>
    <t>Bryan Tran</t>
  </si>
  <si>
    <t>Kelseybury</t>
  </si>
  <si>
    <t>CUST1482</t>
  </si>
  <si>
    <t>Sheri Joyce</t>
  </si>
  <si>
    <t>West Tylerfort</t>
  </si>
  <si>
    <t>CUST1483</t>
  </si>
  <si>
    <t>East Rodney</t>
  </si>
  <si>
    <t>CUST1484</t>
  </si>
  <si>
    <t>Jessica Castro</t>
  </si>
  <si>
    <t>West Markton</t>
  </si>
  <si>
    <t>CUST1485</t>
  </si>
  <si>
    <t>Sara Ingram</t>
  </si>
  <si>
    <t>East Dillonview</t>
  </si>
  <si>
    <t>CUST1486</t>
  </si>
  <si>
    <t>Eric Lee</t>
  </si>
  <si>
    <t>Lake April</t>
  </si>
  <si>
    <t>CUST1487</t>
  </si>
  <si>
    <t>Amanda Medina</t>
  </si>
  <si>
    <t>East Patriciastad</t>
  </si>
  <si>
    <t>CUST1488</t>
  </si>
  <si>
    <t>Zachary Andrade</t>
  </si>
  <si>
    <t>South Davidport</t>
  </si>
  <si>
    <t>CUST1489</t>
  </si>
  <si>
    <t>Melinda Thomas</t>
  </si>
  <si>
    <t>Lake Elizabethside</t>
  </si>
  <si>
    <t>CUST1490</t>
  </si>
  <si>
    <t>Scott Harris</t>
  </si>
  <si>
    <t>North Nataliemouth</t>
  </si>
  <si>
    <t>CUST1491</t>
  </si>
  <si>
    <t>Kaitlin Brown</t>
  </si>
  <si>
    <t>Kellyberg</t>
  </si>
  <si>
    <t>CUST1492</t>
  </si>
  <si>
    <t>Darrell Miller</t>
  </si>
  <si>
    <t>Port Carol</t>
  </si>
  <si>
    <t>CUST1493</t>
  </si>
  <si>
    <t>Amanda Powell</t>
  </si>
  <si>
    <t>CUST1494</t>
  </si>
  <si>
    <t>Justin Lopez</t>
  </si>
  <si>
    <t>Port Cheryl</t>
  </si>
  <si>
    <t>CUST1495</t>
  </si>
  <si>
    <t>James Berger</t>
  </si>
  <si>
    <t>Bryanmouth</t>
  </si>
  <si>
    <t>CUST1496</t>
  </si>
  <si>
    <t>Christopher Ford</t>
  </si>
  <si>
    <t>North Seanfurt</t>
  </si>
  <si>
    <t>CUST1497</t>
  </si>
  <si>
    <t>Sarah Marsh</t>
  </si>
  <si>
    <t>Port William</t>
  </si>
  <si>
    <t>CUST1498</t>
  </si>
  <si>
    <t>Traci Gonzalez</t>
  </si>
  <si>
    <t>Snyderfurt</t>
  </si>
  <si>
    <t>CUST1499</t>
  </si>
  <si>
    <t>Philip Pennington</t>
  </si>
  <si>
    <t>East Valerieview</t>
  </si>
  <si>
    <t>Product_ID</t>
  </si>
  <si>
    <t>Product_Name</t>
  </si>
  <si>
    <t>Category</t>
  </si>
  <si>
    <t>Sub_Category</t>
  </si>
  <si>
    <t>Brand</t>
  </si>
  <si>
    <t>Cost</t>
  </si>
  <si>
    <t>Stock</t>
  </si>
  <si>
    <t>PROD0</t>
  </si>
  <si>
    <t>Home</t>
  </si>
  <si>
    <t>Hunt Inc</t>
  </si>
  <si>
    <t>PROD1</t>
  </si>
  <si>
    <t>Clothing</t>
  </si>
  <si>
    <t>Terry-Moore</t>
  </si>
  <si>
    <t>PROD2</t>
  </si>
  <si>
    <t>Sims Inc</t>
  </si>
  <si>
    <t>PROD3</t>
  </si>
  <si>
    <t>Pineda Ltd</t>
  </si>
  <si>
    <t>PROD4</t>
  </si>
  <si>
    <t>Gonzales-Davis</t>
  </si>
  <si>
    <t>PROD5</t>
  </si>
  <si>
    <t>Baldwin, Garza and Gonzalez</t>
  </si>
  <si>
    <t>PROD6</t>
  </si>
  <si>
    <t>Beauty</t>
  </si>
  <si>
    <t>Davidson PLC</t>
  </si>
  <si>
    <t>PROD7</t>
  </si>
  <si>
    <t>Harrell LLC</t>
  </si>
  <si>
    <t>PROD8</t>
  </si>
  <si>
    <t>Electronics</t>
  </si>
  <si>
    <t>Perez-Johnston</t>
  </si>
  <si>
    <t>PROD9</t>
  </si>
  <si>
    <t>Sports</t>
  </si>
  <si>
    <t>Hill PLC</t>
  </si>
  <si>
    <t>PROD10</t>
  </si>
  <si>
    <t>Hamilton Group</t>
  </si>
  <si>
    <t>PROD11</t>
  </si>
  <si>
    <t>Gibson, Hobbs and Weaver</t>
  </si>
  <si>
    <t>PROD12</t>
  </si>
  <si>
    <t>Rice LLC</t>
  </si>
  <si>
    <t>PROD13</t>
  </si>
  <si>
    <t>Dawson-Perkins</t>
  </si>
  <si>
    <t>PROD14</t>
  </si>
  <si>
    <t>Luna, Anderson and Bowman</t>
  </si>
  <si>
    <t>PROD15</t>
  </si>
  <si>
    <t>Thomas LLC</t>
  </si>
  <si>
    <t>PROD16</t>
  </si>
  <si>
    <t>Erickson-Green</t>
  </si>
  <si>
    <t>PROD17</t>
  </si>
  <si>
    <t>Ford, Murphy and Wilson</t>
  </si>
  <si>
    <t>PROD18</t>
  </si>
  <si>
    <t>Guerra-Hendrix</t>
  </si>
  <si>
    <t>PROD19</t>
  </si>
  <si>
    <t>May-Reese</t>
  </si>
  <si>
    <t>PROD20</t>
  </si>
  <si>
    <t>Soto-Ellis</t>
  </si>
  <si>
    <t>PROD21</t>
  </si>
  <si>
    <t>Gardner-Montes</t>
  </si>
  <si>
    <t>PROD22</t>
  </si>
  <si>
    <t>Flores, Pineda and Rodriguez</t>
  </si>
  <si>
    <t>PROD23</t>
  </si>
  <si>
    <t>Moon, Mora and Santos</t>
  </si>
  <si>
    <t>PROD24</t>
  </si>
  <si>
    <t>Cook Ltd</t>
  </si>
  <si>
    <t>PROD25</t>
  </si>
  <si>
    <t>Brown and Sons</t>
  </si>
  <si>
    <t>PROD26</t>
  </si>
  <si>
    <t>Reed-Schmidt</t>
  </si>
  <si>
    <t>PROD27</t>
  </si>
  <si>
    <t>Khan, Jones and Paul</t>
  </si>
  <si>
    <t>PROD28</t>
  </si>
  <si>
    <t>Burns-Hansen</t>
  </si>
  <si>
    <t>PROD29</t>
  </si>
  <si>
    <t>Hoffman Group</t>
  </si>
  <si>
    <t>PROD30</t>
  </si>
  <si>
    <t>Stevens, Fernandez and Martin</t>
  </si>
  <si>
    <t>PROD31</t>
  </si>
  <si>
    <t>Nolan-Snow</t>
  </si>
  <si>
    <t>PROD32</t>
  </si>
  <si>
    <t>Griffin Ltd</t>
  </si>
  <si>
    <t>PROD33</t>
  </si>
  <si>
    <t>Weiss-Watson</t>
  </si>
  <si>
    <t>PROD34</t>
  </si>
  <si>
    <t>Lucero LLC</t>
  </si>
  <si>
    <t>PROD35</t>
  </si>
  <si>
    <t>Jones LLC</t>
  </si>
  <si>
    <t>PROD36</t>
  </si>
  <si>
    <t>Smith-Mills</t>
  </si>
  <si>
    <t>PROD37</t>
  </si>
  <si>
    <t>Hogan-Lee</t>
  </si>
  <si>
    <t>PROD38</t>
  </si>
  <si>
    <t>Sims-Smith</t>
  </si>
  <si>
    <t>PROD39</t>
  </si>
  <si>
    <t>Cummings and Sons</t>
  </si>
  <si>
    <t>PROD40</t>
  </si>
  <si>
    <t>Taylor-Hart</t>
  </si>
  <si>
    <t>PROD41</t>
  </si>
  <si>
    <t>Carroll, Long and Mendoza</t>
  </si>
  <si>
    <t>PROD42</t>
  </si>
  <si>
    <t>Holmes LLC</t>
  </si>
  <si>
    <t>PROD43</t>
  </si>
  <si>
    <t>Robinson Inc</t>
  </si>
  <si>
    <t>PROD44</t>
  </si>
  <si>
    <t>Cox Inc</t>
  </si>
  <si>
    <t>PROD45</t>
  </si>
  <si>
    <t>Bridges, Banks and Cummings</t>
  </si>
  <si>
    <t>PROD46</t>
  </si>
  <si>
    <t>Kelly, Smith and Perez</t>
  </si>
  <si>
    <t>PROD47</t>
  </si>
  <si>
    <t>Cook Inc</t>
  </si>
  <si>
    <t>PROD48</t>
  </si>
  <si>
    <t>Byrd, Stewart and Valdez</t>
  </si>
  <si>
    <t>PROD49</t>
  </si>
  <si>
    <t>Sullivan and Sons</t>
  </si>
  <si>
    <t>PROD50</t>
  </si>
  <si>
    <t>Smith-King</t>
  </si>
  <si>
    <t>PROD51</t>
  </si>
  <si>
    <t>Bautista, Green and Hale</t>
  </si>
  <si>
    <t>PROD52</t>
  </si>
  <si>
    <t>Harris Inc</t>
  </si>
  <si>
    <t>PROD53</t>
  </si>
  <si>
    <t>Hamilton, Woods and Walker</t>
  </si>
  <si>
    <t>PROD54</t>
  </si>
  <si>
    <t>Thompson-French</t>
  </si>
  <si>
    <t>PROD55</t>
  </si>
  <si>
    <t>Hatfield, Baird and Torres</t>
  </si>
  <si>
    <t>PROD56</t>
  </si>
  <si>
    <t>Hernandez, Kennedy and Porter</t>
  </si>
  <si>
    <t>PROD57</t>
  </si>
  <si>
    <t>Atkinson, Camacho and Oliver</t>
  </si>
  <si>
    <t>PROD58</t>
  </si>
  <si>
    <t>Shepherd-Gould</t>
  </si>
  <si>
    <t>PROD59</t>
  </si>
  <si>
    <t>Cline-Mccarthy</t>
  </si>
  <si>
    <t>PROD60</t>
  </si>
  <si>
    <t>Gibson, Green and Lopez</t>
  </si>
  <si>
    <t>PROD61</t>
  </si>
  <si>
    <t>Lopez LLC</t>
  </si>
  <si>
    <t>PROD62</t>
  </si>
  <si>
    <t>Murray, Gould and Ware</t>
  </si>
  <si>
    <t>PROD63</t>
  </si>
  <si>
    <t>Anderson-Riley</t>
  </si>
  <si>
    <t>PROD64</t>
  </si>
  <si>
    <t>Zhang Inc</t>
  </si>
  <si>
    <t>PROD65</t>
  </si>
  <si>
    <t>Montgomery, Benton and Miller</t>
  </si>
  <si>
    <t>PROD66</t>
  </si>
  <si>
    <t>Torres, Spencer and Potter</t>
  </si>
  <si>
    <t>PROD67</t>
  </si>
  <si>
    <t>Flores-Davis</t>
  </si>
  <si>
    <t>PROD68</t>
  </si>
  <si>
    <t>Wolfe, Ross and Hester</t>
  </si>
  <si>
    <t>PROD69</t>
  </si>
  <si>
    <t>Fitzpatrick Ltd</t>
  </si>
  <si>
    <t>PROD70</t>
  </si>
  <si>
    <t>Duran Group</t>
  </si>
  <si>
    <t>PROD71</t>
  </si>
  <si>
    <t>Hopkins Ltd</t>
  </si>
  <si>
    <t>PROD72</t>
  </si>
  <si>
    <t>Davis PLC</t>
  </si>
  <si>
    <t>PROD73</t>
  </si>
  <si>
    <t>French Ltd</t>
  </si>
  <si>
    <t>PROD74</t>
  </si>
  <si>
    <t>Bruce-Bowen</t>
  </si>
  <si>
    <t>PROD75</t>
  </si>
  <si>
    <t>Poole PLC</t>
  </si>
  <si>
    <t>PROD76</t>
  </si>
  <si>
    <t>Larson Ltd</t>
  </si>
  <si>
    <t>PROD77</t>
  </si>
  <si>
    <t>White, Reeves and Woods</t>
  </si>
  <si>
    <t>PROD78</t>
  </si>
  <si>
    <t>Hernandez Inc</t>
  </si>
  <si>
    <t>PROD79</t>
  </si>
  <si>
    <t>Ramirez-Hanson</t>
  </si>
  <si>
    <t>PROD80</t>
  </si>
  <si>
    <t>Allison Ltd</t>
  </si>
  <si>
    <t>PROD81</t>
  </si>
  <si>
    <t>Robinson-Brown</t>
  </si>
  <si>
    <t>PROD82</t>
  </si>
  <si>
    <t>Reese-Watson</t>
  </si>
  <si>
    <t>PROD83</t>
  </si>
  <si>
    <t>Butler Group</t>
  </si>
  <si>
    <t>PROD84</t>
  </si>
  <si>
    <t>Collins-Stephenson</t>
  </si>
  <si>
    <t>PROD85</t>
  </si>
  <si>
    <t>Richardson-Carrillo</t>
  </si>
  <si>
    <t>PROD86</t>
  </si>
  <si>
    <t>Taylor, Dodson and Johnston</t>
  </si>
  <si>
    <t>PROD87</t>
  </si>
  <si>
    <t>Aguilar, Horton and Lewis</t>
  </si>
  <si>
    <t>PROD88</t>
  </si>
  <si>
    <t>Olsen-Daniels</t>
  </si>
  <si>
    <t>PROD89</t>
  </si>
  <si>
    <t>Taylor-Elliott</t>
  </si>
  <si>
    <t>PROD90</t>
  </si>
  <si>
    <t>Sharp, Taylor and Rodriguez</t>
  </si>
  <si>
    <t>PROD91</t>
  </si>
  <si>
    <t>Smith-Charles</t>
  </si>
  <si>
    <t>PROD92</t>
  </si>
  <si>
    <t>Green, Powell and Palmer</t>
  </si>
  <si>
    <t>PROD93</t>
  </si>
  <si>
    <t>Martin LLC</t>
  </si>
  <si>
    <t>PROD94</t>
  </si>
  <si>
    <t>Hoffman-Williams</t>
  </si>
  <si>
    <t>PROD95</t>
  </si>
  <si>
    <t>Wilson Group</t>
  </si>
  <si>
    <t>PROD96</t>
  </si>
  <si>
    <t>Phillips and Sons</t>
  </si>
  <si>
    <t>PROD97</t>
  </si>
  <si>
    <t>Khan LLC</t>
  </si>
  <si>
    <t>PROD98</t>
  </si>
  <si>
    <t>Flores-King</t>
  </si>
  <si>
    <t>PROD99</t>
  </si>
  <si>
    <t>Campbell Ltd</t>
  </si>
  <si>
    <t>Store_ID</t>
  </si>
  <si>
    <t>Store_Name</t>
  </si>
  <si>
    <t>Region</t>
  </si>
  <si>
    <t>Store_Type</t>
  </si>
  <si>
    <t>STORE0</t>
  </si>
  <si>
    <t>Rivera-Warner</t>
  </si>
  <si>
    <t>East</t>
  </si>
  <si>
    <t>Washingtonfurt</t>
  </si>
  <si>
    <t>Flagship</t>
  </si>
  <si>
    <t>STORE1</t>
  </si>
  <si>
    <t>Martinez, Adkins and Johnson</t>
  </si>
  <si>
    <t>North</t>
  </si>
  <si>
    <t>Danielmouth</t>
  </si>
  <si>
    <t>STORE2</t>
  </si>
  <si>
    <t>Black-Horn</t>
  </si>
  <si>
    <t>South</t>
  </si>
  <si>
    <t>North Nancyview</t>
  </si>
  <si>
    <t>Outlet</t>
  </si>
  <si>
    <t>STORE3</t>
  </si>
  <si>
    <t>Johnson-Wright</t>
  </si>
  <si>
    <t>Hoodberg</t>
  </si>
  <si>
    <t>STORE4</t>
  </si>
  <si>
    <t>Alexander Group</t>
  </si>
  <si>
    <t>Port Sharon</t>
  </si>
  <si>
    <t>Online</t>
  </si>
  <si>
    <t>STORE5</t>
  </si>
  <si>
    <t>Gray Ltd</t>
  </si>
  <si>
    <t>New Michaelchester</t>
  </si>
  <si>
    <t>STORE6</t>
  </si>
  <si>
    <t>Benson-Elliott</t>
  </si>
  <si>
    <t>Port Josephberg</t>
  </si>
  <si>
    <t>STORE7</t>
  </si>
  <si>
    <t>Martinez-Mullins</t>
  </si>
  <si>
    <t>Williamsfurt</t>
  </si>
  <si>
    <t>STORE8</t>
  </si>
  <si>
    <t>Bean, Jones and Park</t>
  </si>
  <si>
    <t>West</t>
  </si>
  <si>
    <t>Thompsonborough</t>
  </si>
  <si>
    <t>STORE9</t>
  </si>
  <si>
    <t>Moore, Padilla and Butler</t>
  </si>
  <si>
    <t>East Johnstad</t>
  </si>
  <si>
    <t>STORE10</t>
  </si>
  <si>
    <t>Hill, Wagner and Ballard</t>
  </si>
  <si>
    <t>East Davidville</t>
  </si>
  <si>
    <t>STORE11</t>
  </si>
  <si>
    <t>Aguirre-Keller</t>
  </si>
  <si>
    <t>STORE12</t>
  </si>
  <si>
    <t>Thomas, Bridges and Harris</t>
  </si>
  <si>
    <t>Sabrinatown</t>
  </si>
  <si>
    <t>STORE13</t>
  </si>
  <si>
    <t>Gardner, Humphrey and Contreras</t>
  </si>
  <si>
    <t>STORE14</t>
  </si>
  <si>
    <t>Mcdonald Inc</t>
  </si>
  <si>
    <t>STORE15</t>
  </si>
  <si>
    <t>Shelton PLC</t>
  </si>
  <si>
    <t>East Jenniferstad</t>
  </si>
  <si>
    <t>STORE16</t>
  </si>
  <si>
    <t>Frederick-Wright</t>
  </si>
  <si>
    <t>New Jimmymouth</t>
  </si>
  <si>
    <t>STORE17</t>
  </si>
  <si>
    <t>Holloway Ltd</t>
  </si>
  <si>
    <t>Bensonhaven</t>
  </si>
  <si>
    <t>STORE18</t>
  </si>
  <si>
    <t>Guerrero-Schmitt</t>
  </si>
  <si>
    <t>East Stevechester</t>
  </si>
  <si>
    <t>STORE19</t>
  </si>
  <si>
    <t>Mann-Austin</t>
  </si>
  <si>
    <t>Vasquezborough</t>
  </si>
  <si>
    <t>Sales_ID</t>
  </si>
  <si>
    <t>Order_Date</t>
  </si>
  <si>
    <t>Discount</t>
  </si>
  <si>
    <t>Payment_Type</t>
  </si>
  <si>
    <t>SALE0</t>
  </si>
  <si>
    <t>Credit Card</t>
  </si>
  <si>
    <t>SALE1</t>
  </si>
  <si>
    <t>PayPal</t>
  </si>
  <si>
    <t>SALE2</t>
  </si>
  <si>
    <t>SALE3</t>
  </si>
  <si>
    <t>COD</t>
  </si>
  <si>
    <t>SALE4</t>
  </si>
  <si>
    <t>SALE5</t>
  </si>
  <si>
    <t>SALE6</t>
  </si>
  <si>
    <t>SALE7</t>
  </si>
  <si>
    <t>SALE8</t>
  </si>
  <si>
    <t>SALE9</t>
  </si>
  <si>
    <t>SALE10</t>
  </si>
  <si>
    <t>SALE11</t>
  </si>
  <si>
    <t>SALE12</t>
  </si>
  <si>
    <t>SALE13</t>
  </si>
  <si>
    <t>SALE14</t>
  </si>
  <si>
    <t>SALE15</t>
  </si>
  <si>
    <t>SALE16</t>
  </si>
  <si>
    <t>SALE17</t>
  </si>
  <si>
    <t>SALE18</t>
  </si>
  <si>
    <t>SALE19</t>
  </si>
  <si>
    <t>SALE20</t>
  </si>
  <si>
    <t>SALE21</t>
  </si>
  <si>
    <t>SALE22</t>
  </si>
  <si>
    <t>SALE23</t>
  </si>
  <si>
    <t>SALE24</t>
  </si>
  <si>
    <t>SALE25</t>
  </si>
  <si>
    <t>SALE26</t>
  </si>
  <si>
    <t>SALE27</t>
  </si>
  <si>
    <t>SALE28</t>
  </si>
  <si>
    <t>SALE30</t>
  </si>
  <si>
    <t>SALE31</t>
  </si>
  <si>
    <t>SALE32</t>
  </si>
  <si>
    <t>SALE33</t>
  </si>
  <si>
    <t>SALE34</t>
  </si>
  <si>
    <t>SALE35</t>
  </si>
  <si>
    <t>SALE36</t>
  </si>
  <si>
    <t>SALE37</t>
  </si>
  <si>
    <t>SALE38</t>
  </si>
  <si>
    <t>SALE39</t>
  </si>
  <si>
    <t>SALE40</t>
  </si>
  <si>
    <t>SALE41</t>
  </si>
  <si>
    <t>SALE42</t>
  </si>
  <si>
    <t>SALE43</t>
  </si>
  <si>
    <t>SALE44</t>
  </si>
  <si>
    <t>SALE45</t>
  </si>
  <si>
    <t>SALE46</t>
  </si>
  <si>
    <t>SALE47</t>
  </si>
  <si>
    <t>SALE49</t>
  </si>
  <si>
    <t>SALE51</t>
  </si>
  <si>
    <t>SALE53</t>
  </si>
  <si>
    <t>SALE54</t>
  </si>
  <si>
    <t>SALE55</t>
  </si>
  <si>
    <t>SALE56</t>
  </si>
  <si>
    <t>SALE58</t>
  </si>
  <si>
    <t>SALE59</t>
  </si>
  <si>
    <t>SALE60</t>
  </si>
  <si>
    <t>SALE63</t>
  </si>
  <si>
    <t>SALE64</t>
  </si>
  <si>
    <t>SALE65</t>
  </si>
  <si>
    <t>SALE66</t>
  </si>
  <si>
    <t>SALE67</t>
  </si>
  <si>
    <t>SALE68</t>
  </si>
  <si>
    <t>SALE69</t>
  </si>
  <si>
    <t>SALE70</t>
  </si>
  <si>
    <t>SALE71</t>
  </si>
  <si>
    <t>SALE73</t>
  </si>
  <si>
    <t>SALE74</t>
  </si>
  <si>
    <t>SALE75</t>
  </si>
  <si>
    <t>SALE76</t>
  </si>
  <si>
    <t>SALE77</t>
  </si>
  <si>
    <t>SALE78</t>
  </si>
  <si>
    <t>SALE79</t>
  </si>
  <si>
    <t>SALE80</t>
  </si>
  <si>
    <t>SALE81</t>
  </si>
  <si>
    <t>SALE82</t>
  </si>
  <si>
    <t>SALE83</t>
  </si>
  <si>
    <t>SALE85</t>
  </si>
  <si>
    <t>SALE86</t>
  </si>
  <si>
    <t>SALE87</t>
  </si>
  <si>
    <t>SALE88</t>
  </si>
  <si>
    <t>SALE89</t>
  </si>
  <si>
    <t>SALE90</t>
  </si>
  <si>
    <t>SALE91</t>
  </si>
  <si>
    <t>SALE94</t>
  </si>
  <si>
    <t>SALE95</t>
  </si>
  <si>
    <t>SALE96</t>
  </si>
  <si>
    <t>SALE97</t>
  </si>
  <si>
    <t>SALE98</t>
  </si>
  <si>
    <t>SALE99</t>
  </si>
  <si>
    <t>SALE100</t>
  </si>
  <si>
    <t>SALE102</t>
  </si>
  <si>
    <t>SALE103</t>
  </si>
  <si>
    <t>SALE104</t>
  </si>
  <si>
    <t>SALE105</t>
  </si>
  <si>
    <t>SALE107</t>
  </si>
  <si>
    <t>SALE108</t>
  </si>
  <si>
    <t>SALE109</t>
  </si>
  <si>
    <t>SALE111</t>
  </si>
  <si>
    <t>SALE112</t>
  </si>
  <si>
    <t>SALE115</t>
  </si>
  <si>
    <t>SALE116</t>
  </si>
  <si>
    <t>SALE117</t>
  </si>
  <si>
    <t>SALE118</t>
  </si>
  <si>
    <t>SALE119</t>
  </si>
  <si>
    <t>SALE120</t>
  </si>
  <si>
    <t>SALE121</t>
  </si>
  <si>
    <t>SALE125</t>
  </si>
  <si>
    <t>SALE127</t>
  </si>
  <si>
    <t>SALE128</t>
  </si>
  <si>
    <t>SALE129</t>
  </si>
  <si>
    <t>SALE130</t>
  </si>
  <si>
    <t>SALE131</t>
  </si>
  <si>
    <t>SALE132</t>
  </si>
  <si>
    <t>SALE133</t>
  </si>
  <si>
    <t>SALE134</t>
  </si>
  <si>
    <t>SALE135</t>
  </si>
  <si>
    <t>SALE136</t>
  </si>
  <si>
    <t>SALE137</t>
  </si>
  <si>
    <t>SALE138</t>
  </si>
  <si>
    <t>SALE139</t>
  </si>
  <si>
    <t>SALE140</t>
  </si>
  <si>
    <t>SALE141</t>
  </si>
  <si>
    <t>SALE142</t>
  </si>
  <si>
    <t>SALE143</t>
  </si>
  <si>
    <t>SALE145</t>
  </si>
  <si>
    <t>SALE147</t>
  </si>
  <si>
    <t>SALE149</t>
  </si>
  <si>
    <t>SALE150</t>
  </si>
  <si>
    <t>SALE151</t>
  </si>
  <si>
    <t>SALE152</t>
  </si>
  <si>
    <t>SALE153</t>
  </si>
  <si>
    <t>SALE154</t>
  </si>
  <si>
    <t>SALE155</t>
  </si>
  <si>
    <t>SALE156</t>
  </si>
  <si>
    <t>SALE159</t>
  </si>
  <si>
    <t>SALE160</t>
  </si>
  <si>
    <t>SALE163</t>
  </si>
  <si>
    <t>SALE165</t>
  </si>
  <si>
    <t>SALE166</t>
  </si>
  <si>
    <t>SALE167</t>
  </si>
  <si>
    <t>SALE168</t>
  </si>
  <si>
    <t>SALE169</t>
  </si>
  <si>
    <t>SALE170</t>
  </si>
  <si>
    <t>SALE171</t>
  </si>
  <si>
    <t>SALE173</t>
  </si>
  <si>
    <t>SALE174</t>
  </si>
  <si>
    <t>SALE175</t>
  </si>
  <si>
    <t>SALE176</t>
  </si>
  <si>
    <t>SALE177</t>
  </si>
  <si>
    <t>SALE178</t>
  </si>
  <si>
    <t>SALE179</t>
  </si>
  <si>
    <t>SALE180</t>
  </si>
  <si>
    <t>SALE181</t>
  </si>
  <si>
    <t>SALE183</t>
  </si>
  <si>
    <t>SALE184</t>
  </si>
  <si>
    <t>SALE185</t>
  </si>
  <si>
    <t>SALE187</t>
  </si>
  <si>
    <t>SALE188</t>
  </si>
  <si>
    <t>SALE189</t>
  </si>
  <si>
    <t>SALE190</t>
  </si>
  <si>
    <t>SALE191</t>
  </si>
  <si>
    <t>SALE192</t>
  </si>
  <si>
    <t>SALE194</t>
  </si>
  <si>
    <t>SALE197</t>
  </si>
  <si>
    <t>SALE198</t>
  </si>
  <si>
    <t>SALE199</t>
  </si>
  <si>
    <t>SALE200</t>
  </si>
  <si>
    <t>SALE203</t>
  </si>
  <si>
    <t>SALE205</t>
  </si>
  <si>
    <t>SALE207</t>
  </si>
  <si>
    <t>SALE208</t>
  </si>
  <si>
    <t>SALE209</t>
  </si>
  <si>
    <t>SALE211</t>
  </si>
  <si>
    <t>SALE212</t>
  </si>
  <si>
    <t>SALE214</t>
  </si>
  <si>
    <t>SALE216</t>
  </si>
  <si>
    <t>SALE217</t>
  </si>
  <si>
    <t>SALE218</t>
  </si>
  <si>
    <t>SALE220</t>
  </si>
  <si>
    <t>SALE221</t>
  </si>
  <si>
    <t>SALE223</t>
  </si>
  <si>
    <t>SALE224</t>
  </si>
  <si>
    <t>SALE225</t>
  </si>
  <si>
    <t>SALE228</t>
  </si>
  <si>
    <t>SALE230</t>
  </si>
  <si>
    <t>SALE231</t>
  </si>
  <si>
    <t>SALE236</t>
  </si>
  <si>
    <t>SALE237</t>
  </si>
  <si>
    <t>SALE239</t>
  </si>
  <si>
    <t>SALE240</t>
  </si>
  <si>
    <t>SALE243</t>
  </si>
  <si>
    <t>SALE245</t>
  </si>
  <si>
    <t>SALE248</t>
  </si>
  <si>
    <t>SALE249</t>
  </si>
  <si>
    <t>SALE252</t>
  </si>
  <si>
    <t>SALE253</t>
  </si>
  <si>
    <t>SALE254</t>
  </si>
  <si>
    <t>SALE255</t>
  </si>
  <si>
    <t>SALE256</t>
  </si>
  <si>
    <t>SALE257</t>
  </si>
  <si>
    <t>SALE258</t>
  </si>
  <si>
    <t>SALE259</t>
  </si>
  <si>
    <t>SALE260</t>
  </si>
  <si>
    <t>SALE261</t>
  </si>
  <si>
    <t>SALE262</t>
  </si>
  <si>
    <t>SALE263</t>
  </si>
  <si>
    <t>SALE265</t>
  </si>
  <si>
    <t>SALE266</t>
  </si>
  <si>
    <t>SALE267</t>
  </si>
  <si>
    <t>SALE269</t>
  </si>
  <si>
    <t>SALE270</t>
  </si>
  <si>
    <t>SALE271</t>
  </si>
  <si>
    <t>SALE273</t>
  </si>
  <si>
    <t>SALE277</t>
  </si>
  <si>
    <t>SALE278</t>
  </si>
  <si>
    <t>SALE279</t>
  </si>
  <si>
    <t>SALE281</t>
  </si>
  <si>
    <t>SALE282</t>
  </si>
  <si>
    <t>SALE284</t>
  </si>
  <si>
    <t>SALE285</t>
  </si>
  <si>
    <t>SALE286</t>
  </si>
  <si>
    <t>SALE289</t>
  </si>
  <si>
    <t>SALE290</t>
  </si>
  <si>
    <t>SALE291</t>
  </si>
  <si>
    <t>SALE293</t>
  </si>
  <si>
    <t>SALE295</t>
  </si>
  <si>
    <t>SALE297</t>
  </si>
  <si>
    <t>SALE300</t>
  </si>
  <si>
    <t>SALE302</t>
  </si>
  <si>
    <t>SALE304</t>
  </si>
  <si>
    <t>SALE306</t>
  </si>
  <si>
    <t>SALE307</t>
  </si>
  <si>
    <t>SALE308</t>
  </si>
  <si>
    <t>SALE309</t>
  </si>
  <si>
    <t>SALE310</t>
  </si>
  <si>
    <t>SALE313</t>
  </si>
  <si>
    <t>SALE318</t>
  </si>
  <si>
    <t>SALE319</t>
  </si>
  <si>
    <t>SALE320</t>
  </si>
  <si>
    <t>SALE321</t>
  </si>
  <si>
    <t>SALE323</t>
  </si>
  <si>
    <t>SALE324</t>
  </si>
  <si>
    <t>SALE329</t>
  </si>
  <si>
    <t>SALE330</t>
  </si>
  <si>
    <t>SALE332</t>
  </si>
  <si>
    <t>SALE333</t>
  </si>
  <si>
    <t>SALE335</t>
  </si>
  <si>
    <t>SALE336</t>
  </si>
  <si>
    <t>SALE339</t>
  </si>
  <si>
    <t>SALE341</t>
  </si>
  <si>
    <t>SALE343</t>
  </si>
  <si>
    <t>SALE344</t>
  </si>
  <si>
    <t>SALE346</t>
  </si>
  <si>
    <t>SALE353</t>
  </si>
  <si>
    <t>SALE355</t>
  </si>
  <si>
    <t>SALE357</t>
  </si>
  <si>
    <t>SALE358</t>
  </si>
  <si>
    <t>SALE361</t>
  </si>
  <si>
    <t>SALE362</t>
  </si>
  <si>
    <t>SALE365</t>
  </si>
  <si>
    <t>SALE366</t>
  </si>
  <si>
    <t>SALE373</t>
  </si>
  <si>
    <t>SALE374</t>
  </si>
  <si>
    <t>SALE376</t>
  </si>
  <si>
    <t>SALE377</t>
  </si>
  <si>
    <t>SALE378</t>
  </si>
  <si>
    <t>SALE382</t>
  </si>
  <si>
    <t>SALE388</t>
  </si>
  <si>
    <t>SALE389</t>
  </si>
  <si>
    <t>SALE390</t>
  </si>
  <si>
    <t>SALE396</t>
  </si>
  <si>
    <t>SALE398</t>
  </si>
  <si>
    <t>SALE402</t>
  </si>
  <si>
    <t>SALE404</t>
  </si>
  <si>
    <t>SALE406</t>
  </si>
  <si>
    <t>SALE407</t>
  </si>
  <si>
    <t>SALE408</t>
  </si>
  <si>
    <t>SALE410</t>
  </si>
  <si>
    <t>SALE411</t>
  </si>
  <si>
    <t>SALE414</t>
  </si>
  <si>
    <t>SALE417</t>
  </si>
  <si>
    <t>SALE423</t>
  </si>
  <si>
    <t>SALE427</t>
  </si>
  <si>
    <t>SALE430</t>
  </si>
  <si>
    <t>SALE433</t>
  </si>
  <si>
    <t>SALE435</t>
  </si>
  <si>
    <t>SALE436</t>
  </si>
  <si>
    <t>SALE438</t>
  </si>
  <si>
    <t>SALE439</t>
  </si>
  <si>
    <t>SALE444</t>
  </si>
  <si>
    <t>SALE445</t>
  </si>
  <si>
    <t>SALE449</t>
  </si>
  <si>
    <t>SALE450</t>
  </si>
  <si>
    <t>SALE451</t>
  </si>
  <si>
    <t>SALE453</t>
  </si>
  <si>
    <t>SALE456</t>
  </si>
  <si>
    <t>SALE457</t>
  </si>
  <si>
    <t>SALE458</t>
  </si>
  <si>
    <t>SALE461</t>
  </si>
  <si>
    <t>SALE462</t>
  </si>
  <si>
    <t>SALE463</t>
  </si>
  <si>
    <t>SALE464</t>
  </si>
  <si>
    <t>SALE467</t>
  </si>
  <si>
    <t>SALE472</t>
  </si>
  <si>
    <t>SALE473</t>
  </si>
  <si>
    <t>SALE475</t>
  </si>
  <si>
    <t>SALE490</t>
  </si>
  <si>
    <t>SALE491</t>
  </si>
  <si>
    <t>SALE492</t>
  </si>
  <si>
    <t>SALE496</t>
  </si>
  <si>
    <t>SALE498</t>
  </si>
  <si>
    <t>SALE499</t>
  </si>
  <si>
    <t>SALE500</t>
  </si>
  <si>
    <t>SALE504</t>
  </si>
  <si>
    <t>SALE507</t>
  </si>
  <si>
    <t>SALE509</t>
  </si>
  <si>
    <t>SALE511</t>
  </si>
  <si>
    <t>SALE513</t>
  </si>
  <si>
    <t>SALE515</t>
  </si>
  <si>
    <t>SALE518</t>
  </si>
  <si>
    <t>SALE519</t>
  </si>
  <si>
    <t>SALE522</t>
  </si>
  <si>
    <t>SALE523</t>
  </si>
  <si>
    <t>SALE524</t>
  </si>
  <si>
    <t>SALE526</t>
  </si>
  <si>
    <t>SALE528</t>
  </si>
  <si>
    <t>SALE535</t>
  </si>
  <si>
    <t>SALE538</t>
  </si>
  <si>
    <t>SALE540</t>
  </si>
  <si>
    <t>SALE542</t>
  </si>
  <si>
    <t>SALE547</t>
  </si>
  <si>
    <t>SALE548</t>
  </si>
  <si>
    <t>SALE549</t>
  </si>
  <si>
    <t>SALE553</t>
  </si>
  <si>
    <t>SALE554</t>
  </si>
  <si>
    <t>SALE555</t>
  </si>
  <si>
    <t>SALE557</t>
  </si>
  <si>
    <t>SALE559</t>
  </si>
  <si>
    <t>SALE560</t>
  </si>
  <si>
    <t>SALE562</t>
  </si>
  <si>
    <t>SALE564</t>
  </si>
  <si>
    <t>SALE565</t>
  </si>
  <si>
    <t>SALE568</t>
  </si>
  <si>
    <t>SALE570</t>
  </si>
  <si>
    <t>SALE571</t>
  </si>
  <si>
    <t>SALE572</t>
  </si>
  <si>
    <t>SALE580</t>
  </si>
  <si>
    <t>SALE587</t>
  </si>
  <si>
    <t>SALE595</t>
  </si>
  <si>
    <t>SALE596</t>
  </si>
  <si>
    <t>SALE599</t>
  </si>
  <si>
    <t>SALE607</t>
  </si>
  <si>
    <t>SALE608</t>
  </si>
  <si>
    <t>SALE613</t>
  </si>
  <si>
    <t>SALE614</t>
  </si>
  <si>
    <t>SALE620</t>
  </si>
  <si>
    <t>SALE621</t>
  </si>
  <si>
    <t>SALE622</t>
  </si>
  <si>
    <t>SALE624</t>
  </si>
  <si>
    <t>SALE635</t>
  </si>
  <si>
    <t>SALE638</t>
  </si>
  <si>
    <t>SALE639</t>
  </si>
  <si>
    <t>SALE640</t>
  </si>
  <si>
    <t>SALE649</t>
  </si>
  <si>
    <t>SALE653</t>
  </si>
  <si>
    <t>SALE654</t>
  </si>
  <si>
    <t>SALE658</t>
  </si>
  <si>
    <t>SALE660</t>
  </si>
  <si>
    <t>SALE662</t>
  </si>
  <si>
    <t>SALE665</t>
  </si>
  <si>
    <t>SALE667</t>
  </si>
  <si>
    <t>SALE672</t>
  </si>
  <si>
    <t>SALE677</t>
  </si>
  <si>
    <t>SALE682</t>
  </si>
  <si>
    <t>SALE683</t>
  </si>
  <si>
    <t>SALE684</t>
  </si>
  <si>
    <t>SALE685</t>
  </si>
  <si>
    <t>SALE691</t>
  </si>
  <si>
    <t>SALE695</t>
  </si>
  <si>
    <t>SALE697</t>
  </si>
  <si>
    <t>SALE700</t>
  </si>
  <si>
    <t>SALE703</t>
  </si>
  <si>
    <t>SALE704</t>
  </si>
  <si>
    <t>SALE705</t>
  </si>
  <si>
    <t>SALE708</t>
  </si>
  <si>
    <t>SALE713</t>
  </si>
  <si>
    <t>SALE714</t>
  </si>
  <si>
    <t>SALE715</t>
  </si>
  <si>
    <t>SALE718</t>
  </si>
  <si>
    <t>SALE723</t>
  </si>
  <si>
    <t>SALE726</t>
  </si>
  <si>
    <t>SALE727</t>
  </si>
  <si>
    <t>SALE730</t>
  </si>
  <si>
    <t>SALE733</t>
  </si>
  <si>
    <t>SALE735</t>
  </si>
  <si>
    <t>SALE736</t>
  </si>
  <si>
    <t>SALE743</t>
  </si>
  <si>
    <t>SALE747</t>
  </si>
  <si>
    <t>SALE759</t>
  </si>
  <si>
    <t>SALE760</t>
  </si>
  <si>
    <t>SALE771</t>
  </si>
  <si>
    <t>SALE772</t>
  </si>
  <si>
    <t>SALE777</t>
  </si>
  <si>
    <t>SALE783</t>
  </si>
  <si>
    <t>SALE786</t>
  </si>
  <si>
    <t>SALE788</t>
  </si>
  <si>
    <t>SALE796</t>
  </si>
  <si>
    <t>SALE797</t>
  </si>
  <si>
    <t>SALE804</t>
  </si>
  <si>
    <t>SALE812</t>
  </si>
  <si>
    <t>SALE817</t>
  </si>
  <si>
    <t>SALE823</t>
  </si>
  <si>
    <t>SALE828</t>
  </si>
  <si>
    <t>SALE830</t>
  </si>
  <si>
    <t>SALE844</t>
  </si>
  <si>
    <t>SALE852</t>
  </si>
  <si>
    <t>SALE853</t>
  </si>
  <si>
    <t>SALE855</t>
  </si>
  <si>
    <t>SALE867</t>
  </si>
  <si>
    <t>SALE869</t>
  </si>
  <si>
    <t>SALE874</t>
  </si>
  <si>
    <t>SALE888</t>
  </si>
  <si>
    <t>SALE905</t>
  </si>
  <si>
    <t>SALE906</t>
  </si>
  <si>
    <t>SALE907</t>
  </si>
  <si>
    <t>SALE912</t>
  </si>
  <si>
    <t>SALE933</t>
  </si>
  <si>
    <t>SALE934</t>
  </si>
  <si>
    <t>SALE939</t>
  </si>
  <si>
    <t>SALE946</t>
  </si>
  <si>
    <t>SALE950</t>
  </si>
  <si>
    <t>SALE951</t>
  </si>
  <si>
    <t>SALE971</t>
  </si>
  <si>
    <t>SALE974</t>
  </si>
  <si>
    <t>SALE976</t>
  </si>
  <si>
    <t>SALE988</t>
  </si>
  <si>
    <t>SALE999</t>
  </si>
  <si>
    <t>SALE1005</t>
  </si>
  <si>
    <t>SALE1008</t>
  </si>
  <si>
    <t>SALE1027</t>
  </si>
  <si>
    <t>SALE1039</t>
  </si>
  <si>
    <t>SALE1041</t>
  </si>
  <si>
    <t>SALE1059</t>
  </si>
  <si>
    <t>SALE1075</t>
  </si>
  <si>
    <t>SALE1076</t>
  </si>
  <si>
    <t>SALE1078</t>
  </si>
  <si>
    <t>SALE1103</t>
  </si>
  <si>
    <t>SALE1124</t>
  </si>
  <si>
    <t>SALE1136</t>
  </si>
  <si>
    <t>SALE1140</t>
  </si>
  <si>
    <t>SALE1145</t>
  </si>
  <si>
    <t>SALE1152</t>
  </si>
  <si>
    <t>SALE1155</t>
  </si>
  <si>
    <t>SALE1205</t>
  </si>
  <si>
    <t>SALE1219</t>
  </si>
  <si>
    <t>SALE1220</t>
  </si>
  <si>
    <t>SALE1230</t>
  </si>
  <si>
    <t>SALE1256</t>
  </si>
  <si>
    <t>SALE1277</t>
  </si>
  <si>
    <t>SALE1292</t>
  </si>
  <si>
    <t>SALE1313</t>
  </si>
  <si>
    <t>SALE1340</t>
  </si>
  <si>
    <t>SALE1367</t>
  </si>
  <si>
    <t>SALE1373</t>
  </si>
  <si>
    <t>SALE1378</t>
  </si>
  <si>
    <t>SALE1380</t>
  </si>
  <si>
    <t>SALE1385</t>
  </si>
  <si>
    <t>SALE1431</t>
  </si>
  <si>
    <t>SALE1436</t>
  </si>
  <si>
    <t>SALE1439</t>
  </si>
  <si>
    <t>SALE1441</t>
  </si>
  <si>
    <t>SALE1455</t>
  </si>
  <si>
    <t>SALE1457</t>
  </si>
  <si>
    <t>SALE1466</t>
  </si>
  <si>
    <t>SALE1496</t>
  </si>
  <si>
    <t>SALE1511</t>
  </si>
  <si>
    <t>SALE1520</t>
  </si>
  <si>
    <t>SALE1545</t>
  </si>
  <si>
    <t>SALE1547</t>
  </si>
  <si>
    <t>SALE1584</t>
  </si>
  <si>
    <t>SALE1591</t>
  </si>
  <si>
    <t>SALE1619</t>
  </si>
  <si>
    <t>SALE1642</t>
  </si>
  <si>
    <t>SALE1647</t>
  </si>
  <si>
    <t>SALE1656</t>
  </si>
  <si>
    <t>SALE1692</t>
  </si>
  <si>
    <t>SALE1721</t>
  </si>
  <si>
    <t>SALE1767</t>
  </si>
  <si>
    <t>SALE1818</t>
  </si>
  <si>
    <t>SALE1845</t>
  </si>
  <si>
    <t>SALE1896</t>
  </si>
  <si>
    <t>SALE1985</t>
  </si>
  <si>
    <t>lake tylerfort</t>
  </si>
  <si>
    <t xml:space="preserve">   jonesbury </t>
  </si>
  <si>
    <t xml:space="preserve">    lake lisa</t>
  </si>
  <si>
    <t xml:space="preserve">Phillipschester   </t>
  </si>
  <si>
    <t>East jeremy</t>
  </si>
  <si>
    <t xml:space="preserve">   laura green</t>
  </si>
  <si>
    <t>dr. Benjamin Price</t>
  </si>
  <si>
    <t xml:space="preserve">  sheena bonilla  </t>
  </si>
  <si>
    <t>jeremy harris</t>
  </si>
  <si>
    <t xml:space="preserve">   paul fox</t>
  </si>
  <si>
    <t>Brother Laser Printer</t>
  </si>
  <si>
    <t>Computer</t>
  </si>
  <si>
    <t>Men's Graphic T-Shirt</t>
  </si>
  <si>
    <t>Tops</t>
  </si>
  <si>
    <t>Women's Casual Hoodie</t>
  </si>
  <si>
    <t>Outerwear</t>
  </si>
  <si>
    <t>Men's Running Jacket</t>
  </si>
  <si>
    <t>Women's Yoga Pants</t>
  </si>
  <si>
    <t>Bottoms</t>
  </si>
  <si>
    <t>Men's Leather Belt</t>
  </si>
  <si>
    <t>Accessories</t>
  </si>
  <si>
    <t>Herbal Face Moisturizer</t>
  </si>
  <si>
    <t>Skincare</t>
  </si>
  <si>
    <t>LED Table Lamp</t>
  </si>
  <si>
    <t>Lighting</t>
  </si>
  <si>
    <t>Wireless Bluetooth Earbuds</t>
  </si>
  <si>
    <t>Audio</t>
  </si>
  <si>
    <t>Adjustable Dumbbell Set</t>
  </si>
  <si>
    <t>Fitness</t>
  </si>
  <si>
    <t>Ceramic Kitchen Bowl Set</t>
  </si>
  <si>
    <t>Kitchen</t>
  </si>
  <si>
    <t>HD Smart TV Stick</t>
  </si>
  <si>
    <t>Hair Strengthening Shampoo</t>
  </si>
  <si>
    <t>Haircare</t>
  </si>
  <si>
    <t>USB-C Fast Charger</t>
  </si>
  <si>
    <t>Decorative Wall Mirror</t>
  </si>
  <si>
    <t>Decor</t>
  </si>
  <si>
    <t>4K Home Projector</t>
  </si>
  <si>
    <t>Appliances</t>
  </si>
  <si>
    <t>Beard Grooming Kit</t>
  </si>
  <si>
    <t>Grooming</t>
  </si>
  <si>
    <t>Soccer Training Cone Set</t>
  </si>
  <si>
    <t>Women's Denim Jeans</t>
  </si>
  <si>
    <t>Knee Support Brace</t>
  </si>
  <si>
    <t>Equipment</t>
  </si>
  <si>
    <t>Outdoor Sports Water Bottle</t>
  </si>
  <si>
    <t>Multi-Purpose Storage Box</t>
  </si>
  <si>
    <t>Storage</t>
  </si>
  <si>
    <t>Carbon Fiber Tennis Racket</t>
  </si>
  <si>
    <t>Men's Formal Shirt</t>
  </si>
  <si>
    <t>Foldable Camping Chair</t>
  </si>
  <si>
    <t>Outdoor</t>
  </si>
  <si>
    <t>Women's Scarf Set</t>
  </si>
  <si>
    <t>Wireless Bluetooth Speaker</t>
  </si>
  <si>
    <t>Decorative Floor Vase</t>
  </si>
  <si>
    <t>Sports Stopwatch Timer</t>
  </si>
  <si>
    <t>Fabric Sofa Throw Blanket</t>
  </si>
  <si>
    <t>Stainless Steel Cutlery Set</t>
  </si>
  <si>
    <t>Basketball</t>
  </si>
  <si>
    <t>Team Sports</t>
  </si>
  <si>
    <t>Vitamin C Face Serum</t>
  </si>
  <si>
    <t>Modern Wall Clock</t>
  </si>
  <si>
    <t>Gaming Mechanical Keyboard</t>
  </si>
  <si>
    <t>Bedroom Table Lamp</t>
  </si>
  <si>
    <t>Women's Summer Dress</t>
  </si>
  <si>
    <t>Men's Casual Sneakers</t>
  </si>
  <si>
    <t>Footwear</t>
  </si>
  <si>
    <t>Sports Water Hydration Pack</t>
  </si>
  <si>
    <t>Portable Power Bank</t>
  </si>
  <si>
    <t>Mobile</t>
  </si>
  <si>
    <t>Noise-Canceling Headphones</t>
  </si>
  <si>
    <t>Yoga Exercise Mat</t>
  </si>
  <si>
    <t>Smart Home WiFi Camera</t>
  </si>
  <si>
    <t>USB External Hard Drive</t>
  </si>
  <si>
    <t>Adjustable Jump Rope</t>
  </si>
  <si>
    <t>High-Grip Football</t>
  </si>
  <si>
    <t>Men's Winter Jacket</t>
  </si>
  <si>
    <t>Makeup Brush Set</t>
  </si>
  <si>
    <t>Makeup</t>
  </si>
  <si>
    <t>Car Dashboard Phone Holder</t>
  </si>
  <si>
    <t>Men's Roll-On Perfume</t>
  </si>
  <si>
    <t>Fragrance</t>
  </si>
  <si>
    <t>Boxing Hand Wraps</t>
  </si>
  <si>
    <t>HDMI Cable – 2m</t>
  </si>
  <si>
    <t>Rugby Ball</t>
  </si>
  <si>
    <t>Men's Track Pants</t>
  </si>
  <si>
    <t>Sports Stopwatch Pro</t>
  </si>
  <si>
    <t>Ceramic Plant Pot</t>
  </si>
  <si>
    <t>Premium Blanket Throw</t>
  </si>
  <si>
    <t>Foam Roller</t>
  </si>
  <si>
    <t>Womens Cotton Scarf</t>
  </si>
  <si>
    <t>Men's Hair Styling Gel</t>
  </si>
  <si>
    <t>Luxury Perfume Spray</t>
  </si>
  <si>
    <t>Tennis Ball 3-Pack</t>
  </si>
  <si>
    <t>Laptop Cooling Pad</t>
  </si>
  <si>
    <t>Organic Sunscreen Lotion</t>
  </si>
  <si>
    <t>Matte Lipstick Set</t>
  </si>
  <si>
    <t>Adjustable Dumbbells 20kg</t>
  </si>
  <si>
    <t>Women's Hair Dryer Brush</t>
  </si>
  <si>
    <t>Smart LED Light Strip</t>
  </si>
  <si>
    <t>Wooden Nightstand</t>
  </si>
  <si>
    <t>Furniture</t>
  </si>
  <si>
    <t>Men's Sports Shorts</t>
  </si>
  <si>
    <t>Kitchen Storage Rack</t>
  </si>
  <si>
    <t>Hair Repair Oil Treatment</t>
  </si>
  <si>
    <t>Professional Jump Rope</t>
  </si>
  <si>
    <t>Shin Guards – Adult</t>
  </si>
  <si>
    <t>Bluetooth Car Audio System</t>
  </si>
  <si>
    <t>Women's Ankle Boots</t>
  </si>
  <si>
    <t>Wireless Mouse</t>
  </si>
  <si>
    <t>WiFi Mesh Router</t>
  </si>
  <si>
    <t>Essential Oil Diffuser</t>
  </si>
  <si>
    <t>Decorative Lamp Shade</t>
  </si>
  <si>
    <t>Wall-Mounted Spice Rack</t>
  </si>
  <si>
    <t>Badminton Racket Set</t>
  </si>
  <si>
    <t>Fitness Resistance Bands</t>
  </si>
  <si>
    <t>Hydrating Face Cleanser</t>
  </si>
  <si>
    <t>Wooden Bookshelf</t>
  </si>
  <si>
    <t>Women's Beanie Hat</t>
  </si>
  <si>
    <t>Kitchen Cutting Board</t>
  </si>
  <si>
    <t>LED Bedside Lamp</t>
  </si>
  <si>
    <t>Sports Wrist Sweatbands</t>
  </si>
  <si>
    <t>Face Foundation Kit</t>
  </si>
  <si>
    <t>Gaming Mouse Pad XL</t>
  </si>
  <si>
    <t>Women's High Heels</t>
  </si>
  <si>
    <t>Microwave Oven</t>
  </si>
  <si>
    <t>USB-C Laptop Charger</t>
  </si>
  <si>
    <t>Vitamin E Body Lotion</t>
  </si>
  <si>
    <t>Sports Stopwatch Basic</t>
  </si>
  <si>
    <t>Women's Formal Blazer</t>
  </si>
  <si>
    <t>Cricket Bat</t>
  </si>
  <si>
    <t>Portable Bluetooth Speaker</t>
  </si>
  <si>
    <t>Stainless Steel Cookware Set</t>
  </si>
  <si>
    <t>Name Final</t>
  </si>
  <si>
    <t>Matthew Hunter Jr</t>
  </si>
  <si>
    <t>Name 1</t>
  </si>
  <si>
    <t>James Holloway Jr</t>
  </si>
  <si>
    <t xml:space="preserve">Loyal Catogory </t>
  </si>
  <si>
    <t>Final Cost</t>
  </si>
  <si>
    <t>Final Stock</t>
  </si>
  <si>
    <t>Final Quantity</t>
  </si>
  <si>
    <t>Final Unit_Price</t>
  </si>
  <si>
    <t>Product Names</t>
  </si>
  <si>
    <t>Final Revenue</t>
  </si>
  <si>
    <t>Profit estimate</t>
  </si>
  <si>
    <t>Product cost</t>
  </si>
  <si>
    <t>Picknik</t>
  </si>
  <si>
    <t>Month</t>
  </si>
  <si>
    <t>Mean</t>
  </si>
  <si>
    <t>Standard Error</t>
  </si>
  <si>
    <t>Median</t>
  </si>
  <si>
    <t>Mode</t>
  </si>
  <si>
    <t>Standard Deviation</t>
  </si>
  <si>
    <t>Sample Variance</t>
  </si>
  <si>
    <t>Kurtosis</t>
  </si>
  <si>
    <t>Skewness</t>
  </si>
  <si>
    <t>Range</t>
  </si>
  <si>
    <t>Minimum</t>
  </si>
  <si>
    <t>Maximum</t>
  </si>
  <si>
    <t>Sum</t>
  </si>
  <si>
    <t>Count</t>
  </si>
  <si>
    <t>Final revenue</t>
  </si>
  <si>
    <t>Row Labels</t>
  </si>
  <si>
    <t>Grand Total</t>
  </si>
  <si>
    <t>Column Labels</t>
  </si>
  <si>
    <t>Sum of Final Revenue</t>
  </si>
  <si>
    <t>Regjon Wise Category Final Revenue</t>
  </si>
  <si>
    <t>(All)</t>
  </si>
  <si>
    <t>Count of Final Quantity</t>
  </si>
  <si>
    <t>Month Wise Product Category Report</t>
  </si>
  <si>
    <t>Month Wise Mode of Payment report</t>
  </si>
  <si>
    <t>State Wise Gender Final Revenue</t>
  </si>
  <si>
    <t>Average of Final Revenue</t>
  </si>
  <si>
    <t>Region wise Gender Average Report</t>
  </si>
  <si>
    <t>Customer Data Base</t>
  </si>
  <si>
    <t>January</t>
  </si>
  <si>
    <t>February</t>
  </si>
  <si>
    <t>March</t>
  </si>
  <si>
    <t>April</t>
  </si>
  <si>
    <t>May</t>
  </si>
  <si>
    <t>June</t>
  </si>
  <si>
    <t>July</t>
  </si>
  <si>
    <t>August</t>
  </si>
  <si>
    <t>September</t>
  </si>
  <si>
    <t>October</t>
  </si>
  <si>
    <t>November</t>
  </si>
  <si>
    <t>December</t>
  </si>
  <si>
    <t>Data Visualization</t>
  </si>
  <si>
    <t>Chart Type</t>
  </si>
  <si>
    <t>Column Chart</t>
  </si>
  <si>
    <t>Pie Chart</t>
  </si>
  <si>
    <t>Line Chart</t>
  </si>
  <si>
    <t>Area Chart</t>
  </si>
  <si>
    <t>Top Performing States (By Grand Total)</t>
  </si>
  <si>
    <t>Category Performance (Overall)</t>
  </si>
  <si>
    <r>
      <t xml:space="preserve">Sports: 129 </t>
    </r>
    <r>
      <rPr>
        <i/>
        <sz val="11"/>
        <color theme="1"/>
        <rFont val="Calibri"/>
        <family val="2"/>
        <scheme val="minor"/>
      </rPr>
      <t>(Top performer)</t>
    </r>
    <r>
      <rPr>
        <sz val="11"/>
        <color theme="1"/>
        <rFont val="Calibri"/>
        <family val="2"/>
        <scheme val="minor"/>
      </rPr>
      <t xml:space="preserve"> , Electronics:115 , Home: 94 , Beauty: 86, Clothing: 68 (Lowest volume)</t>
    </r>
  </si>
  <si>
    <t>Vermont: 16
Connecticut: 15
Kansas: 15
New Jersey: 15
Ohio: 15</t>
  </si>
  <si>
    <t>Output summary</t>
  </si>
  <si>
    <t>Key insights</t>
  </si>
  <si>
    <t>Revenue by Category (Overall)</t>
  </si>
  <si>
    <t>Revenue by Region (Overall)</t>
  </si>
  <si>
    <t>Sports: 149,718 (Top performer)
    Electronics: 140,431
 Beauty: 96,834
Home: 96,495
Clothing: 84,063 (Lowest volume)</t>
  </si>
  <si>
    <t>North: 327,336 (Dominant region, making up over 57% of all revenue)
South: 138,871
East: 56,255
West: 45,079</t>
  </si>
  <si>
    <t>Peak Performance Months</t>
  </si>
  <si>
    <t>Category Standouts</t>
  </si>
  <si>
    <t>Seasonal Consistency</t>
  </si>
  <si>
    <t>September (48 units) and July (47 units) are your highest-volume months overall ,   March (28 units) shows a significant dip in activity compared to the rest of the year</t>
  </si>
  <si>
    <r>
      <t>Electronics</t>
    </r>
    <r>
      <rPr>
        <sz val="11"/>
        <color theme="1"/>
        <rFont val="Calibri"/>
        <family val="2"/>
        <scheme val="minor"/>
      </rPr>
      <t xml:space="preserve"> had its strongest month in January (16 units) , Sports peaked in July (17 units) and August (15 units), showing a strong summer trend , Beauty saw its highest volume in July (13 units).</t>
    </r>
  </si>
  <si>
    <t>The last quarter (Oct–Dec) remains very stable, averaging about 43 units per month, showing consistent year-end demand.</t>
  </si>
  <si>
    <t>Gender Spending Trends</t>
  </si>
  <si>
    <t>Regional Standouts</t>
  </si>
  <si>
    <t>Higher Average Spenders: Overall, Females have a higher average revenue ($1,232.51) compared to Males ($1,065.76).            Biggest Gap: The South region shows the most significant disparity, with the Female average being over $500 higher than the Male average.</t>
  </si>
  <si>
    <t>Top Payment Methods</t>
  </si>
  <si>
    <t>Seasonal Trends</t>
  </si>
  <si>
    <t>Payment Consistency</t>
  </si>
  <si>
    <r>
      <rPr>
        <b/>
        <sz val="11"/>
        <color theme="1"/>
        <rFont val="Calibri"/>
        <family val="2"/>
        <scheme val="minor"/>
      </rPr>
      <t>Highest Average:</t>
    </r>
    <r>
      <rPr>
        <sz val="11"/>
        <color theme="1"/>
        <rFont val="Calibri"/>
        <family val="2"/>
        <scheme val="minor"/>
      </rPr>
      <t xml:space="preserve"> South (Female) leads the entire dataset with an average of $1,469.84. </t>
    </r>
    <r>
      <rPr>
        <b/>
        <sz val="11"/>
        <color theme="1"/>
        <rFont val="Calibri"/>
        <family val="2"/>
        <scheme val="minor"/>
      </rPr>
      <t>Lowest Average:</t>
    </r>
    <r>
      <rPr>
        <sz val="11"/>
        <color theme="1"/>
        <rFont val="Calibri"/>
        <family val="2"/>
        <scheme val="minor"/>
      </rPr>
      <t xml:space="preserve"> South (Male) is the lowest at $960.31, showing that the South has both the highest and lowest individual gender averages.                                                         </t>
    </r>
    <r>
      <rPr>
        <b/>
        <sz val="11"/>
        <color theme="1"/>
        <rFont val="Calibri"/>
        <family val="2"/>
        <scheme val="minor"/>
      </rPr>
      <t xml:space="preserve">Most Balanced: </t>
    </r>
    <r>
      <rPr>
        <sz val="11"/>
        <color theme="1"/>
        <rFont val="Calibri"/>
        <family val="2"/>
        <scheme val="minor"/>
      </rPr>
      <t>The East and North regions are the most consistent, with relatively small gaps between Female and Male spending averages.</t>
    </r>
  </si>
  <si>
    <r>
      <t>PayPal ($199,576)</t>
    </r>
    <r>
      <rPr>
        <sz val="11"/>
        <color theme="1"/>
        <rFont val="Calibri"/>
        <family val="2"/>
        <scheme val="minor"/>
      </rPr>
      <t xml:space="preserve"> and </t>
    </r>
    <r>
      <rPr>
        <b/>
        <sz val="11"/>
        <color theme="1"/>
        <rFont val="Calibri"/>
        <family val="2"/>
        <scheme val="minor"/>
      </rPr>
      <t>Credit Card ($198,108)</t>
    </r>
    <r>
      <rPr>
        <sz val="11"/>
        <color theme="1"/>
        <rFont val="Calibri"/>
        <family val="2"/>
        <scheme val="minor"/>
      </rPr>
      <t xml:space="preserve"> are neck-and-neck for the top spot.</t>
    </r>
    <r>
      <rPr>
        <b/>
        <sz val="11"/>
        <color theme="1"/>
        <rFont val="Calibri"/>
        <family val="2"/>
        <scheme val="minor"/>
      </rPr>
      <t>COD ($169,857)</t>
    </r>
    <r>
      <rPr>
        <sz val="11"/>
        <color theme="1"/>
        <rFont val="Calibri"/>
        <family val="2"/>
        <scheme val="minor"/>
      </rPr>
      <t xml:space="preserve"> is the least used method overall, though it still represents a significant portion of the business.</t>
    </r>
  </si>
  <si>
    <r>
      <t>Peak Month:</t>
    </r>
    <r>
      <rPr>
        <sz val="11"/>
        <color theme="1"/>
        <rFont val="Calibri"/>
        <family val="2"/>
        <scheme val="minor"/>
      </rPr>
      <t xml:space="preserve"> </t>
    </r>
    <r>
      <rPr>
        <b/>
        <sz val="11"/>
        <color rgb="FFFF0000"/>
        <rFont val="Calibri"/>
        <family val="2"/>
        <scheme val="minor"/>
      </rPr>
      <t>September ($57,511)</t>
    </r>
    <r>
      <rPr>
        <sz val="11"/>
        <color theme="1"/>
        <rFont val="Calibri"/>
        <family val="2"/>
        <scheme val="minor"/>
      </rPr>
      <t xml:space="preserve"> is the highest revenue month of the year.</t>
    </r>
  </si>
  <si>
    <r>
      <t>COD Surge:</t>
    </r>
    <r>
      <rPr>
        <sz val="11"/>
        <color theme="1"/>
        <rFont val="Calibri"/>
        <family val="2"/>
        <scheme val="minor"/>
      </rPr>
      <t xml:space="preserve"> Interestingly, COD (Cash on Delivery) peaks in </t>
    </r>
    <r>
      <rPr>
        <b/>
        <sz val="11"/>
        <color rgb="FFFF0000"/>
        <rFont val="Calibri"/>
        <family val="2"/>
        <scheme val="minor"/>
      </rPr>
      <t>August ($21,986)</t>
    </r>
    <r>
      <rPr>
        <sz val="11"/>
        <color rgb="FFFF0000"/>
        <rFont val="Calibri"/>
        <family val="2"/>
        <scheme val="minor"/>
      </rPr>
      <t xml:space="preserve"> and </t>
    </r>
    <r>
      <rPr>
        <b/>
        <sz val="11"/>
        <color rgb="FFFF0000"/>
        <rFont val="Calibri"/>
        <family val="2"/>
        <scheme val="minor"/>
      </rPr>
      <t>September ($20,922)</t>
    </r>
    <r>
      <rPr>
        <sz val="11"/>
        <color theme="1"/>
        <rFont val="Calibri"/>
        <family val="2"/>
        <scheme val="minor"/>
      </rPr>
      <t>, suggesting a shift in buyer behavior during late summer.</t>
    </r>
  </si>
  <si>
    <r>
      <t>Low Point:</t>
    </r>
    <r>
      <rPr>
        <sz val="11"/>
        <color theme="1"/>
        <rFont val="Calibri"/>
        <family val="2"/>
        <scheme val="minor"/>
      </rPr>
      <t xml:space="preserve"> </t>
    </r>
    <r>
      <rPr>
        <b/>
        <sz val="11"/>
        <color rgb="FFFF0000"/>
        <rFont val="Calibri"/>
        <family val="2"/>
        <scheme val="minor"/>
      </rPr>
      <t>June ($36,049)</t>
    </r>
    <r>
      <rPr>
        <sz val="11"/>
        <color rgb="FFFF0000"/>
        <rFont val="Calibri"/>
        <family val="2"/>
        <scheme val="minor"/>
      </rPr>
      <t xml:space="preserve"> and </t>
    </r>
    <r>
      <rPr>
        <b/>
        <sz val="11"/>
        <color rgb="FFFF0000"/>
        <rFont val="Calibri"/>
        <family val="2"/>
        <scheme val="minor"/>
      </rPr>
      <t>February ($37,922)</t>
    </r>
    <r>
      <rPr>
        <sz val="11"/>
        <color theme="1"/>
        <rFont val="Calibri"/>
        <family val="2"/>
        <scheme val="minor"/>
      </rPr>
      <t xml:space="preserve"> are the slowest periods for revenue.</t>
    </r>
  </si>
  <si>
    <r>
      <t>Credit Card</t>
    </r>
    <r>
      <rPr>
        <sz val="11"/>
        <color theme="1"/>
        <rFont val="Calibri"/>
        <family val="2"/>
        <scheme val="minor"/>
      </rPr>
      <t xml:space="preserve"> usage is remarkably stable throughout the year, usually hovering between $13k and $22k.</t>
    </r>
  </si>
  <si>
    <r>
      <t>PayPal</t>
    </r>
    <r>
      <rPr>
        <sz val="11"/>
        <color theme="1"/>
        <rFont val="Calibri"/>
        <family val="2"/>
        <scheme val="minor"/>
      </rPr>
      <t xml:space="preserve"> saw a significant dip in </t>
    </r>
    <r>
      <rPr>
        <b/>
        <sz val="11"/>
        <color theme="1"/>
        <rFont val="Calibri"/>
        <family val="2"/>
        <scheme val="minor"/>
      </rPr>
      <t>June ($6,825)</t>
    </r>
    <r>
      <rPr>
        <sz val="11"/>
        <color theme="1"/>
        <rFont val="Calibri"/>
        <family val="2"/>
        <scheme val="minor"/>
      </rPr>
      <t xml:space="preserve"> but recovered strongly by the end of the year.</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</si>
</sst>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alibri"/>
      <family val="2"/>
      <scheme val="minor"/>
    </font>
    <font>
      <sz val="8"/>
      <name val="Calibri"/>
      <family val="2"/>
      <scheme val="minor"/>
    </font>
    <font>
      <i/>
      <sz val="11"/>
      <color theme="1"/>
      <name val="Calibri"/>
      <family val="2"/>
      <scheme val="minor"/>
    </font>
    <font>
      <sz val="11"/>
      <color rgb="FF000000"/>
      <name val="Arial"/>
      <family val="2"/>
    </font>
    <font>
      <sz val="14"/>
      <color rgb="FFFF0000"/>
      <name val="Calibri"/>
      <family val="2"/>
      <scheme val="minor"/>
    </font>
    <font>
      <sz val="11"/>
      <color rgb="FFFF0000"/>
      <name val="Calibri"/>
      <family val="2"/>
      <scheme val="minor"/>
    </font>
    <font>
      <b/>
      <sz val="11"/>
      <color theme="1"/>
      <name val="Calibri"/>
      <family val="2"/>
      <scheme val="minor"/>
    </font>
    <font>
      <b/>
      <sz val="22"/>
      <color rgb="FFFF0000"/>
      <name val="Calibri"/>
      <family val="2"/>
      <scheme val="minor"/>
    </font>
    <font>
      <sz val="36"/>
      <color rgb="FFFFC000"/>
      <name val="Calibri"/>
      <family val="2"/>
      <scheme val="minor"/>
    </font>
    <font>
      <b/>
      <sz val="11"/>
      <color rgb="FFFF0000"/>
      <name val="Calibri"/>
      <family val="2"/>
      <scheme val="minor"/>
    </font>
  </fonts>
  <fills count="6">
    <fill>
      <patternFill patternType="none"/>
    </fill>
    <fill>
      <patternFill patternType="gray125"/>
    </fill>
    <fill>
      <patternFill patternType="solid">
        <fgColor rgb="FFFFFF00"/>
        <bgColor indexed="64"/>
      </patternFill>
    </fill>
    <fill>
      <patternFill patternType="solid">
        <fgColor rgb="FF002060"/>
        <bgColor indexed="64"/>
      </patternFill>
    </fill>
    <fill>
      <patternFill patternType="solid">
        <fgColor theme="5" tint="0.59999389629810485"/>
        <bgColor indexed="64"/>
      </patternFill>
    </fill>
    <fill>
      <patternFill patternType="solid">
        <fgColor rgb="FF00B050"/>
        <bgColor indexed="64"/>
      </patternFill>
    </fill>
  </fills>
  <borders count="12">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bottom style="thin">
        <color indexed="64"/>
      </bottom>
      <diagonal/>
    </border>
    <border>
      <left/>
      <right/>
      <top style="medium">
        <color rgb="FFCCCCCC"/>
      </top>
      <bottom/>
      <diagonal/>
    </border>
  </borders>
  <cellStyleXfs count="1">
    <xf numFmtId="0" fontId="0" fillId="0" borderId="0"/>
  </cellStyleXfs>
  <cellXfs count="45">
    <xf numFmtId="0" fontId="0" fillId="0" borderId="0" xfId="0"/>
    <xf numFmtId="0" fontId="0" fillId="0" borderId="1" xfId="0" applyBorder="1"/>
    <xf numFmtId="0" fontId="0" fillId="0" borderId="8" xfId="0" applyBorder="1"/>
    <xf numFmtId="0" fontId="0" fillId="0" borderId="4" xfId="0" applyBorder="1"/>
    <xf numFmtId="0" fontId="0" fillId="0" borderId="3" xfId="0" applyBorder="1"/>
    <xf numFmtId="0" fontId="0" fillId="0" borderId="2" xfId="0" applyBorder="1"/>
    <xf numFmtId="0" fontId="0" fillId="0" borderId="5" xfId="0" applyBorder="1"/>
    <xf numFmtId="0" fontId="0" fillId="0" borderId="6" xfId="0" applyBorder="1"/>
    <xf numFmtId="0" fontId="0" fillId="0" borderId="7" xfId="0" applyBorder="1"/>
    <xf numFmtId="0" fontId="0" fillId="0" borderId="9" xfId="0" applyBorder="1"/>
    <xf numFmtId="1" fontId="0" fillId="0" borderId="6" xfId="0" applyNumberFormat="1" applyBorder="1"/>
    <xf numFmtId="1" fontId="0" fillId="0" borderId="9" xfId="0" applyNumberFormat="1" applyBorder="1"/>
    <xf numFmtId="2" fontId="0" fillId="0" borderId="1" xfId="0" applyNumberFormat="1" applyBorder="1"/>
    <xf numFmtId="0" fontId="0" fillId="0" borderId="0" xfId="0" applyAlignment="1">
      <alignment horizontal="center" vertical="center"/>
    </xf>
    <xf numFmtId="0" fontId="0" fillId="0" borderId="0" xfId="0" applyAlignment="1">
      <alignment horizontal="center" vertical="center" wrapText="1"/>
    </xf>
    <xf numFmtId="0" fontId="0" fillId="0" borderId="3" xfId="0" applyBorder="1" applyAlignment="1">
      <alignment horizontal="center" vertical="center"/>
    </xf>
    <xf numFmtId="0" fontId="0" fillId="0" borderId="2" xfId="0" applyBorder="1" applyAlignment="1">
      <alignment horizontal="center" vertical="center"/>
    </xf>
    <xf numFmtId="0" fontId="0" fillId="0" borderId="4" xfId="0" applyBorder="1" applyAlignment="1">
      <alignment horizontal="center" vertical="center" wrapText="1"/>
    </xf>
    <xf numFmtId="0" fontId="0" fillId="0" borderId="4" xfId="0" applyBorder="1" applyAlignment="1">
      <alignment horizontal="center" vertical="center"/>
    </xf>
    <xf numFmtId="0" fontId="0" fillId="0" borderId="2" xfId="0" applyBorder="1" applyAlignment="1">
      <alignment horizontal="center" vertical="center" wrapText="1"/>
    </xf>
    <xf numFmtId="14" fontId="0" fillId="0" borderId="1" xfId="0" applyNumberFormat="1" applyBorder="1"/>
    <xf numFmtId="0" fontId="0" fillId="0" borderId="3" xfId="0" applyBorder="1" applyAlignment="1">
      <alignment horizontal="center" vertical="center" wrapText="1"/>
    </xf>
    <xf numFmtId="0" fontId="3" fillId="0" borderId="0" xfId="0" applyFont="1"/>
    <xf numFmtId="0" fontId="0" fillId="0" borderId="0" xfId="0" pivotButton="1"/>
    <xf numFmtId="0" fontId="0" fillId="0" borderId="0" xfId="0" applyAlignment="1">
      <alignment horizontal="left"/>
    </xf>
    <xf numFmtId="1" fontId="0" fillId="0" borderId="0" xfId="0" applyNumberFormat="1"/>
    <xf numFmtId="2" fontId="0" fillId="0" borderId="0" xfId="0" applyNumberFormat="1"/>
    <xf numFmtId="0" fontId="6" fillId="4" borderId="1" xfId="0" applyFont="1" applyFill="1" applyBorder="1" applyAlignment="1">
      <alignment horizontal="center" vertical="center" wrapText="1"/>
    </xf>
    <xf numFmtId="0" fontId="0" fillId="4" borderId="1" xfId="0" applyFill="1" applyBorder="1" applyAlignment="1">
      <alignment horizontal="left" vertical="center"/>
    </xf>
    <xf numFmtId="0" fontId="0" fillId="4" borderId="1" xfId="0" applyFill="1" applyBorder="1" applyAlignment="1">
      <alignment horizontal="center" vertical="center" wrapText="1"/>
    </xf>
    <xf numFmtId="0" fontId="0" fillId="4" borderId="1" xfId="0" applyFill="1" applyBorder="1"/>
    <xf numFmtId="0" fontId="6" fillId="4" borderId="1" xfId="0" applyFont="1" applyFill="1" applyBorder="1" applyAlignment="1">
      <alignment wrapText="1"/>
    </xf>
    <xf numFmtId="0" fontId="6" fillId="5" borderId="1" xfId="0" applyFont="1" applyFill="1" applyBorder="1" applyAlignment="1">
      <alignment horizontal="center" wrapText="1"/>
    </xf>
    <xf numFmtId="0" fontId="6" fillId="5" borderId="1" xfId="0" applyFont="1" applyFill="1" applyBorder="1" applyAlignment="1">
      <alignment horizontal="center" vertical="center" wrapText="1"/>
    </xf>
    <xf numFmtId="0" fontId="2" fillId="0" borderId="1" xfId="0" applyFont="1" applyBorder="1" applyAlignment="1">
      <alignment horizontal="center" wrapText="1"/>
    </xf>
    <xf numFmtId="0" fontId="4" fillId="2" borderId="0" xfId="0" applyFont="1" applyFill="1" applyAlignment="1">
      <alignment horizontal="center"/>
    </xf>
    <xf numFmtId="0" fontId="0" fillId="4" borderId="1" xfId="0" applyFill="1" applyBorder="1" applyAlignment="1">
      <alignment horizontal="left" vertical="center"/>
    </xf>
    <xf numFmtId="0" fontId="6" fillId="4" borderId="1" xfId="0" applyFont="1" applyFill="1" applyBorder="1" applyAlignment="1">
      <alignment horizontal="center" vertical="center" wrapText="1"/>
    </xf>
    <xf numFmtId="0" fontId="0" fillId="4" borderId="1" xfId="0" applyFill="1" applyBorder="1" applyAlignment="1">
      <alignment horizontal="left" vertical="center" wrapText="1"/>
    </xf>
    <xf numFmtId="0" fontId="8" fillId="3" borderId="11" xfId="0" applyFont="1" applyFill="1" applyBorder="1" applyAlignment="1">
      <alignment horizontal="center" vertical="center" wrapText="1"/>
    </xf>
    <xf numFmtId="0" fontId="8" fillId="3" borderId="0" xfId="0" applyFont="1" applyFill="1" applyAlignment="1">
      <alignment horizontal="center" vertical="center" wrapText="1"/>
    </xf>
    <xf numFmtId="0" fontId="8" fillId="3" borderId="10" xfId="0" applyFont="1" applyFill="1" applyBorder="1" applyAlignment="1">
      <alignment horizontal="center" vertical="center" wrapText="1"/>
    </xf>
    <xf numFmtId="0" fontId="7" fillId="3" borderId="0" xfId="0" applyFont="1" applyFill="1" applyAlignment="1">
      <alignment horizontal="center" vertical="center"/>
    </xf>
    <xf numFmtId="0" fontId="0" fillId="3" borderId="0" xfId="0" applyFill="1"/>
    <xf numFmtId="0" fontId="0" fillId="0" borderId="0" xfId="0" applyNumberFormat="1"/>
  </cellXfs>
  <cellStyles count="1">
    <cellStyle name="Normal" xfId="0" builtinId="0"/>
  </cellStyles>
  <dxfs count="69">
    <dxf>
      <numFmt numFmtId="2" formatCode="0.00"/>
    </dxf>
    <dxf>
      <numFmt numFmtId="2" formatCode="0.00"/>
    </dxf>
    <dxf>
      <numFmt numFmtId="1" formatCode="0"/>
    </dxf>
    <dxf>
      <numFmt numFmtId="2" formatCode="0.00"/>
    </dxf>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border diagonalUp="0" diagonalDown="0">
        <left style="thin">
          <color auto="1"/>
        </left>
        <right style="thin">
          <color auto="1"/>
        </right>
        <top style="thin">
          <color auto="1"/>
        </top>
        <bottom style="thin">
          <color auto="1"/>
        </bottom>
        <vertical/>
        <horizontal/>
      </border>
    </dxf>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border diagonalUp="0" diagonalDown="0">
        <left style="thin">
          <color auto="1"/>
        </left>
        <right style="thin">
          <color auto="1"/>
        </right>
        <top style="thin">
          <color auto="1"/>
        </top>
        <bottom style="thin">
          <color auto="1"/>
        </bottom>
        <vertical/>
        <horizontal/>
      </border>
    </dxf>
    <dxf>
      <numFmt numFmtId="0" formatCode="General"/>
      <border diagonalUp="0" diagonalDown="0">
        <left style="thin">
          <color auto="1"/>
        </left>
        <right style="thin">
          <color auto="1"/>
        </right>
        <top style="thin">
          <color auto="1"/>
        </top>
        <bottom style="thin">
          <color auto="1"/>
        </bottom>
        <vertical/>
        <horizontal/>
      </border>
    </dxf>
    <dxf>
      <numFmt numFmtId="0" formatCode="General"/>
      <border diagonalUp="0" diagonalDown="0">
        <left style="thin">
          <color auto="1"/>
        </left>
        <right style="thin">
          <color auto="1"/>
        </right>
        <top style="thin">
          <color auto="1"/>
        </top>
        <bottom style="thin">
          <color auto="1"/>
        </bottom>
        <vertical/>
        <horizontal/>
      </border>
    </dxf>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border diagonalUp="0" diagonalDown="0">
        <left style="thin">
          <color auto="1"/>
        </left>
        <right style="thin">
          <color auto="1"/>
        </right>
        <top style="thin">
          <color auto="1"/>
        </top>
        <bottom style="thin">
          <color auto="1"/>
        </bottom>
        <vertical/>
        <horizontal/>
      </border>
    </dxf>
    <dxf>
      <numFmt numFmtId="0" formatCode="General"/>
      <border diagonalUp="0" diagonalDown="0">
        <left style="thin">
          <color auto="1"/>
        </left>
        <right style="thin">
          <color auto="1"/>
        </right>
        <top style="thin">
          <color auto="1"/>
        </top>
        <bottom style="thin">
          <color auto="1"/>
        </bottom>
        <vertical/>
        <horizontal/>
      </border>
    </dxf>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border diagonalUp="0" diagonalDown="0">
        <left style="thin">
          <color auto="1"/>
        </left>
        <right style="thin">
          <color auto="1"/>
        </right>
        <top style="thin">
          <color auto="1"/>
        </top>
        <bottom style="thin">
          <color auto="1"/>
        </bottom>
        <vertical/>
        <horizontal/>
      </border>
    </dxf>
    <dxf>
      <numFmt numFmtId="19" formatCode="dd/mm/yyyy"/>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diagonalUp="0" diagonalDown="0">
        <left style="thin">
          <color indexed="64"/>
        </left>
        <right style="thin">
          <color indexed="64"/>
        </right>
        <top style="thin">
          <color indexed="64"/>
        </top>
        <bottom style="thin">
          <color indexed="64"/>
        </bottom>
      </border>
    </dxf>
    <dxf>
      <border>
        <bottom style="thin">
          <color indexed="64"/>
        </bottom>
      </border>
    </dxf>
    <dxf>
      <alignment horizontal="center" vertical="center" textRotation="0" wrapText="1" indent="0" justifyLastLine="0" shrinkToFit="0" readingOrder="0"/>
      <border diagonalUp="0" diagonalDown="0" outline="0">
        <left style="thin">
          <color indexed="64"/>
        </left>
        <right style="thin">
          <color indexed="64"/>
        </right>
        <top/>
        <bottom/>
      </border>
    </dxf>
    <dxf>
      <numFmt numFmtId="0" formatCode="General"/>
      <border diagonalUp="0" diagonalDown="0">
        <left style="thin">
          <color indexed="64"/>
        </left>
        <right/>
        <top style="thin">
          <color indexed="64"/>
        </top>
        <bottom style="thin">
          <color indexed="64"/>
        </bottom>
        <vertical style="thin">
          <color indexed="64"/>
        </vertical>
        <horizontal style="thin">
          <color indexed="64"/>
        </horizontal>
      </border>
    </dxf>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diagonalUp="0" diagonalDown="0">
        <left style="thin">
          <color indexed="64"/>
        </left>
        <right style="thin">
          <color indexed="64"/>
        </right>
        <top style="thin">
          <color indexed="64"/>
        </top>
        <bottom style="thin">
          <color indexed="64"/>
        </bottom>
      </border>
    </dxf>
    <dxf>
      <border>
        <bottom style="thin">
          <color indexed="64"/>
        </bottom>
      </border>
    </dxf>
    <dxf>
      <border diagonalUp="0" diagonalDown="0">
        <left style="thin">
          <color indexed="64"/>
        </left>
        <right style="thin">
          <color indexed="64"/>
        </right>
        <top/>
        <bottom/>
        <vertical style="thin">
          <color indexed="64"/>
        </vertical>
        <horizontal style="thin">
          <color indexed="64"/>
        </horizontal>
      </border>
    </dxf>
    <dxf>
      <numFmt numFmtId="0" formatCode="General"/>
    </dxf>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outline="0">
        <left/>
        <right style="thin">
          <color indexed="64"/>
        </right>
        <top style="thin">
          <color indexed="64"/>
        </top>
        <bottom style="thin">
          <color indexed="64"/>
        </bottom>
      </border>
    </dxf>
    <dxf>
      <numFmt numFmtId="0" formatCode="General"/>
    </dxf>
    <dxf>
      <numFmt numFmtId="1" formatCode="0"/>
      <border diagonalUp="0" diagonalDown="0" outline="0">
        <left style="thin">
          <color indexed="64"/>
        </left>
        <right/>
        <top style="thin">
          <color indexed="64"/>
        </top>
        <bottom style="thin">
          <color indexed="64"/>
        </bottom>
      </border>
    </dxf>
    <dxf>
      <border diagonalUp="0" diagonalDown="0" outline="0">
        <left style="thin">
          <color indexed="64"/>
        </left>
        <right style="thin">
          <color indexed="64"/>
        </right>
        <top style="thin">
          <color indexed="64"/>
        </top>
        <bottom style="thin">
          <color indexed="64"/>
        </bottom>
      </border>
    </dxf>
    <dxf>
      <numFmt numFmtId="0" formatCode="General"/>
    </dxf>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dxf>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dxf>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dxf>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dxf>
    <dxf>
      <numFmt numFmtId="0" formatCode="General"/>
      <border diagonalUp="0" diagonalDown="0">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border>
    </dxf>
    <dxf>
      <border>
        <bottom style="thin">
          <color indexed="64"/>
        </bottom>
      </border>
    </dxf>
    <dxf>
      <alignment horizontal="center" vertical="center" textRotation="0" indent="0" justifyLastLine="0" shrinkToFit="0" readingOrder="0"/>
      <border diagonalUp="0" diagonalDown="0" outline="0">
        <left style="thin">
          <color indexed="64"/>
        </left>
        <right style="thin">
          <color indexed="64"/>
        </right>
        <top/>
        <bottom/>
      </border>
    </dxf>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border diagonalUp="0" diagonalDown="0">
        <left style="thin">
          <color indexed="64"/>
        </left>
        <right/>
        <top style="thin">
          <color indexed="64"/>
        </top>
        <bottom style="thin">
          <color indexed="64"/>
        </bottom>
        <vertical style="thin">
          <color indexed="64"/>
        </vertical>
        <horizontal style="thin">
          <color indexed="64"/>
        </horizontal>
      </border>
    </dxf>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border diagonalUp="0" diagonalDown="0">
        <left style="thin">
          <color auto="1"/>
        </left>
        <right style="thin">
          <color auto="1"/>
        </right>
        <top style="thin">
          <color auto="1"/>
        </top>
        <bottom style="thin">
          <color auto="1"/>
        </bottom>
        <vertical/>
        <horizontal/>
      </border>
    </dxf>
    <dxf>
      <numFmt numFmtId="0" formatCode="General"/>
      <border diagonalUp="0" diagonalDown="0">
        <left style="thin">
          <color auto="1"/>
        </left>
        <right style="thin">
          <color auto="1"/>
        </right>
        <top style="thin">
          <color auto="1"/>
        </top>
        <bottom style="thin">
          <color auto="1"/>
        </bottom>
        <vertical/>
        <horizontal/>
      </border>
    </dxf>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diagonalUp="0" diagonalDown="0">
        <left style="thin">
          <color indexed="64"/>
        </left>
        <right style="thin">
          <color indexed="64"/>
        </right>
        <top style="thin">
          <color indexed="64"/>
        </top>
        <bottom style="thin">
          <color indexed="64"/>
        </bottom>
      </border>
    </dxf>
    <dxf>
      <border>
        <bottom style="thin">
          <color indexed="64"/>
        </bottom>
      </border>
    </dxf>
    <dxf>
      <border diagonalUp="0" diagonalDown="0">
        <left style="thin">
          <color indexed="64"/>
        </left>
        <right style="thin">
          <color indexed="64"/>
        </right>
        <top/>
        <bottom/>
        <vertical style="thin">
          <color indexed="64"/>
        </vertical>
        <horizontal style="thin">
          <color indexed="64"/>
        </horizontal>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3.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data.xlsx]Pivot !Region wise report</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Region</a:t>
            </a:r>
            <a:r>
              <a:rPr lang="en-US" baseline="0"/>
              <a:t> Final Revenue</a:t>
            </a:r>
          </a:p>
          <a:p>
            <a:pPr>
              <a:defRPr/>
            </a:pP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s>
    <c:plotArea>
      <c:layout/>
      <c:pieChart>
        <c:varyColors val="1"/>
        <c:ser>
          <c:idx val="0"/>
          <c:order val="0"/>
          <c:tx>
            <c:strRef>
              <c:f>'Pivot '!$B$59:$B$60</c:f>
              <c:strCache>
                <c:ptCount val="1"/>
                <c:pt idx="0">
                  <c:v>East</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C404-4399-B1E4-3B043AB6115C}"/>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C404-4399-B1E4-3B043AB6115C}"/>
              </c:ext>
            </c:extLst>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C404-4399-B1E4-3B043AB6115C}"/>
              </c:ext>
            </c:extLst>
          </c:dPt>
          <c:dPt>
            <c:idx val="3"/>
            <c:bubble3D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7-C404-4399-B1E4-3B043AB6115C}"/>
              </c:ext>
            </c:extLst>
          </c:dPt>
          <c:dPt>
            <c:idx val="4"/>
            <c:bubble3D val="0"/>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9-C404-4399-B1E4-3B043AB6115C}"/>
              </c:ext>
            </c:extLst>
          </c:dPt>
          <c:cat>
            <c:strRef>
              <c:f>'Pivot '!$A$61:$A$66</c:f>
              <c:strCache>
                <c:ptCount val="5"/>
                <c:pt idx="0">
                  <c:v>Beauty</c:v>
                </c:pt>
                <c:pt idx="1">
                  <c:v>Clothing</c:v>
                </c:pt>
                <c:pt idx="2">
                  <c:v>Electronics</c:v>
                </c:pt>
                <c:pt idx="3">
                  <c:v>Home</c:v>
                </c:pt>
                <c:pt idx="4">
                  <c:v>Sports</c:v>
                </c:pt>
              </c:strCache>
            </c:strRef>
          </c:cat>
          <c:val>
            <c:numRef>
              <c:f>'Pivot '!$B$61:$B$66</c:f>
              <c:numCache>
                <c:formatCode>General</c:formatCode>
                <c:ptCount val="5"/>
                <c:pt idx="0">
                  <c:v>9863</c:v>
                </c:pt>
                <c:pt idx="1">
                  <c:v>7683</c:v>
                </c:pt>
                <c:pt idx="2">
                  <c:v>9636</c:v>
                </c:pt>
                <c:pt idx="3">
                  <c:v>9622</c:v>
                </c:pt>
                <c:pt idx="4">
                  <c:v>19451</c:v>
                </c:pt>
              </c:numCache>
            </c:numRef>
          </c:val>
          <c:extLst>
            <c:ext xmlns:c16="http://schemas.microsoft.com/office/drawing/2014/chart" uri="{C3380CC4-5D6E-409C-BE32-E72D297353CC}">
              <c16:uniqueId val="{00000000-FC3F-4DDA-9822-1833D36BBC1D}"/>
            </c:ext>
          </c:extLst>
        </c:ser>
        <c:ser>
          <c:idx val="1"/>
          <c:order val="1"/>
          <c:tx>
            <c:strRef>
              <c:f>'Pivot '!$C$59:$C$60</c:f>
              <c:strCache>
                <c:ptCount val="1"/>
                <c:pt idx="0">
                  <c:v>North</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B-C404-4399-B1E4-3B043AB6115C}"/>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D-C404-4399-B1E4-3B043AB6115C}"/>
              </c:ext>
            </c:extLst>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F-C404-4399-B1E4-3B043AB6115C}"/>
              </c:ext>
            </c:extLst>
          </c:dPt>
          <c:dPt>
            <c:idx val="3"/>
            <c:bubble3D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11-C404-4399-B1E4-3B043AB6115C}"/>
              </c:ext>
            </c:extLst>
          </c:dPt>
          <c:dPt>
            <c:idx val="4"/>
            <c:bubble3D val="0"/>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13-C404-4399-B1E4-3B043AB6115C}"/>
              </c:ext>
            </c:extLst>
          </c:dPt>
          <c:cat>
            <c:strRef>
              <c:f>'Pivot '!$A$61:$A$66</c:f>
              <c:strCache>
                <c:ptCount val="5"/>
                <c:pt idx="0">
                  <c:v>Beauty</c:v>
                </c:pt>
                <c:pt idx="1">
                  <c:v>Clothing</c:v>
                </c:pt>
                <c:pt idx="2">
                  <c:v>Electronics</c:v>
                </c:pt>
                <c:pt idx="3">
                  <c:v>Home</c:v>
                </c:pt>
                <c:pt idx="4">
                  <c:v>Sports</c:v>
                </c:pt>
              </c:strCache>
            </c:strRef>
          </c:cat>
          <c:val>
            <c:numRef>
              <c:f>'Pivot '!$C$61:$C$66</c:f>
              <c:numCache>
                <c:formatCode>General</c:formatCode>
                <c:ptCount val="5"/>
                <c:pt idx="0">
                  <c:v>50562</c:v>
                </c:pt>
                <c:pt idx="1">
                  <c:v>51843</c:v>
                </c:pt>
                <c:pt idx="2">
                  <c:v>84981</c:v>
                </c:pt>
                <c:pt idx="3">
                  <c:v>56004</c:v>
                </c:pt>
                <c:pt idx="4">
                  <c:v>83946</c:v>
                </c:pt>
              </c:numCache>
            </c:numRef>
          </c:val>
          <c:extLst>
            <c:ext xmlns:c16="http://schemas.microsoft.com/office/drawing/2014/chart" uri="{C3380CC4-5D6E-409C-BE32-E72D297353CC}">
              <c16:uniqueId val="{00000001-FC3F-4DDA-9822-1833D36BBC1D}"/>
            </c:ext>
          </c:extLst>
        </c:ser>
        <c:ser>
          <c:idx val="2"/>
          <c:order val="2"/>
          <c:tx>
            <c:strRef>
              <c:f>'Pivot '!$D$59:$D$60</c:f>
              <c:strCache>
                <c:ptCount val="1"/>
                <c:pt idx="0">
                  <c:v>South</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15-C404-4399-B1E4-3B043AB6115C}"/>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17-C404-4399-B1E4-3B043AB6115C}"/>
              </c:ext>
            </c:extLst>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19-C404-4399-B1E4-3B043AB6115C}"/>
              </c:ext>
            </c:extLst>
          </c:dPt>
          <c:dPt>
            <c:idx val="3"/>
            <c:bubble3D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1B-C404-4399-B1E4-3B043AB6115C}"/>
              </c:ext>
            </c:extLst>
          </c:dPt>
          <c:dPt>
            <c:idx val="4"/>
            <c:bubble3D val="0"/>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1D-C404-4399-B1E4-3B043AB6115C}"/>
              </c:ext>
            </c:extLst>
          </c:dPt>
          <c:cat>
            <c:strRef>
              <c:f>'Pivot '!$A$61:$A$66</c:f>
              <c:strCache>
                <c:ptCount val="5"/>
                <c:pt idx="0">
                  <c:v>Beauty</c:v>
                </c:pt>
                <c:pt idx="1">
                  <c:v>Clothing</c:v>
                </c:pt>
                <c:pt idx="2">
                  <c:v>Electronics</c:v>
                </c:pt>
                <c:pt idx="3">
                  <c:v>Home</c:v>
                </c:pt>
                <c:pt idx="4">
                  <c:v>Sports</c:v>
                </c:pt>
              </c:strCache>
            </c:strRef>
          </c:cat>
          <c:val>
            <c:numRef>
              <c:f>'Pivot '!$D$61:$D$66</c:f>
              <c:numCache>
                <c:formatCode>General</c:formatCode>
                <c:ptCount val="5"/>
                <c:pt idx="0">
                  <c:v>29089</c:v>
                </c:pt>
                <c:pt idx="1">
                  <c:v>17562</c:v>
                </c:pt>
                <c:pt idx="2">
                  <c:v>29286</c:v>
                </c:pt>
                <c:pt idx="3">
                  <c:v>21571</c:v>
                </c:pt>
                <c:pt idx="4">
                  <c:v>41363</c:v>
                </c:pt>
              </c:numCache>
            </c:numRef>
          </c:val>
          <c:extLst>
            <c:ext xmlns:c16="http://schemas.microsoft.com/office/drawing/2014/chart" uri="{C3380CC4-5D6E-409C-BE32-E72D297353CC}">
              <c16:uniqueId val="{00000002-FC3F-4DDA-9822-1833D36BBC1D}"/>
            </c:ext>
          </c:extLst>
        </c:ser>
        <c:ser>
          <c:idx val="3"/>
          <c:order val="3"/>
          <c:tx>
            <c:strRef>
              <c:f>'Pivot '!$E$59:$E$60</c:f>
              <c:strCache>
                <c:ptCount val="1"/>
                <c:pt idx="0">
                  <c:v>West</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1F-C404-4399-B1E4-3B043AB6115C}"/>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21-C404-4399-B1E4-3B043AB6115C}"/>
              </c:ext>
            </c:extLst>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23-C404-4399-B1E4-3B043AB6115C}"/>
              </c:ext>
            </c:extLst>
          </c:dPt>
          <c:dPt>
            <c:idx val="3"/>
            <c:bubble3D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25-C404-4399-B1E4-3B043AB6115C}"/>
              </c:ext>
            </c:extLst>
          </c:dPt>
          <c:dPt>
            <c:idx val="4"/>
            <c:bubble3D val="0"/>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27-C404-4399-B1E4-3B043AB6115C}"/>
              </c:ext>
            </c:extLst>
          </c:dPt>
          <c:cat>
            <c:strRef>
              <c:f>'Pivot '!$A$61:$A$66</c:f>
              <c:strCache>
                <c:ptCount val="5"/>
                <c:pt idx="0">
                  <c:v>Beauty</c:v>
                </c:pt>
                <c:pt idx="1">
                  <c:v>Clothing</c:v>
                </c:pt>
                <c:pt idx="2">
                  <c:v>Electronics</c:v>
                </c:pt>
                <c:pt idx="3">
                  <c:v>Home</c:v>
                </c:pt>
                <c:pt idx="4">
                  <c:v>Sports</c:v>
                </c:pt>
              </c:strCache>
            </c:strRef>
          </c:cat>
          <c:val>
            <c:numRef>
              <c:f>'Pivot '!$E$61:$E$66</c:f>
              <c:numCache>
                <c:formatCode>General</c:formatCode>
                <c:ptCount val="5"/>
                <c:pt idx="0">
                  <c:v>7320</c:v>
                </c:pt>
                <c:pt idx="1">
                  <c:v>6975</c:v>
                </c:pt>
                <c:pt idx="2">
                  <c:v>16528</c:v>
                </c:pt>
                <c:pt idx="3">
                  <c:v>9298</c:v>
                </c:pt>
                <c:pt idx="4">
                  <c:v>4958</c:v>
                </c:pt>
              </c:numCache>
            </c:numRef>
          </c:val>
          <c:extLst>
            <c:ext xmlns:c16="http://schemas.microsoft.com/office/drawing/2014/chart" uri="{C3380CC4-5D6E-409C-BE32-E72D297353CC}">
              <c16:uniqueId val="{00000003-FC3F-4DDA-9822-1833D36BBC1D}"/>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data.xlsx]Pivot !Month wise report</c:name>
    <c:fmtId val="4"/>
  </c:pivotSource>
  <c:chart>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'!$B$70:$B$71</c:f>
              <c:strCache>
                <c:ptCount val="1"/>
                <c:pt idx="0">
                  <c:v>Beauty</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'Pivot '!$A$72:$A$84</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 '!$B$72:$B$84</c:f>
              <c:numCache>
                <c:formatCode>General</c:formatCode>
                <c:ptCount val="12"/>
                <c:pt idx="0">
                  <c:v>7</c:v>
                </c:pt>
                <c:pt idx="1">
                  <c:v>5</c:v>
                </c:pt>
                <c:pt idx="2">
                  <c:v>7</c:v>
                </c:pt>
                <c:pt idx="3">
                  <c:v>7</c:v>
                </c:pt>
                <c:pt idx="4">
                  <c:v>9</c:v>
                </c:pt>
                <c:pt idx="5">
                  <c:v>4</c:v>
                </c:pt>
                <c:pt idx="6">
                  <c:v>13</c:v>
                </c:pt>
                <c:pt idx="7">
                  <c:v>5</c:v>
                </c:pt>
                <c:pt idx="8">
                  <c:v>4</c:v>
                </c:pt>
                <c:pt idx="9">
                  <c:v>6</c:v>
                </c:pt>
                <c:pt idx="10">
                  <c:v>9</c:v>
                </c:pt>
                <c:pt idx="11">
                  <c:v>10</c:v>
                </c:pt>
              </c:numCache>
            </c:numRef>
          </c:val>
          <c:extLst>
            <c:ext xmlns:c16="http://schemas.microsoft.com/office/drawing/2014/chart" uri="{C3380CC4-5D6E-409C-BE32-E72D297353CC}">
              <c16:uniqueId val="{00000000-6838-46B0-92BD-C617A9EC55CF}"/>
            </c:ext>
          </c:extLst>
        </c:ser>
        <c:ser>
          <c:idx val="1"/>
          <c:order val="1"/>
          <c:tx>
            <c:strRef>
              <c:f>'Pivot '!$C$70:$C$71</c:f>
              <c:strCache>
                <c:ptCount val="1"/>
                <c:pt idx="0">
                  <c:v>Clothing</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'Pivot '!$A$72:$A$84</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 '!$C$72:$C$84</c:f>
              <c:numCache>
                <c:formatCode>General</c:formatCode>
                <c:ptCount val="12"/>
                <c:pt idx="0">
                  <c:v>4</c:v>
                </c:pt>
                <c:pt idx="1">
                  <c:v>7</c:v>
                </c:pt>
                <c:pt idx="2">
                  <c:v>5</c:v>
                </c:pt>
                <c:pt idx="3">
                  <c:v>6</c:v>
                </c:pt>
                <c:pt idx="4">
                  <c:v>3</c:v>
                </c:pt>
                <c:pt idx="5">
                  <c:v>7</c:v>
                </c:pt>
                <c:pt idx="6">
                  <c:v>3</c:v>
                </c:pt>
                <c:pt idx="7">
                  <c:v>4</c:v>
                </c:pt>
                <c:pt idx="8">
                  <c:v>10</c:v>
                </c:pt>
                <c:pt idx="9">
                  <c:v>6</c:v>
                </c:pt>
                <c:pt idx="10">
                  <c:v>6</c:v>
                </c:pt>
                <c:pt idx="11">
                  <c:v>7</c:v>
                </c:pt>
              </c:numCache>
            </c:numRef>
          </c:val>
          <c:extLst>
            <c:ext xmlns:c16="http://schemas.microsoft.com/office/drawing/2014/chart" uri="{C3380CC4-5D6E-409C-BE32-E72D297353CC}">
              <c16:uniqueId val="{00000001-6838-46B0-92BD-C617A9EC55CF}"/>
            </c:ext>
          </c:extLst>
        </c:ser>
        <c:ser>
          <c:idx val="2"/>
          <c:order val="2"/>
          <c:tx>
            <c:strRef>
              <c:f>'Pivot '!$D$70:$D$71</c:f>
              <c:strCache>
                <c:ptCount val="1"/>
                <c:pt idx="0">
                  <c:v>Electronics</c:v>
                </c:pt>
              </c:strCache>
            </c:strRef>
          </c:tx>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'Pivot '!$A$72:$A$84</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 '!$D$72:$D$84</c:f>
              <c:numCache>
                <c:formatCode>General</c:formatCode>
                <c:ptCount val="12"/>
                <c:pt idx="0">
                  <c:v>16</c:v>
                </c:pt>
                <c:pt idx="1">
                  <c:v>8</c:v>
                </c:pt>
                <c:pt idx="2">
                  <c:v>7</c:v>
                </c:pt>
                <c:pt idx="3">
                  <c:v>9</c:v>
                </c:pt>
                <c:pt idx="4">
                  <c:v>10</c:v>
                </c:pt>
                <c:pt idx="5">
                  <c:v>13</c:v>
                </c:pt>
                <c:pt idx="6">
                  <c:v>8</c:v>
                </c:pt>
                <c:pt idx="7">
                  <c:v>8</c:v>
                </c:pt>
                <c:pt idx="8">
                  <c:v>13</c:v>
                </c:pt>
                <c:pt idx="9">
                  <c:v>9</c:v>
                </c:pt>
                <c:pt idx="10">
                  <c:v>9</c:v>
                </c:pt>
                <c:pt idx="11">
                  <c:v>5</c:v>
                </c:pt>
              </c:numCache>
            </c:numRef>
          </c:val>
          <c:extLst>
            <c:ext xmlns:c16="http://schemas.microsoft.com/office/drawing/2014/chart" uri="{C3380CC4-5D6E-409C-BE32-E72D297353CC}">
              <c16:uniqueId val="{00000002-6838-46B0-92BD-C617A9EC55CF}"/>
            </c:ext>
          </c:extLst>
        </c:ser>
        <c:ser>
          <c:idx val="3"/>
          <c:order val="3"/>
          <c:tx>
            <c:strRef>
              <c:f>'Pivot '!$E$70:$E$71</c:f>
              <c:strCache>
                <c:ptCount val="1"/>
                <c:pt idx="0">
                  <c:v>Home</c:v>
                </c:pt>
              </c:strCache>
            </c:strRef>
          </c:tx>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'Pivot '!$A$72:$A$84</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 '!$E$72:$E$84</c:f>
              <c:numCache>
                <c:formatCode>General</c:formatCode>
                <c:ptCount val="12"/>
                <c:pt idx="0">
                  <c:v>6</c:v>
                </c:pt>
                <c:pt idx="1">
                  <c:v>12</c:v>
                </c:pt>
                <c:pt idx="2">
                  <c:v>2</c:v>
                </c:pt>
                <c:pt idx="3">
                  <c:v>8</c:v>
                </c:pt>
                <c:pt idx="4">
                  <c:v>5</c:v>
                </c:pt>
                <c:pt idx="5">
                  <c:v>9</c:v>
                </c:pt>
                <c:pt idx="6">
                  <c:v>6</c:v>
                </c:pt>
                <c:pt idx="7">
                  <c:v>6</c:v>
                </c:pt>
                <c:pt idx="8">
                  <c:v>8</c:v>
                </c:pt>
                <c:pt idx="9">
                  <c:v>12</c:v>
                </c:pt>
                <c:pt idx="10">
                  <c:v>10</c:v>
                </c:pt>
                <c:pt idx="11">
                  <c:v>10</c:v>
                </c:pt>
              </c:numCache>
            </c:numRef>
          </c:val>
          <c:extLst>
            <c:ext xmlns:c16="http://schemas.microsoft.com/office/drawing/2014/chart" uri="{C3380CC4-5D6E-409C-BE32-E72D297353CC}">
              <c16:uniqueId val="{00000003-6838-46B0-92BD-C617A9EC55CF}"/>
            </c:ext>
          </c:extLst>
        </c:ser>
        <c:ser>
          <c:idx val="4"/>
          <c:order val="4"/>
          <c:tx>
            <c:strRef>
              <c:f>'Pivot '!$F$70:$F$71</c:f>
              <c:strCache>
                <c:ptCount val="1"/>
                <c:pt idx="0">
                  <c:v>Sports</c:v>
                </c:pt>
              </c:strCache>
            </c:strRef>
          </c:tx>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'Pivot '!$A$72:$A$84</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 '!$F$72:$F$84</c:f>
              <c:numCache>
                <c:formatCode>General</c:formatCode>
                <c:ptCount val="12"/>
                <c:pt idx="0">
                  <c:v>10</c:v>
                </c:pt>
                <c:pt idx="1">
                  <c:v>8</c:v>
                </c:pt>
                <c:pt idx="2">
                  <c:v>7</c:v>
                </c:pt>
                <c:pt idx="3">
                  <c:v>7</c:v>
                </c:pt>
                <c:pt idx="4">
                  <c:v>14</c:v>
                </c:pt>
                <c:pt idx="5">
                  <c:v>8</c:v>
                </c:pt>
                <c:pt idx="6">
                  <c:v>17</c:v>
                </c:pt>
                <c:pt idx="7">
                  <c:v>15</c:v>
                </c:pt>
                <c:pt idx="8">
                  <c:v>13</c:v>
                </c:pt>
                <c:pt idx="9">
                  <c:v>7</c:v>
                </c:pt>
                <c:pt idx="10">
                  <c:v>12</c:v>
                </c:pt>
                <c:pt idx="11">
                  <c:v>11</c:v>
                </c:pt>
              </c:numCache>
            </c:numRef>
          </c:val>
          <c:extLst>
            <c:ext xmlns:c16="http://schemas.microsoft.com/office/drawing/2014/chart" uri="{C3380CC4-5D6E-409C-BE32-E72D297353CC}">
              <c16:uniqueId val="{00000004-6838-46B0-92BD-C617A9EC55CF}"/>
            </c:ext>
          </c:extLst>
        </c:ser>
        <c:dLbls>
          <c:showLegendKey val="0"/>
          <c:showVal val="0"/>
          <c:showCatName val="0"/>
          <c:showSerName val="0"/>
          <c:showPercent val="0"/>
          <c:showBubbleSize val="0"/>
        </c:dLbls>
        <c:gapWidth val="150"/>
        <c:shape val="box"/>
        <c:axId val="593786927"/>
        <c:axId val="593792207"/>
        <c:axId val="0"/>
      </c:bar3DChart>
      <c:catAx>
        <c:axId val="59378692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93792207"/>
        <c:crosses val="autoZero"/>
        <c:auto val="1"/>
        <c:lblAlgn val="ctr"/>
        <c:lblOffset val="100"/>
        <c:noMultiLvlLbl val="0"/>
      </c:catAx>
      <c:valAx>
        <c:axId val="593792207"/>
        <c:scaling>
          <c:orientation val="minMax"/>
        </c:scaling>
        <c:delete val="0"/>
        <c:axPos val="l"/>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937869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data.xlsx]Pivot !State wise gender report</c:name>
    <c:fmtId val="7"/>
  </c:pivotSource>
  <c:chart>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3"/>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'!$B$3:$B$4</c:f>
              <c:strCache>
                <c:ptCount val="1"/>
                <c:pt idx="0">
                  <c:v>Beauty</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cat>
            <c:strRef>
              <c:f>'Pivot '!$A$5:$A$55</c:f>
              <c:strCache>
                <c:ptCount val="50"/>
                <c:pt idx="0">
                  <c:v>Alabama</c:v>
                </c:pt>
                <c:pt idx="1">
                  <c:v>Alaska</c:v>
                </c:pt>
                <c:pt idx="2">
                  <c:v>Arizona</c:v>
                </c:pt>
                <c:pt idx="3">
                  <c:v>Arkansas</c:v>
                </c:pt>
                <c:pt idx="4">
                  <c:v>California</c:v>
                </c:pt>
                <c:pt idx="5">
                  <c:v>Colorado</c:v>
                </c:pt>
                <c:pt idx="6">
                  <c:v>Connecticut</c:v>
                </c:pt>
                <c:pt idx="7">
                  <c:v>Delaware</c:v>
                </c:pt>
                <c:pt idx="8">
                  <c:v>Florida</c:v>
                </c:pt>
                <c:pt idx="9">
                  <c:v>Georgia</c:v>
                </c:pt>
                <c:pt idx="10">
                  <c:v>Hawaii</c:v>
                </c:pt>
                <c:pt idx="11">
                  <c:v>Idaho</c:v>
                </c:pt>
                <c:pt idx="12">
                  <c:v>Illinois</c:v>
                </c:pt>
                <c:pt idx="13">
                  <c:v>Indiana</c:v>
                </c:pt>
                <c:pt idx="14">
                  <c:v>Iowa</c:v>
                </c:pt>
                <c:pt idx="15">
                  <c:v>Kansas</c:v>
                </c:pt>
                <c:pt idx="16">
                  <c:v>Kentucky</c:v>
                </c:pt>
                <c:pt idx="17">
                  <c:v>Louisiana</c:v>
                </c:pt>
                <c:pt idx="18">
                  <c:v>Maine</c:v>
                </c:pt>
                <c:pt idx="19">
                  <c:v>Maryland</c:v>
                </c:pt>
                <c:pt idx="20">
                  <c:v>Massachusetts</c:v>
                </c:pt>
                <c:pt idx="21">
                  <c:v>Michigan</c:v>
                </c:pt>
                <c:pt idx="22">
                  <c:v>Minnesota</c:v>
                </c:pt>
                <c:pt idx="23">
                  <c:v>Mississippi</c:v>
                </c:pt>
                <c:pt idx="24">
                  <c:v>Missouri</c:v>
                </c:pt>
                <c:pt idx="25">
                  <c:v>Montana</c:v>
                </c:pt>
                <c:pt idx="26">
                  <c:v>Nebraska</c:v>
                </c:pt>
                <c:pt idx="27">
                  <c:v>Nevada</c:v>
                </c:pt>
                <c:pt idx="28">
                  <c:v>New Hampshire</c:v>
                </c:pt>
                <c:pt idx="29">
                  <c:v>New Jersey</c:v>
                </c:pt>
                <c:pt idx="30">
                  <c:v>New Mexico</c:v>
                </c:pt>
                <c:pt idx="31">
                  <c:v>New York</c:v>
                </c:pt>
                <c:pt idx="32">
                  <c:v>North Carolina</c:v>
                </c:pt>
                <c:pt idx="33">
                  <c:v>North Dakota</c:v>
                </c:pt>
                <c:pt idx="34">
                  <c:v>Ohio</c:v>
                </c:pt>
                <c:pt idx="35">
                  <c:v>Oklahoma</c:v>
                </c:pt>
                <c:pt idx="36">
                  <c:v>Oregon</c:v>
                </c:pt>
                <c:pt idx="37">
                  <c:v>Pennsylvania</c:v>
                </c:pt>
                <c:pt idx="38">
                  <c:v>Rhode Island</c:v>
                </c:pt>
                <c:pt idx="39">
                  <c:v>South Carolina</c:v>
                </c:pt>
                <c:pt idx="40">
                  <c:v>South Dakota</c:v>
                </c:pt>
                <c:pt idx="41">
                  <c:v>Tennessee</c:v>
                </c:pt>
                <c:pt idx="42">
                  <c:v>Texas</c:v>
                </c:pt>
                <c:pt idx="43">
                  <c:v>Utah</c:v>
                </c:pt>
                <c:pt idx="44">
                  <c:v>Vermont</c:v>
                </c:pt>
                <c:pt idx="45">
                  <c:v>Virginia</c:v>
                </c:pt>
                <c:pt idx="46">
                  <c:v>Washington</c:v>
                </c:pt>
                <c:pt idx="47">
                  <c:v>West Virginia</c:v>
                </c:pt>
                <c:pt idx="48">
                  <c:v>Wisconsin</c:v>
                </c:pt>
                <c:pt idx="49">
                  <c:v>Wyoming</c:v>
                </c:pt>
              </c:strCache>
            </c:strRef>
          </c:cat>
          <c:val>
            <c:numRef>
              <c:f>'Pivot '!$B$5:$B$55</c:f>
              <c:numCache>
                <c:formatCode>0</c:formatCode>
                <c:ptCount val="50"/>
                <c:pt idx="0">
                  <c:v>3</c:v>
                </c:pt>
                <c:pt idx="1">
                  <c:v>2</c:v>
                </c:pt>
                <c:pt idx="2">
                  <c:v>4</c:v>
                </c:pt>
                <c:pt idx="4">
                  <c:v>4</c:v>
                </c:pt>
                <c:pt idx="5">
                  <c:v>1</c:v>
                </c:pt>
                <c:pt idx="6">
                  <c:v>3</c:v>
                </c:pt>
                <c:pt idx="9">
                  <c:v>3</c:v>
                </c:pt>
                <c:pt idx="10">
                  <c:v>3</c:v>
                </c:pt>
                <c:pt idx="12">
                  <c:v>1</c:v>
                </c:pt>
                <c:pt idx="13">
                  <c:v>1</c:v>
                </c:pt>
                <c:pt idx="14">
                  <c:v>1</c:v>
                </c:pt>
                <c:pt idx="15">
                  <c:v>3</c:v>
                </c:pt>
                <c:pt idx="16">
                  <c:v>1</c:v>
                </c:pt>
                <c:pt idx="17">
                  <c:v>1</c:v>
                </c:pt>
                <c:pt idx="18">
                  <c:v>1</c:v>
                </c:pt>
                <c:pt idx="19">
                  <c:v>2</c:v>
                </c:pt>
                <c:pt idx="20">
                  <c:v>1</c:v>
                </c:pt>
                <c:pt idx="23">
                  <c:v>3</c:v>
                </c:pt>
                <c:pt idx="24">
                  <c:v>1</c:v>
                </c:pt>
                <c:pt idx="25">
                  <c:v>1</c:v>
                </c:pt>
                <c:pt idx="26">
                  <c:v>2</c:v>
                </c:pt>
                <c:pt idx="27">
                  <c:v>4</c:v>
                </c:pt>
                <c:pt idx="28">
                  <c:v>3</c:v>
                </c:pt>
                <c:pt idx="29">
                  <c:v>2</c:v>
                </c:pt>
                <c:pt idx="30">
                  <c:v>2</c:v>
                </c:pt>
                <c:pt idx="31">
                  <c:v>3</c:v>
                </c:pt>
                <c:pt idx="32">
                  <c:v>6</c:v>
                </c:pt>
                <c:pt idx="33">
                  <c:v>3</c:v>
                </c:pt>
                <c:pt idx="34">
                  <c:v>2</c:v>
                </c:pt>
                <c:pt idx="35">
                  <c:v>2</c:v>
                </c:pt>
                <c:pt idx="36">
                  <c:v>1</c:v>
                </c:pt>
                <c:pt idx="37">
                  <c:v>1</c:v>
                </c:pt>
                <c:pt idx="39">
                  <c:v>1</c:v>
                </c:pt>
                <c:pt idx="40">
                  <c:v>1</c:v>
                </c:pt>
                <c:pt idx="41">
                  <c:v>4</c:v>
                </c:pt>
                <c:pt idx="43">
                  <c:v>1</c:v>
                </c:pt>
                <c:pt idx="44">
                  <c:v>3</c:v>
                </c:pt>
                <c:pt idx="45">
                  <c:v>1</c:v>
                </c:pt>
                <c:pt idx="48">
                  <c:v>3</c:v>
                </c:pt>
                <c:pt idx="49">
                  <c:v>1</c:v>
                </c:pt>
              </c:numCache>
            </c:numRef>
          </c:val>
          <c:extLst>
            <c:ext xmlns:c16="http://schemas.microsoft.com/office/drawing/2014/chart" uri="{C3380CC4-5D6E-409C-BE32-E72D297353CC}">
              <c16:uniqueId val="{00000000-E387-4D23-896C-934CEE14ECBC}"/>
            </c:ext>
          </c:extLst>
        </c:ser>
        <c:ser>
          <c:idx val="1"/>
          <c:order val="1"/>
          <c:tx>
            <c:strRef>
              <c:f>'Pivot '!$C$3:$C$4</c:f>
              <c:strCache>
                <c:ptCount val="1"/>
                <c:pt idx="0">
                  <c:v>Clothing</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cat>
            <c:strRef>
              <c:f>'Pivot '!$A$5:$A$55</c:f>
              <c:strCache>
                <c:ptCount val="50"/>
                <c:pt idx="0">
                  <c:v>Alabama</c:v>
                </c:pt>
                <c:pt idx="1">
                  <c:v>Alaska</c:v>
                </c:pt>
                <c:pt idx="2">
                  <c:v>Arizona</c:v>
                </c:pt>
                <c:pt idx="3">
                  <c:v>Arkansas</c:v>
                </c:pt>
                <c:pt idx="4">
                  <c:v>California</c:v>
                </c:pt>
                <c:pt idx="5">
                  <c:v>Colorado</c:v>
                </c:pt>
                <c:pt idx="6">
                  <c:v>Connecticut</c:v>
                </c:pt>
                <c:pt idx="7">
                  <c:v>Delaware</c:v>
                </c:pt>
                <c:pt idx="8">
                  <c:v>Florida</c:v>
                </c:pt>
                <c:pt idx="9">
                  <c:v>Georgia</c:v>
                </c:pt>
                <c:pt idx="10">
                  <c:v>Hawaii</c:v>
                </c:pt>
                <c:pt idx="11">
                  <c:v>Idaho</c:v>
                </c:pt>
                <c:pt idx="12">
                  <c:v>Illinois</c:v>
                </c:pt>
                <c:pt idx="13">
                  <c:v>Indiana</c:v>
                </c:pt>
                <c:pt idx="14">
                  <c:v>Iowa</c:v>
                </c:pt>
                <c:pt idx="15">
                  <c:v>Kansas</c:v>
                </c:pt>
                <c:pt idx="16">
                  <c:v>Kentucky</c:v>
                </c:pt>
                <c:pt idx="17">
                  <c:v>Louisiana</c:v>
                </c:pt>
                <c:pt idx="18">
                  <c:v>Maine</c:v>
                </c:pt>
                <c:pt idx="19">
                  <c:v>Maryland</c:v>
                </c:pt>
                <c:pt idx="20">
                  <c:v>Massachusetts</c:v>
                </c:pt>
                <c:pt idx="21">
                  <c:v>Michigan</c:v>
                </c:pt>
                <c:pt idx="22">
                  <c:v>Minnesota</c:v>
                </c:pt>
                <c:pt idx="23">
                  <c:v>Mississippi</c:v>
                </c:pt>
                <c:pt idx="24">
                  <c:v>Missouri</c:v>
                </c:pt>
                <c:pt idx="25">
                  <c:v>Montana</c:v>
                </c:pt>
                <c:pt idx="26">
                  <c:v>Nebraska</c:v>
                </c:pt>
                <c:pt idx="27">
                  <c:v>Nevada</c:v>
                </c:pt>
                <c:pt idx="28">
                  <c:v>New Hampshire</c:v>
                </c:pt>
                <c:pt idx="29">
                  <c:v>New Jersey</c:v>
                </c:pt>
                <c:pt idx="30">
                  <c:v>New Mexico</c:v>
                </c:pt>
                <c:pt idx="31">
                  <c:v>New York</c:v>
                </c:pt>
                <c:pt idx="32">
                  <c:v>North Carolina</c:v>
                </c:pt>
                <c:pt idx="33">
                  <c:v>North Dakota</c:v>
                </c:pt>
                <c:pt idx="34">
                  <c:v>Ohio</c:v>
                </c:pt>
                <c:pt idx="35">
                  <c:v>Oklahoma</c:v>
                </c:pt>
                <c:pt idx="36">
                  <c:v>Oregon</c:v>
                </c:pt>
                <c:pt idx="37">
                  <c:v>Pennsylvania</c:v>
                </c:pt>
                <c:pt idx="38">
                  <c:v>Rhode Island</c:v>
                </c:pt>
                <c:pt idx="39">
                  <c:v>South Carolina</c:v>
                </c:pt>
                <c:pt idx="40">
                  <c:v>South Dakota</c:v>
                </c:pt>
                <c:pt idx="41">
                  <c:v>Tennessee</c:v>
                </c:pt>
                <c:pt idx="42">
                  <c:v>Texas</c:v>
                </c:pt>
                <c:pt idx="43">
                  <c:v>Utah</c:v>
                </c:pt>
                <c:pt idx="44">
                  <c:v>Vermont</c:v>
                </c:pt>
                <c:pt idx="45">
                  <c:v>Virginia</c:v>
                </c:pt>
                <c:pt idx="46">
                  <c:v>Washington</c:v>
                </c:pt>
                <c:pt idx="47">
                  <c:v>West Virginia</c:v>
                </c:pt>
                <c:pt idx="48">
                  <c:v>Wisconsin</c:v>
                </c:pt>
                <c:pt idx="49">
                  <c:v>Wyoming</c:v>
                </c:pt>
              </c:strCache>
            </c:strRef>
          </c:cat>
          <c:val>
            <c:numRef>
              <c:f>'Pivot '!$C$5:$C$55</c:f>
              <c:numCache>
                <c:formatCode>0</c:formatCode>
                <c:ptCount val="50"/>
                <c:pt idx="1">
                  <c:v>1</c:v>
                </c:pt>
                <c:pt idx="2">
                  <c:v>2</c:v>
                </c:pt>
                <c:pt idx="3">
                  <c:v>1</c:v>
                </c:pt>
                <c:pt idx="6">
                  <c:v>3</c:v>
                </c:pt>
                <c:pt idx="7">
                  <c:v>3</c:v>
                </c:pt>
                <c:pt idx="8">
                  <c:v>3</c:v>
                </c:pt>
                <c:pt idx="9">
                  <c:v>1</c:v>
                </c:pt>
                <c:pt idx="10">
                  <c:v>2</c:v>
                </c:pt>
                <c:pt idx="11">
                  <c:v>2</c:v>
                </c:pt>
                <c:pt idx="13">
                  <c:v>2</c:v>
                </c:pt>
                <c:pt idx="15">
                  <c:v>1</c:v>
                </c:pt>
                <c:pt idx="16">
                  <c:v>1</c:v>
                </c:pt>
                <c:pt idx="17">
                  <c:v>1</c:v>
                </c:pt>
                <c:pt idx="18">
                  <c:v>2</c:v>
                </c:pt>
                <c:pt idx="19">
                  <c:v>1</c:v>
                </c:pt>
                <c:pt idx="20">
                  <c:v>2</c:v>
                </c:pt>
                <c:pt idx="21">
                  <c:v>2</c:v>
                </c:pt>
                <c:pt idx="22">
                  <c:v>2</c:v>
                </c:pt>
                <c:pt idx="24">
                  <c:v>2</c:v>
                </c:pt>
                <c:pt idx="25">
                  <c:v>2</c:v>
                </c:pt>
                <c:pt idx="26">
                  <c:v>1</c:v>
                </c:pt>
                <c:pt idx="28">
                  <c:v>3</c:v>
                </c:pt>
                <c:pt idx="29">
                  <c:v>5</c:v>
                </c:pt>
                <c:pt idx="30">
                  <c:v>1</c:v>
                </c:pt>
                <c:pt idx="31">
                  <c:v>1</c:v>
                </c:pt>
                <c:pt idx="33">
                  <c:v>1</c:v>
                </c:pt>
                <c:pt idx="34">
                  <c:v>4</c:v>
                </c:pt>
                <c:pt idx="35">
                  <c:v>2</c:v>
                </c:pt>
                <c:pt idx="36">
                  <c:v>1</c:v>
                </c:pt>
                <c:pt idx="38">
                  <c:v>1</c:v>
                </c:pt>
                <c:pt idx="39">
                  <c:v>2</c:v>
                </c:pt>
                <c:pt idx="40">
                  <c:v>1</c:v>
                </c:pt>
                <c:pt idx="41">
                  <c:v>1</c:v>
                </c:pt>
                <c:pt idx="42">
                  <c:v>1</c:v>
                </c:pt>
                <c:pt idx="43">
                  <c:v>1</c:v>
                </c:pt>
                <c:pt idx="44">
                  <c:v>1</c:v>
                </c:pt>
                <c:pt idx="45">
                  <c:v>1</c:v>
                </c:pt>
                <c:pt idx="46">
                  <c:v>2</c:v>
                </c:pt>
                <c:pt idx="47">
                  <c:v>1</c:v>
                </c:pt>
                <c:pt idx="49">
                  <c:v>1</c:v>
                </c:pt>
              </c:numCache>
            </c:numRef>
          </c:val>
          <c:extLst>
            <c:ext xmlns:c16="http://schemas.microsoft.com/office/drawing/2014/chart" uri="{C3380CC4-5D6E-409C-BE32-E72D297353CC}">
              <c16:uniqueId val="{0000003D-E387-4D23-896C-934CEE14ECBC}"/>
            </c:ext>
          </c:extLst>
        </c:ser>
        <c:ser>
          <c:idx val="2"/>
          <c:order val="2"/>
          <c:tx>
            <c:strRef>
              <c:f>'Pivot '!$D$3:$D$4</c:f>
              <c:strCache>
                <c:ptCount val="1"/>
                <c:pt idx="0">
                  <c:v>Electronics</c:v>
                </c:pt>
              </c:strCache>
            </c:strRef>
          </c:tx>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cat>
            <c:strRef>
              <c:f>'Pivot '!$A$5:$A$55</c:f>
              <c:strCache>
                <c:ptCount val="50"/>
                <c:pt idx="0">
                  <c:v>Alabama</c:v>
                </c:pt>
                <c:pt idx="1">
                  <c:v>Alaska</c:v>
                </c:pt>
                <c:pt idx="2">
                  <c:v>Arizona</c:v>
                </c:pt>
                <c:pt idx="3">
                  <c:v>Arkansas</c:v>
                </c:pt>
                <c:pt idx="4">
                  <c:v>California</c:v>
                </c:pt>
                <c:pt idx="5">
                  <c:v>Colorado</c:v>
                </c:pt>
                <c:pt idx="6">
                  <c:v>Connecticut</c:v>
                </c:pt>
                <c:pt idx="7">
                  <c:v>Delaware</c:v>
                </c:pt>
                <c:pt idx="8">
                  <c:v>Florida</c:v>
                </c:pt>
                <c:pt idx="9">
                  <c:v>Georgia</c:v>
                </c:pt>
                <c:pt idx="10">
                  <c:v>Hawaii</c:v>
                </c:pt>
                <c:pt idx="11">
                  <c:v>Idaho</c:v>
                </c:pt>
                <c:pt idx="12">
                  <c:v>Illinois</c:v>
                </c:pt>
                <c:pt idx="13">
                  <c:v>Indiana</c:v>
                </c:pt>
                <c:pt idx="14">
                  <c:v>Iowa</c:v>
                </c:pt>
                <c:pt idx="15">
                  <c:v>Kansas</c:v>
                </c:pt>
                <c:pt idx="16">
                  <c:v>Kentucky</c:v>
                </c:pt>
                <c:pt idx="17">
                  <c:v>Louisiana</c:v>
                </c:pt>
                <c:pt idx="18">
                  <c:v>Maine</c:v>
                </c:pt>
                <c:pt idx="19">
                  <c:v>Maryland</c:v>
                </c:pt>
                <c:pt idx="20">
                  <c:v>Massachusetts</c:v>
                </c:pt>
                <c:pt idx="21">
                  <c:v>Michigan</c:v>
                </c:pt>
                <c:pt idx="22">
                  <c:v>Minnesota</c:v>
                </c:pt>
                <c:pt idx="23">
                  <c:v>Mississippi</c:v>
                </c:pt>
                <c:pt idx="24">
                  <c:v>Missouri</c:v>
                </c:pt>
                <c:pt idx="25">
                  <c:v>Montana</c:v>
                </c:pt>
                <c:pt idx="26">
                  <c:v>Nebraska</c:v>
                </c:pt>
                <c:pt idx="27">
                  <c:v>Nevada</c:v>
                </c:pt>
                <c:pt idx="28">
                  <c:v>New Hampshire</c:v>
                </c:pt>
                <c:pt idx="29">
                  <c:v>New Jersey</c:v>
                </c:pt>
                <c:pt idx="30">
                  <c:v>New Mexico</c:v>
                </c:pt>
                <c:pt idx="31">
                  <c:v>New York</c:v>
                </c:pt>
                <c:pt idx="32">
                  <c:v>North Carolina</c:v>
                </c:pt>
                <c:pt idx="33">
                  <c:v>North Dakota</c:v>
                </c:pt>
                <c:pt idx="34">
                  <c:v>Ohio</c:v>
                </c:pt>
                <c:pt idx="35">
                  <c:v>Oklahoma</c:v>
                </c:pt>
                <c:pt idx="36">
                  <c:v>Oregon</c:v>
                </c:pt>
                <c:pt idx="37">
                  <c:v>Pennsylvania</c:v>
                </c:pt>
                <c:pt idx="38">
                  <c:v>Rhode Island</c:v>
                </c:pt>
                <c:pt idx="39">
                  <c:v>South Carolina</c:v>
                </c:pt>
                <c:pt idx="40">
                  <c:v>South Dakota</c:v>
                </c:pt>
                <c:pt idx="41">
                  <c:v>Tennessee</c:v>
                </c:pt>
                <c:pt idx="42">
                  <c:v>Texas</c:v>
                </c:pt>
                <c:pt idx="43">
                  <c:v>Utah</c:v>
                </c:pt>
                <c:pt idx="44">
                  <c:v>Vermont</c:v>
                </c:pt>
                <c:pt idx="45">
                  <c:v>Virginia</c:v>
                </c:pt>
                <c:pt idx="46">
                  <c:v>Washington</c:v>
                </c:pt>
                <c:pt idx="47">
                  <c:v>West Virginia</c:v>
                </c:pt>
                <c:pt idx="48">
                  <c:v>Wisconsin</c:v>
                </c:pt>
                <c:pt idx="49">
                  <c:v>Wyoming</c:v>
                </c:pt>
              </c:strCache>
            </c:strRef>
          </c:cat>
          <c:val>
            <c:numRef>
              <c:f>'Pivot '!$D$5:$D$55</c:f>
              <c:numCache>
                <c:formatCode>0</c:formatCode>
                <c:ptCount val="50"/>
                <c:pt idx="0">
                  <c:v>1</c:v>
                </c:pt>
                <c:pt idx="1">
                  <c:v>2</c:v>
                </c:pt>
                <c:pt idx="3">
                  <c:v>3</c:v>
                </c:pt>
                <c:pt idx="4">
                  <c:v>2</c:v>
                </c:pt>
                <c:pt idx="5">
                  <c:v>1</c:v>
                </c:pt>
                <c:pt idx="6">
                  <c:v>1</c:v>
                </c:pt>
                <c:pt idx="7">
                  <c:v>1</c:v>
                </c:pt>
                <c:pt idx="8">
                  <c:v>2</c:v>
                </c:pt>
                <c:pt idx="9">
                  <c:v>4</c:v>
                </c:pt>
                <c:pt idx="10">
                  <c:v>1</c:v>
                </c:pt>
                <c:pt idx="12">
                  <c:v>1</c:v>
                </c:pt>
                <c:pt idx="13">
                  <c:v>3</c:v>
                </c:pt>
                <c:pt idx="14">
                  <c:v>5</c:v>
                </c:pt>
                <c:pt idx="15">
                  <c:v>4</c:v>
                </c:pt>
                <c:pt idx="16">
                  <c:v>2</c:v>
                </c:pt>
                <c:pt idx="17">
                  <c:v>2</c:v>
                </c:pt>
                <c:pt idx="18">
                  <c:v>3</c:v>
                </c:pt>
                <c:pt idx="20">
                  <c:v>2</c:v>
                </c:pt>
                <c:pt idx="21">
                  <c:v>3</c:v>
                </c:pt>
                <c:pt idx="22">
                  <c:v>3</c:v>
                </c:pt>
                <c:pt idx="23">
                  <c:v>1</c:v>
                </c:pt>
                <c:pt idx="24">
                  <c:v>6</c:v>
                </c:pt>
                <c:pt idx="25">
                  <c:v>2</c:v>
                </c:pt>
                <c:pt idx="26">
                  <c:v>3</c:v>
                </c:pt>
                <c:pt idx="27">
                  <c:v>2</c:v>
                </c:pt>
                <c:pt idx="28">
                  <c:v>1</c:v>
                </c:pt>
                <c:pt idx="29">
                  <c:v>2</c:v>
                </c:pt>
                <c:pt idx="30">
                  <c:v>2</c:v>
                </c:pt>
                <c:pt idx="31">
                  <c:v>2</c:v>
                </c:pt>
                <c:pt idx="32">
                  <c:v>2</c:v>
                </c:pt>
                <c:pt idx="33">
                  <c:v>3</c:v>
                </c:pt>
                <c:pt idx="34">
                  <c:v>7</c:v>
                </c:pt>
                <c:pt idx="35">
                  <c:v>4</c:v>
                </c:pt>
                <c:pt idx="36">
                  <c:v>4</c:v>
                </c:pt>
                <c:pt idx="37">
                  <c:v>1</c:v>
                </c:pt>
                <c:pt idx="38">
                  <c:v>2</c:v>
                </c:pt>
                <c:pt idx="39">
                  <c:v>1</c:v>
                </c:pt>
                <c:pt idx="40">
                  <c:v>3</c:v>
                </c:pt>
                <c:pt idx="41">
                  <c:v>4</c:v>
                </c:pt>
                <c:pt idx="42">
                  <c:v>1</c:v>
                </c:pt>
                <c:pt idx="43">
                  <c:v>3</c:v>
                </c:pt>
                <c:pt idx="44">
                  <c:v>3</c:v>
                </c:pt>
                <c:pt idx="45">
                  <c:v>2</c:v>
                </c:pt>
                <c:pt idx="46">
                  <c:v>2</c:v>
                </c:pt>
                <c:pt idx="47">
                  <c:v>4</c:v>
                </c:pt>
                <c:pt idx="48">
                  <c:v>2</c:v>
                </c:pt>
              </c:numCache>
            </c:numRef>
          </c:val>
          <c:extLst>
            <c:ext xmlns:c16="http://schemas.microsoft.com/office/drawing/2014/chart" uri="{C3380CC4-5D6E-409C-BE32-E72D297353CC}">
              <c16:uniqueId val="{0000003E-E387-4D23-896C-934CEE14ECBC}"/>
            </c:ext>
          </c:extLst>
        </c:ser>
        <c:ser>
          <c:idx val="3"/>
          <c:order val="3"/>
          <c:tx>
            <c:strRef>
              <c:f>'Pivot '!$E$3:$E$4</c:f>
              <c:strCache>
                <c:ptCount val="1"/>
                <c:pt idx="0">
                  <c:v>Home</c:v>
                </c:pt>
              </c:strCache>
            </c:strRef>
          </c:tx>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cat>
            <c:strRef>
              <c:f>'Pivot '!$A$5:$A$55</c:f>
              <c:strCache>
                <c:ptCount val="50"/>
                <c:pt idx="0">
                  <c:v>Alabama</c:v>
                </c:pt>
                <c:pt idx="1">
                  <c:v>Alaska</c:v>
                </c:pt>
                <c:pt idx="2">
                  <c:v>Arizona</c:v>
                </c:pt>
                <c:pt idx="3">
                  <c:v>Arkansas</c:v>
                </c:pt>
                <c:pt idx="4">
                  <c:v>California</c:v>
                </c:pt>
                <c:pt idx="5">
                  <c:v>Colorado</c:v>
                </c:pt>
                <c:pt idx="6">
                  <c:v>Connecticut</c:v>
                </c:pt>
                <c:pt idx="7">
                  <c:v>Delaware</c:v>
                </c:pt>
                <c:pt idx="8">
                  <c:v>Florida</c:v>
                </c:pt>
                <c:pt idx="9">
                  <c:v>Georgia</c:v>
                </c:pt>
                <c:pt idx="10">
                  <c:v>Hawaii</c:v>
                </c:pt>
                <c:pt idx="11">
                  <c:v>Idaho</c:v>
                </c:pt>
                <c:pt idx="12">
                  <c:v>Illinois</c:v>
                </c:pt>
                <c:pt idx="13">
                  <c:v>Indiana</c:v>
                </c:pt>
                <c:pt idx="14">
                  <c:v>Iowa</c:v>
                </c:pt>
                <c:pt idx="15">
                  <c:v>Kansas</c:v>
                </c:pt>
                <c:pt idx="16">
                  <c:v>Kentucky</c:v>
                </c:pt>
                <c:pt idx="17">
                  <c:v>Louisiana</c:v>
                </c:pt>
                <c:pt idx="18">
                  <c:v>Maine</c:v>
                </c:pt>
                <c:pt idx="19">
                  <c:v>Maryland</c:v>
                </c:pt>
                <c:pt idx="20">
                  <c:v>Massachusetts</c:v>
                </c:pt>
                <c:pt idx="21">
                  <c:v>Michigan</c:v>
                </c:pt>
                <c:pt idx="22">
                  <c:v>Minnesota</c:v>
                </c:pt>
                <c:pt idx="23">
                  <c:v>Mississippi</c:v>
                </c:pt>
                <c:pt idx="24">
                  <c:v>Missouri</c:v>
                </c:pt>
                <c:pt idx="25">
                  <c:v>Montana</c:v>
                </c:pt>
                <c:pt idx="26">
                  <c:v>Nebraska</c:v>
                </c:pt>
                <c:pt idx="27">
                  <c:v>Nevada</c:v>
                </c:pt>
                <c:pt idx="28">
                  <c:v>New Hampshire</c:v>
                </c:pt>
                <c:pt idx="29">
                  <c:v>New Jersey</c:v>
                </c:pt>
                <c:pt idx="30">
                  <c:v>New Mexico</c:v>
                </c:pt>
                <c:pt idx="31">
                  <c:v>New York</c:v>
                </c:pt>
                <c:pt idx="32">
                  <c:v>North Carolina</c:v>
                </c:pt>
                <c:pt idx="33">
                  <c:v>North Dakota</c:v>
                </c:pt>
                <c:pt idx="34">
                  <c:v>Ohio</c:v>
                </c:pt>
                <c:pt idx="35">
                  <c:v>Oklahoma</c:v>
                </c:pt>
                <c:pt idx="36">
                  <c:v>Oregon</c:v>
                </c:pt>
                <c:pt idx="37">
                  <c:v>Pennsylvania</c:v>
                </c:pt>
                <c:pt idx="38">
                  <c:v>Rhode Island</c:v>
                </c:pt>
                <c:pt idx="39">
                  <c:v>South Carolina</c:v>
                </c:pt>
                <c:pt idx="40">
                  <c:v>South Dakota</c:v>
                </c:pt>
                <c:pt idx="41">
                  <c:v>Tennessee</c:v>
                </c:pt>
                <c:pt idx="42">
                  <c:v>Texas</c:v>
                </c:pt>
                <c:pt idx="43">
                  <c:v>Utah</c:v>
                </c:pt>
                <c:pt idx="44">
                  <c:v>Vermont</c:v>
                </c:pt>
                <c:pt idx="45">
                  <c:v>Virginia</c:v>
                </c:pt>
                <c:pt idx="46">
                  <c:v>Washington</c:v>
                </c:pt>
                <c:pt idx="47">
                  <c:v>West Virginia</c:v>
                </c:pt>
                <c:pt idx="48">
                  <c:v>Wisconsin</c:v>
                </c:pt>
                <c:pt idx="49">
                  <c:v>Wyoming</c:v>
                </c:pt>
              </c:strCache>
            </c:strRef>
          </c:cat>
          <c:val>
            <c:numRef>
              <c:f>'Pivot '!$E$5:$E$55</c:f>
              <c:numCache>
                <c:formatCode>0</c:formatCode>
                <c:ptCount val="50"/>
                <c:pt idx="0">
                  <c:v>3</c:v>
                </c:pt>
                <c:pt idx="1">
                  <c:v>1</c:v>
                </c:pt>
                <c:pt idx="2">
                  <c:v>2</c:v>
                </c:pt>
                <c:pt idx="3">
                  <c:v>1</c:v>
                </c:pt>
                <c:pt idx="4">
                  <c:v>4</c:v>
                </c:pt>
                <c:pt idx="6">
                  <c:v>4</c:v>
                </c:pt>
                <c:pt idx="7">
                  <c:v>2</c:v>
                </c:pt>
                <c:pt idx="8">
                  <c:v>2</c:v>
                </c:pt>
                <c:pt idx="10">
                  <c:v>1</c:v>
                </c:pt>
                <c:pt idx="11">
                  <c:v>2</c:v>
                </c:pt>
                <c:pt idx="12">
                  <c:v>2</c:v>
                </c:pt>
                <c:pt idx="13">
                  <c:v>1</c:v>
                </c:pt>
                <c:pt idx="14">
                  <c:v>2</c:v>
                </c:pt>
                <c:pt idx="15">
                  <c:v>4</c:v>
                </c:pt>
                <c:pt idx="16">
                  <c:v>2</c:v>
                </c:pt>
                <c:pt idx="18">
                  <c:v>1</c:v>
                </c:pt>
                <c:pt idx="19">
                  <c:v>3</c:v>
                </c:pt>
                <c:pt idx="20">
                  <c:v>1</c:v>
                </c:pt>
                <c:pt idx="21">
                  <c:v>2</c:v>
                </c:pt>
                <c:pt idx="22">
                  <c:v>1</c:v>
                </c:pt>
                <c:pt idx="23">
                  <c:v>3</c:v>
                </c:pt>
                <c:pt idx="24">
                  <c:v>1</c:v>
                </c:pt>
                <c:pt idx="26">
                  <c:v>1</c:v>
                </c:pt>
                <c:pt idx="27">
                  <c:v>1</c:v>
                </c:pt>
                <c:pt idx="28">
                  <c:v>2</c:v>
                </c:pt>
                <c:pt idx="29">
                  <c:v>3</c:v>
                </c:pt>
                <c:pt idx="30">
                  <c:v>5</c:v>
                </c:pt>
                <c:pt idx="31">
                  <c:v>2</c:v>
                </c:pt>
                <c:pt idx="32">
                  <c:v>3</c:v>
                </c:pt>
                <c:pt idx="33">
                  <c:v>2</c:v>
                </c:pt>
                <c:pt idx="36">
                  <c:v>5</c:v>
                </c:pt>
                <c:pt idx="37">
                  <c:v>5</c:v>
                </c:pt>
                <c:pt idx="39">
                  <c:v>1</c:v>
                </c:pt>
                <c:pt idx="40">
                  <c:v>2</c:v>
                </c:pt>
                <c:pt idx="41">
                  <c:v>3</c:v>
                </c:pt>
                <c:pt idx="43">
                  <c:v>1</c:v>
                </c:pt>
                <c:pt idx="44">
                  <c:v>5</c:v>
                </c:pt>
                <c:pt idx="45">
                  <c:v>1</c:v>
                </c:pt>
                <c:pt idx="46">
                  <c:v>2</c:v>
                </c:pt>
                <c:pt idx="47">
                  <c:v>4</c:v>
                </c:pt>
                <c:pt idx="49">
                  <c:v>1</c:v>
                </c:pt>
              </c:numCache>
            </c:numRef>
          </c:val>
          <c:extLst>
            <c:ext xmlns:c16="http://schemas.microsoft.com/office/drawing/2014/chart" uri="{C3380CC4-5D6E-409C-BE32-E72D297353CC}">
              <c16:uniqueId val="{0000003F-E387-4D23-896C-934CEE14ECBC}"/>
            </c:ext>
          </c:extLst>
        </c:ser>
        <c:ser>
          <c:idx val="4"/>
          <c:order val="4"/>
          <c:tx>
            <c:strRef>
              <c:f>'Pivot '!$F$3:$F$4</c:f>
              <c:strCache>
                <c:ptCount val="1"/>
                <c:pt idx="0">
                  <c:v>Sports</c:v>
                </c:pt>
              </c:strCache>
            </c:strRef>
          </c:tx>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cat>
            <c:strRef>
              <c:f>'Pivot '!$A$5:$A$55</c:f>
              <c:strCache>
                <c:ptCount val="50"/>
                <c:pt idx="0">
                  <c:v>Alabama</c:v>
                </c:pt>
                <c:pt idx="1">
                  <c:v>Alaska</c:v>
                </c:pt>
                <c:pt idx="2">
                  <c:v>Arizona</c:v>
                </c:pt>
                <c:pt idx="3">
                  <c:v>Arkansas</c:v>
                </c:pt>
                <c:pt idx="4">
                  <c:v>California</c:v>
                </c:pt>
                <c:pt idx="5">
                  <c:v>Colorado</c:v>
                </c:pt>
                <c:pt idx="6">
                  <c:v>Connecticut</c:v>
                </c:pt>
                <c:pt idx="7">
                  <c:v>Delaware</c:v>
                </c:pt>
                <c:pt idx="8">
                  <c:v>Florida</c:v>
                </c:pt>
                <c:pt idx="9">
                  <c:v>Georgia</c:v>
                </c:pt>
                <c:pt idx="10">
                  <c:v>Hawaii</c:v>
                </c:pt>
                <c:pt idx="11">
                  <c:v>Idaho</c:v>
                </c:pt>
                <c:pt idx="12">
                  <c:v>Illinois</c:v>
                </c:pt>
                <c:pt idx="13">
                  <c:v>Indiana</c:v>
                </c:pt>
                <c:pt idx="14">
                  <c:v>Iowa</c:v>
                </c:pt>
                <c:pt idx="15">
                  <c:v>Kansas</c:v>
                </c:pt>
                <c:pt idx="16">
                  <c:v>Kentucky</c:v>
                </c:pt>
                <c:pt idx="17">
                  <c:v>Louisiana</c:v>
                </c:pt>
                <c:pt idx="18">
                  <c:v>Maine</c:v>
                </c:pt>
                <c:pt idx="19">
                  <c:v>Maryland</c:v>
                </c:pt>
                <c:pt idx="20">
                  <c:v>Massachusetts</c:v>
                </c:pt>
                <c:pt idx="21">
                  <c:v>Michigan</c:v>
                </c:pt>
                <c:pt idx="22">
                  <c:v>Minnesota</c:v>
                </c:pt>
                <c:pt idx="23">
                  <c:v>Mississippi</c:v>
                </c:pt>
                <c:pt idx="24">
                  <c:v>Missouri</c:v>
                </c:pt>
                <c:pt idx="25">
                  <c:v>Montana</c:v>
                </c:pt>
                <c:pt idx="26">
                  <c:v>Nebraska</c:v>
                </c:pt>
                <c:pt idx="27">
                  <c:v>Nevada</c:v>
                </c:pt>
                <c:pt idx="28">
                  <c:v>New Hampshire</c:v>
                </c:pt>
                <c:pt idx="29">
                  <c:v>New Jersey</c:v>
                </c:pt>
                <c:pt idx="30">
                  <c:v>New Mexico</c:v>
                </c:pt>
                <c:pt idx="31">
                  <c:v>New York</c:v>
                </c:pt>
                <c:pt idx="32">
                  <c:v>North Carolina</c:v>
                </c:pt>
                <c:pt idx="33">
                  <c:v>North Dakota</c:v>
                </c:pt>
                <c:pt idx="34">
                  <c:v>Ohio</c:v>
                </c:pt>
                <c:pt idx="35">
                  <c:v>Oklahoma</c:v>
                </c:pt>
                <c:pt idx="36">
                  <c:v>Oregon</c:v>
                </c:pt>
                <c:pt idx="37">
                  <c:v>Pennsylvania</c:v>
                </c:pt>
                <c:pt idx="38">
                  <c:v>Rhode Island</c:v>
                </c:pt>
                <c:pt idx="39">
                  <c:v>South Carolina</c:v>
                </c:pt>
                <c:pt idx="40">
                  <c:v>South Dakota</c:v>
                </c:pt>
                <c:pt idx="41">
                  <c:v>Tennessee</c:v>
                </c:pt>
                <c:pt idx="42">
                  <c:v>Texas</c:v>
                </c:pt>
                <c:pt idx="43">
                  <c:v>Utah</c:v>
                </c:pt>
                <c:pt idx="44">
                  <c:v>Vermont</c:v>
                </c:pt>
                <c:pt idx="45">
                  <c:v>Virginia</c:v>
                </c:pt>
                <c:pt idx="46">
                  <c:v>Washington</c:v>
                </c:pt>
                <c:pt idx="47">
                  <c:v>West Virginia</c:v>
                </c:pt>
                <c:pt idx="48">
                  <c:v>Wisconsin</c:v>
                </c:pt>
                <c:pt idx="49">
                  <c:v>Wyoming</c:v>
                </c:pt>
              </c:strCache>
            </c:strRef>
          </c:cat>
          <c:val>
            <c:numRef>
              <c:f>'Pivot '!$F$5:$F$55</c:f>
              <c:numCache>
                <c:formatCode>0</c:formatCode>
                <c:ptCount val="50"/>
                <c:pt idx="0">
                  <c:v>2</c:v>
                </c:pt>
                <c:pt idx="1">
                  <c:v>5</c:v>
                </c:pt>
                <c:pt idx="2">
                  <c:v>5</c:v>
                </c:pt>
                <c:pt idx="3">
                  <c:v>4</c:v>
                </c:pt>
                <c:pt idx="4">
                  <c:v>3</c:v>
                </c:pt>
                <c:pt idx="5">
                  <c:v>1</c:v>
                </c:pt>
                <c:pt idx="6">
                  <c:v>4</c:v>
                </c:pt>
                <c:pt idx="7">
                  <c:v>2</c:v>
                </c:pt>
                <c:pt idx="8">
                  <c:v>2</c:v>
                </c:pt>
                <c:pt idx="9">
                  <c:v>2</c:v>
                </c:pt>
                <c:pt idx="12">
                  <c:v>3</c:v>
                </c:pt>
                <c:pt idx="13">
                  <c:v>1</c:v>
                </c:pt>
                <c:pt idx="14">
                  <c:v>4</c:v>
                </c:pt>
                <c:pt idx="15">
                  <c:v>3</c:v>
                </c:pt>
                <c:pt idx="17">
                  <c:v>6</c:v>
                </c:pt>
                <c:pt idx="18">
                  <c:v>2</c:v>
                </c:pt>
                <c:pt idx="19">
                  <c:v>2</c:v>
                </c:pt>
                <c:pt idx="21">
                  <c:v>3</c:v>
                </c:pt>
                <c:pt idx="22">
                  <c:v>3</c:v>
                </c:pt>
                <c:pt idx="23">
                  <c:v>1</c:v>
                </c:pt>
                <c:pt idx="24">
                  <c:v>2</c:v>
                </c:pt>
                <c:pt idx="25">
                  <c:v>4</c:v>
                </c:pt>
                <c:pt idx="27">
                  <c:v>3</c:v>
                </c:pt>
                <c:pt idx="28">
                  <c:v>2</c:v>
                </c:pt>
                <c:pt idx="29">
                  <c:v>3</c:v>
                </c:pt>
                <c:pt idx="31">
                  <c:v>3</c:v>
                </c:pt>
                <c:pt idx="32">
                  <c:v>2</c:v>
                </c:pt>
                <c:pt idx="33">
                  <c:v>2</c:v>
                </c:pt>
                <c:pt idx="34">
                  <c:v>2</c:v>
                </c:pt>
                <c:pt idx="35">
                  <c:v>4</c:v>
                </c:pt>
                <c:pt idx="36">
                  <c:v>2</c:v>
                </c:pt>
                <c:pt idx="37">
                  <c:v>5</c:v>
                </c:pt>
                <c:pt idx="38">
                  <c:v>3</c:v>
                </c:pt>
                <c:pt idx="39">
                  <c:v>3</c:v>
                </c:pt>
                <c:pt idx="40">
                  <c:v>3</c:v>
                </c:pt>
                <c:pt idx="41">
                  <c:v>1</c:v>
                </c:pt>
                <c:pt idx="42">
                  <c:v>3</c:v>
                </c:pt>
                <c:pt idx="43">
                  <c:v>4</c:v>
                </c:pt>
                <c:pt idx="44">
                  <c:v>4</c:v>
                </c:pt>
                <c:pt idx="45">
                  <c:v>5</c:v>
                </c:pt>
                <c:pt idx="46">
                  <c:v>3</c:v>
                </c:pt>
                <c:pt idx="47">
                  <c:v>1</c:v>
                </c:pt>
                <c:pt idx="48">
                  <c:v>4</c:v>
                </c:pt>
                <c:pt idx="49">
                  <c:v>3</c:v>
                </c:pt>
              </c:numCache>
            </c:numRef>
          </c:val>
          <c:extLst>
            <c:ext xmlns:c16="http://schemas.microsoft.com/office/drawing/2014/chart" uri="{C3380CC4-5D6E-409C-BE32-E72D297353CC}">
              <c16:uniqueId val="{00000040-E387-4D23-896C-934CEE14ECBC}"/>
            </c:ext>
          </c:extLst>
        </c:ser>
        <c:dLbls>
          <c:showLegendKey val="0"/>
          <c:showVal val="0"/>
          <c:showCatName val="0"/>
          <c:showSerName val="0"/>
          <c:showPercent val="0"/>
          <c:showBubbleSize val="0"/>
        </c:dLbls>
        <c:axId val="968780239"/>
        <c:axId val="968788879"/>
      </c:areaChart>
      <c:catAx>
        <c:axId val="96878023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68788879"/>
        <c:crosses val="autoZero"/>
        <c:auto val="1"/>
        <c:lblAlgn val="ctr"/>
        <c:lblOffset val="100"/>
        <c:noMultiLvlLbl val="0"/>
      </c:catAx>
      <c:valAx>
        <c:axId val="968788879"/>
        <c:scaling>
          <c:orientation val="minMax"/>
        </c:scaling>
        <c:delete val="0"/>
        <c:axPos val="l"/>
        <c:majorGridlines>
          <c:spPr>
            <a:ln w="9525" cap="flat" cmpd="sng" algn="ctr">
              <a:solidFill>
                <a:schemeClr val="dk1">
                  <a:lumMod val="50000"/>
                  <a:lumOff val="50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68780239"/>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data.xlsx]Pivot !Region wise gender report</c:name>
    <c:fmtId val="0"/>
  </c:pivotSource>
  <c:chart>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'!$B$106:$B$107</c:f>
              <c:strCache>
                <c:ptCount val="1"/>
                <c:pt idx="0">
                  <c:v>Female</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'Pivot '!$A$108:$A$112</c:f>
              <c:strCache>
                <c:ptCount val="4"/>
                <c:pt idx="0">
                  <c:v>East</c:v>
                </c:pt>
                <c:pt idx="1">
                  <c:v>North</c:v>
                </c:pt>
                <c:pt idx="2">
                  <c:v>South</c:v>
                </c:pt>
                <c:pt idx="3">
                  <c:v>West</c:v>
                </c:pt>
              </c:strCache>
            </c:strRef>
          </c:cat>
          <c:val>
            <c:numRef>
              <c:f>'Pivot '!$B$108:$B$112</c:f>
              <c:numCache>
                <c:formatCode>0.00</c:formatCode>
                <c:ptCount val="4"/>
                <c:pt idx="0">
                  <c:v>1177.6190476190477</c:v>
                </c:pt>
                <c:pt idx="1">
                  <c:v>1120.3959731543623</c:v>
                </c:pt>
                <c:pt idx="2">
                  <c:v>1469.840579710145</c:v>
                </c:pt>
                <c:pt idx="3">
                  <c:v>1306.5999999999999</c:v>
                </c:pt>
              </c:numCache>
            </c:numRef>
          </c:val>
          <c:extLst>
            <c:ext xmlns:c16="http://schemas.microsoft.com/office/drawing/2014/chart" uri="{C3380CC4-5D6E-409C-BE32-E72D297353CC}">
              <c16:uniqueId val="{00000000-07A1-4AB4-B453-28049DAE77D7}"/>
            </c:ext>
          </c:extLst>
        </c:ser>
        <c:ser>
          <c:idx val="1"/>
          <c:order val="1"/>
          <c:tx>
            <c:strRef>
              <c:f>'Pivot '!$C$106:$C$107</c:f>
              <c:strCache>
                <c:ptCount val="1"/>
                <c:pt idx="0">
                  <c:v>Male</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'Pivot '!$A$108:$A$112</c:f>
              <c:strCache>
                <c:ptCount val="4"/>
                <c:pt idx="0">
                  <c:v>East</c:v>
                </c:pt>
                <c:pt idx="1">
                  <c:v>North</c:v>
                </c:pt>
                <c:pt idx="2">
                  <c:v>South</c:v>
                </c:pt>
                <c:pt idx="3">
                  <c:v>West</c:v>
                </c:pt>
              </c:strCache>
            </c:strRef>
          </c:cat>
          <c:val>
            <c:numRef>
              <c:f>'Pivot '!$C$108:$C$112</c:f>
              <c:numCache>
                <c:formatCode>0.00</c:formatCode>
                <c:ptCount val="4"/>
                <c:pt idx="0">
                  <c:v>1125.8928571428571</c:v>
                </c:pt>
                <c:pt idx="1">
                  <c:v>1091.1360544217687</c:v>
                </c:pt>
                <c:pt idx="2">
                  <c:v>960.30769230769226</c:v>
                </c:pt>
                <c:pt idx="3">
                  <c:v>997.21052631578948</c:v>
                </c:pt>
              </c:numCache>
            </c:numRef>
          </c:val>
          <c:extLst>
            <c:ext xmlns:c16="http://schemas.microsoft.com/office/drawing/2014/chart" uri="{C3380CC4-5D6E-409C-BE32-E72D297353CC}">
              <c16:uniqueId val="{00000001-07A1-4AB4-B453-28049DAE77D7}"/>
            </c:ext>
          </c:extLst>
        </c:ser>
        <c:dLbls>
          <c:showLegendKey val="0"/>
          <c:showVal val="0"/>
          <c:showCatName val="0"/>
          <c:showSerName val="0"/>
          <c:showPercent val="0"/>
          <c:showBubbleSize val="0"/>
        </c:dLbls>
        <c:gapWidth val="150"/>
        <c:shape val="box"/>
        <c:axId val="511830495"/>
        <c:axId val="511838175"/>
        <c:axId val="0"/>
      </c:bar3DChart>
      <c:catAx>
        <c:axId val="51183049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11838175"/>
        <c:crosses val="autoZero"/>
        <c:auto val="1"/>
        <c:lblAlgn val="ctr"/>
        <c:lblOffset val="100"/>
        <c:noMultiLvlLbl val="0"/>
      </c:catAx>
      <c:valAx>
        <c:axId val="511838175"/>
        <c:scaling>
          <c:orientation val="minMax"/>
        </c:scaling>
        <c:delete val="0"/>
        <c:axPos val="l"/>
        <c:majorGridlines>
          <c:spPr>
            <a:ln w="9525" cap="flat" cmpd="sng" algn="ctr">
              <a:solidFill>
                <a:schemeClr val="dk1">
                  <a:lumMod val="50000"/>
                  <a:lumOff val="50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118304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data.xlsx]Pivot !Mode of Payment</c:name>
    <c:fmtId val="4"/>
  </c:pivotSource>
  <c:chart>
    <c:autoTitleDeleted val="0"/>
    <c:pivotFmts>
      <c:pivotFmt>
        <c:idx val="0"/>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2225" cap="rnd">
            <a:solidFill>
              <a:schemeClr val="accent1"/>
            </a:solidFill>
          </a:ln>
          <a:effectLst>
            <a:glow rad="139700">
              <a:schemeClr val="accent1">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2225" cap="rnd">
            <a:solidFill>
              <a:schemeClr val="accent1"/>
            </a:solidFill>
          </a:ln>
          <a:effectLst>
            <a:glow rad="139700">
              <a:schemeClr val="accent1">
                <a:satMod val="175000"/>
                <a:alpha val="14000"/>
              </a:schemeClr>
            </a:glow>
          </a:effectLst>
        </c:spPr>
        <c:marker>
          <c:symbol val="circle"/>
          <c:size val="4"/>
          <c:spPr>
            <a:solidFill>
              <a:schemeClr val="accent3">
                <a:lumMod val="60000"/>
                <a:lumOff val="40000"/>
              </a:schemeClr>
            </a:solidFill>
            <a:ln>
              <a:noFill/>
            </a:ln>
            <a:effectLst>
              <a:glow rad="63500">
                <a:schemeClr val="accent3">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'!$B$119:$B$120</c:f>
              <c:strCache>
                <c:ptCount val="1"/>
                <c:pt idx="0">
                  <c:v>COD</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cat>
            <c:strRef>
              <c:f>'Pivot '!$A$121:$A$133</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 '!$B$121:$B$133</c:f>
              <c:numCache>
                <c:formatCode>General</c:formatCode>
                <c:ptCount val="12"/>
                <c:pt idx="0">
                  <c:v>9450</c:v>
                </c:pt>
                <c:pt idx="1">
                  <c:v>5182</c:v>
                </c:pt>
                <c:pt idx="2">
                  <c:v>16377</c:v>
                </c:pt>
                <c:pt idx="3">
                  <c:v>7272</c:v>
                </c:pt>
                <c:pt idx="4">
                  <c:v>11562</c:v>
                </c:pt>
                <c:pt idx="5">
                  <c:v>15818</c:v>
                </c:pt>
                <c:pt idx="6">
                  <c:v>20345</c:v>
                </c:pt>
                <c:pt idx="7">
                  <c:v>21986</c:v>
                </c:pt>
                <c:pt idx="8">
                  <c:v>20922</c:v>
                </c:pt>
                <c:pt idx="9">
                  <c:v>13502</c:v>
                </c:pt>
                <c:pt idx="10">
                  <c:v>9506</c:v>
                </c:pt>
                <c:pt idx="11">
                  <c:v>17935</c:v>
                </c:pt>
              </c:numCache>
            </c:numRef>
          </c:val>
          <c:smooth val="0"/>
          <c:extLst>
            <c:ext xmlns:c16="http://schemas.microsoft.com/office/drawing/2014/chart" uri="{C3380CC4-5D6E-409C-BE32-E72D297353CC}">
              <c16:uniqueId val="{00000000-6417-4909-B3AE-4E0CFAE41392}"/>
            </c:ext>
          </c:extLst>
        </c:ser>
        <c:ser>
          <c:idx val="1"/>
          <c:order val="1"/>
          <c:tx>
            <c:strRef>
              <c:f>'Pivot '!$C$119:$C$120</c:f>
              <c:strCache>
                <c:ptCount val="1"/>
                <c:pt idx="0">
                  <c:v>Credit Card</c:v>
                </c:pt>
              </c:strCache>
            </c:strRef>
          </c:tx>
          <c:spPr>
            <a:ln w="22225" cap="rnd">
              <a:solidFill>
                <a:schemeClr val="accent2"/>
              </a:solidFill>
            </a:ln>
            <a:effectLst>
              <a:glow rad="139700">
                <a:schemeClr val="accent2">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cat>
            <c:strRef>
              <c:f>'Pivot '!$A$121:$A$133</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 '!$C$121:$C$133</c:f>
              <c:numCache>
                <c:formatCode>General</c:formatCode>
                <c:ptCount val="12"/>
                <c:pt idx="0">
                  <c:v>18690</c:v>
                </c:pt>
                <c:pt idx="1">
                  <c:v>21063</c:v>
                </c:pt>
                <c:pt idx="2">
                  <c:v>11967</c:v>
                </c:pt>
                <c:pt idx="3">
                  <c:v>22450</c:v>
                </c:pt>
                <c:pt idx="4">
                  <c:v>15535</c:v>
                </c:pt>
                <c:pt idx="5">
                  <c:v>13406</c:v>
                </c:pt>
                <c:pt idx="6">
                  <c:v>12202</c:v>
                </c:pt>
                <c:pt idx="7">
                  <c:v>15154</c:v>
                </c:pt>
                <c:pt idx="8">
                  <c:v>17000</c:v>
                </c:pt>
                <c:pt idx="9">
                  <c:v>17602</c:v>
                </c:pt>
                <c:pt idx="10">
                  <c:v>19037</c:v>
                </c:pt>
                <c:pt idx="11">
                  <c:v>14002</c:v>
                </c:pt>
              </c:numCache>
            </c:numRef>
          </c:val>
          <c:smooth val="0"/>
          <c:extLst>
            <c:ext xmlns:c16="http://schemas.microsoft.com/office/drawing/2014/chart" uri="{C3380CC4-5D6E-409C-BE32-E72D297353CC}">
              <c16:uniqueId val="{00000000-F3B7-437D-844D-4014C32507AC}"/>
            </c:ext>
          </c:extLst>
        </c:ser>
        <c:ser>
          <c:idx val="2"/>
          <c:order val="2"/>
          <c:tx>
            <c:strRef>
              <c:f>'Pivot '!$D$119:$D$120</c:f>
              <c:strCache>
                <c:ptCount val="1"/>
                <c:pt idx="0">
                  <c:v>PayPal</c:v>
                </c:pt>
              </c:strCache>
            </c:strRef>
          </c:tx>
          <c:spPr>
            <a:ln w="22225" cap="rnd">
              <a:solidFill>
                <a:schemeClr val="accent3"/>
              </a:solidFill>
            </a:ln>
            <a:effectLst>
              <a:glow rad="139700">
                <a:schemeClr val="accent3">
                  <a:satMod val="175000"/>
                  <a:alpha val="14000"/>
                </a:schemeClr>
              </a:glow>
            </a:effectLst>
          </c:spPr>
          <c:marker>
            <c:symbol val="circle"/>
            <c:size val="4"/>
            <c:spPr>
              <a:solidFill>
                <a:schemeClr val="accent3">
                  <a:lumMod val="60000"/>
                  <a:lumOff val="40000"/>
                </a:schemeClr>
              </a:solidFill>
              <a:ln>
                <a:noFill/>
              </a:ln>
              <a:effectLst>
                <a:glow rad="63500">
                  <a:schemeClr val="accent3">
                    <a:satMod val="175000"/>
                    <a:alpha val="25000"/>
                  </a:schemeClr>
                </a:glow>
              </a:effectLst>
            </c:spPr>
          </c:marker>
          <c:cat>
            <c:strRef>
              <c:f>'Pivot '!$A$121:$A$133</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 '!$D$121:$D$133</c:f>
              <c:numCache>
                <c:formatCode>General</c:formatCode>
                <c:ptCount val="12"/>
                <c:pt idx="0">
                  <c:v>22842</c:v>
                </c:pt>
                <c:pt idx="1">
                  <c:v>11677</c:v>
                </c:pt>
                <c:pt idx="2">
                  <c:v>11766</c:v>
                </c:pt>
                <c:pt idx="3">
                  <c:v>20456</c:v>
                </c:pt>
                <c:pt idx="4">
                  <c:v>19133</c:v>
                </c:pt>
                <c:pt idx="5">
                  <c:v>6825</c:v>
                </c:pt>
                <c:pt idx="6">
                  <c:v>15274</c:v>
                </c:pt>
                <c:pt idx="7">
                  <c:v>14969</c:v>
                </c:pt>
                <c:pt idx="8">
                  <c:v>19589</c:v>
                </c:pt>
                <c:pt idx="9">
                  <c:v>17862</c:v>
                </c:pt>
                <c:pt idx="10">
                  <c:v>17485</c:v>
                </c:pt>
                <c:pt idx="11">
                  <c:v>21698</c:v>
                </c:pt>
              </c:numCache>
            </c:numRef>
          </c:val>
          <c:smooth val="0"/>
          <c:extLst>
            <c:ext xmlns:c16="http://schemas.microsoft.com/office/drawing/2014/chart" uri="{C3380CC4-5D6E-409C-BE32-E72D297353CC}">
              <c16:uniqueId val="{00000001-F3B7-437D-844D-4014C32507AC}"/>
            </c:ext>
          </c:extLst>
        </c:ser>
        <c:dLbls>
          <c:showLegendKey val="0"/>
          <c:showVal val="0"/>
          <c:showCatName val="0"/>
          <c:showSerName val="0"/>
          <c:showPercent val="0"/>
          <c:showBubbleSize val="0"/>
        </c:dLbls>
        <c:marker val="1"/>
        <c:smooth val="0"/>
        <c:axId val="983089231"/>
        <c:axId val="983087791"/>
      </c:lineChart>
      <c:catAx>
        <c:axId val="983089231"/>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983087791"/>
        <c:crosses val="autoZero"/>
        <c:auto val="1"/>
        <c:lblAlgn val="ctr"/>
        <c:lblOffset val="100"/>
        <c:noMultiLvlLbl val="0"/>
      </c:catAx>
      <c:valAx>
        <c:axId val="983087791"/>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9830892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data.xlsx]Pivot !Month wise report</c:name>
    <c:fmtId val="9"/>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Product Category Report</a:t>
            </a:r>
          </a:p>
        </c:rich>
      </c:tx>
      <c:layout>
        <c:manualLayout>
          <c:xMode val="edge"/>
          <c:yMode val="edge"/>
          <c:x val="0.22714926544062736"/>
          <c:y val="2.5710566788809511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8.3634003991361797E-2"/>
          <c:y val="0.15513679758159715"/>
          <c:w val="0.86806844648627368"/>
          <c:h val="0.55807432513997846"/>
        </c:manualLayout>
      </c:layout>
      <c:bar3DChart>
        <c:barDir val="col"/>
        <c:grouping val="clustered"/>
        <c:varyColors val="0"/>
        <c:ser>
          <c:idx val="0"/>
          <c:order val="0"/>
          <c:tx>
            <c:strRef>
              <c:f>'Pivot '!$B$70:$B$71</c:f>
              <c:strCache>
                <c:ptCount val="1"/>
                <c:pt idx="0">
                  <c:v>Beauty</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'Pivot '!$A$72:$A$84</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 '!$B$72:$B$84</c:f>
              <c:numCache>
                <c:formatCode>General</c:formatCode>
                <c:ptCount val="12"/>
                <c:pt idx="0">
                  <c:v>7</c:v>
                </c:pt>
                <c:pt idx="1">
                  <c:v>5</c:v>
                </c:pt>
                <c:pt idx="2">
                  <c:v>7</c:v>
                </c:pt>
                <c:pt idx="3">
                  <c:v>7</c:v>
                </c:pt>
                <c:pt idx="4">
                  <c:v>9</c:v>
                </c:pt>
                <c:pt idx="5">
                  <c:v>4</c:v>
                </c:pt>
                <c:pt idx="6">
                  <c:v>13</c:v>
                </c:pt>
                <c:pt idx="7">
                  <c:v>5</c:v>
                </c:pt>
                <c:pt idx="8">
                  <c:v>4</c:v>
                </c:pt>
                <c:pt idx="9">
                  <c:v>6</c:v>
                </c:pt>
                <c:pt idx="10">
                  <c:v>9</c:v>
                </c:pt>
                <c:pt idx="11">
                  <c:v>10</c:v>
                </c:pt>
              </c:numCache>
            </c:numRef>
          </c:val>
          <c:extLst>
            <c:ext xmlns:c16="http://schemas.microsoft.com/office/drawing/2014/chart" uri="{C3380CC4-5D6E-409C-BE32-E72D297353CC}">
              <c16:uniqueId val="{00000000-D786-4139-8EB9-9B571B7D8642}"/>
            </c:ext>
          </c:extLst>
        </c:ser>
        <c:ser>
          <c:idx val="1"/>
          <c:order val="1"/>
          <c:tx>
            <c:strRef>
              <c:f>'Pivot '!$C$70:$C$71</c:f>
              <c:strCache>
                <c:ptCount val="1"/>
                <c:pt idx="0">
                  <c:v>Clothing</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'Pivot '!$A$72:$A$84</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 '!$C$72:$C$84</c:f>
              <c:numCache>
                <c:formatCode>General</c:formatCode>
                <c:ptCount val="12"/>
                <c:pt idx="0">
                  <c:v>4</c:v>
                </c:pt>
                <c:pt idx="1">
                  <c:v>7</c:v>
                </c:pt>
                <c:pt idx="2">
                  <c:v>5</c:v>
                </c:pt>
                <c:pt idx="3">
                  <c:v>6</c:v>
                </c:pt>
                <c:pt idx="4">
                  <c:v>3</c:v>
                </c:pt>
                <c:pt idx="5">
                  <c:v>7</c:v>
                </c:pt>
                <c:pt idx="6">
                  <c:v>3</c:v>
                </c:pt>
                <c:pt idx="7">
                  <c:v>4</c:v>
                </c:pt>
                <c:pt idx="8">
                  <c:v>10</c:v>
                </c:pt>
                <c:pt idx="9">
                  <c:v>6</c:v>
                </c:pt>
                <c:pt idx="10">
                  <c:v>6</c:v>
                </c:pt>
                <c:pt idx="11">
                  <c:v>7</c:v>
                </c:pt>
              </c:numCache>
            </c:numRef>
          </c:val>
          <c:extLst>
            <c:ext xmlns:c16="http://schemas.microsoft.com/office/drawing/2014/chart" uri="{C3380CC4-5D6E-409C-BE32-E72D297353CC}">
              <c16:uniqueId val="{00000001-D786-4139-8EB9-9B571B7D8642}"/>
            </c:ext>
          </c:extLst>
        </c:ser>
        <c:ser>
          <c:idx val="2"/>
          <c:order val="2"/>
          <c:tx>
            <c:strRef>
              <c:f>'Pivot '!$D$70:$D$71</c:f>
              <c:strCache>
                <c:ptCount val="1"/>
                <c:pt idx="0">
                  <c:v>Electronics</c:v>
                </c:pt>
              </c:strCache>
            </c:strRef>
          </c:tx>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'Pivot '!$A$72:$A$84</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 '!$D$72:$D$84</c:f>
              <c:numCache>
                <c:formatCode>General</c:formatCode>
                <c:ptCount val="12"/>
                <c:pt idx="0">
                  <c:v>16</c:v>
                </c:pt>
                <c:pt idx="1">
                  <c:v>8</c:v>
                </c:pt>
                <c:pt idx="2">
                  <c:v>7</c:v>
                </c:pt>
                <c:pt idx="3">
                  <c:v>9</c:v>
                </c:pt>
                <c:pt idx="4">
                  <c:v>10</c:v>
                </c:pt>
                <c:pt idx="5">
                  <c:v>13</c:v>
                </c:pt>
                <c:pt idx="6">
                  <c:v>8</c:v>
                </c:pt>
                <c:pt idx="7">
                  <c:v>8</c:v>
                </c:pt>
                <c:pt idx="8">
                  <c:v>13</c:v>
                </c:pt>
                <c:pt idx="9">
                  <c:v>9</c:v>
                </c:pt>
                <c:pt idx="10">
                  <c:v>9</c:v>
                </c:pt>
                <c:pt idx="11">
                  <c:v>5</c:v>
                </c:pt>
              </c:numCache>
            </c:numRef>
          </c:val>
          <c:extLst>
            <c:ext xmlns:c16="http://schemas.microsoft.com/office/drawing/2014/chart" uri="{C3380CC4-5D6E-409C-BE32-E72D297353CC}">
              <c16:uniqueId val="{00000002-D786-4139-8EB9-9B571B7D8642}"/>
            </c:ext>
          </c:extLst>
        </c:ser>
        <c:ser>
          <c:idx val="3"/>
          <c:order val="3"/>
          <c:tx>
            <c:strRef>
              <c:f>'Pivot '!$E$70:$E$71</c:f>
              <c:strCache>
                <c:ptCount val="1"/>
                <c:pt idx="0">
                  <c:v>Home</c:v>
                </c:pt>
              </c:strCache>
            </c:strRef>
          </c:tx>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'Pivot '!$A$72:$A$84</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 '!$E$72:$E$84</c:f>
              <c:numCache>
                <c:formatCode>General</c:formatCode>
                <c:ptCount val="12"/>
                <c:pt idx="0">
                  <c:v>6</c:v>
                </c:pt>
                <c:pt idx="1">
                  <c:v>12</c:v>
                </c:pt>
                <c:pt idx="2">
                  <c:v>2</c:v>
                </c:pt>
                <c:pt idx="3">
                  <c:v>8</c:v>
                </c:pt>
                <c:pt idx="4">
                  <c:v>5</c:v>
                </c:pt>
                <c:pt idx="5">
                  <c:v>9</c:v>
                </c:pt>
                <c:pt idx="6">
                  <c:v>6</c:v>
                </c:pt>
                <c:pt idx="7">
                  <c:v>6</c:v>
                </c:pt>
                <c:pt idx="8">
                  <c:v>8</c:v>
                </c:pt>
                <c:pt idx="9">
                  <c:v>12</c:v>
                </c:pt>
                <c:pt idx="10">
                  <c:v>10</c:v>
                </c:pt>
                <c:pt idx="11">
                  <c:v>10</c:v>
                </c:pt>
              </c:numCache>
            </c:numRef>
          </c:val>
          <c:extLst>
            <c:ext xmlns:c16="http://schemas.microsoft.com/office/drawing/2014/chart" uri="{C3380CC4-5D6E-409C-BE32-E72D297353CC}">
              <c16:uniqueId val="{00000003-D786-4139-8EB9-9B571B7D8642}"/>
            </c:ext>
          </c:extLst>
        </c:ser>
        <c:ser>
          <c:idx val="4"/>
          <c:order val="4"/>
          <c:tx>
            <c:strRef>
              <c:f>'Pivot '!$F$70:$F$71</c:f>
              <c:strCache>
                <c:ptCount val="1"/>
                <c:pt idx="0">
                  <c:v>Sports</c:v>
                </c:pt>
              </c:strCache>
            </c:strRef>
          </c:tx>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'Pivot '!$A$72:$A$84</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 '!$F$72:$F$84</c:f>
              <c:numCache>
                <c:formatCode>General</c:formatCode>
                <c:ptCount val="12"/>
                <c:pt idx="0">
                  <c:v>10</c:v>
                </c:pt>
                <c:pt idx="1">
                  <c:v>8</c:v>
                </c:pt>
                <c:pt idx="2">
                  <c:v>7</c:v>
                </c:pt>
                <c:pt idx="3">
                  <c:v>7</c:v>
                </c:pt>
                <c:pt idx="4">
                  <c:v>14</c:v>
                </c:pt>
                <c:pt idx="5">
                  <c:v>8</c:v>
                </c:pt>
                <c:pt idx="6">
                  <c:v>17</c:v>
                </c:pt>
                <c:pt idx="7">
                  <c:v>15</c:v>
                </c:pt>
                <c:pt idx="8">
                  <c:v>13</c:v>
                </c:pt>
                <c:pt idx="9">
                  <c:v>7</c:v>
                </c:pt>
                <c:pt idx="10">
                  <c:v>12</c:v>
                </c:pt>
                <c:pt idx="11">
                  <c:v>11</c:v>
                </c:pt>
              </c:numCache>
            </c:numRef>
          </c:val>
          <c:extLst>
            <c:ext xmlns:c16="http://schemas.microsoft.com/office/drawing/2014/chart" uri="{C3380CC4-5D6E-409C-BE32-E72D297353CC}">
              <c16:uniqueId val="{00000004-D786-4139-8EB9-9B571B7D8642}"/>
            </c:ext>
          </c:extLst>
        </c:ser>
        <c:dLbls>
          <c:showLegendKey val="0"/>
          <c:showVal val="0"/>
          <c:showCatName val="0"/>
          <c:showSerName val="0"/>
          <c:showPercent val="0"/>
          <c:showBubbleSize val="0"/>
        </c:dLbls>
        <c:gapWidth val="150"/>
        <c:shape val="box"/>
        <c:axId val="593786927"/>
        <c:axId val="593792207"/>
        <c:axId val="0"/>
      </c:bar3DChart>
      <c:catAx>
        <c:axId val="59378692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93792207"/>
        <c:crosses val="autoZero"/>
        <c:auto val="1"/>
        <c:lblAlgn val="ctr"/>
        <c:lblOffset val="100"/>
        <c:noMultiLvlLbl val="0"/>
      </c:catAx>
      <c:valAx>
        <c:axId val="59379220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937869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data.xlsx]Pivot !Region wise report</c:name>
    <c:fmtId val="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Category Final Revenue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pivotFmt>
      <c:pivotFmt>
        <c:idx val="6"/>
      </c:pivotFmt>
      <c:pivotFmt>
        <c:idx val="7"/>
      </c:pivotFmt>
      <c:pivotFmt>
        <c:idx val="8"/>
      </c:pivotFmt>
      <c:pivotFmt>
        <c:idx val="9"/>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pivotFmt>
      <c:pivotFmt>
        <c:idx val="12"/>
      </c:pivotFmt>
      <c:pivotFmt>
        <c:idx val="13"/>
      </c:pivotFmt>
      <c:pivotFmt>
        <c:idx val="14"/>
      </c:pivotFmt>
      <c:pivotFmt>
        <c:idx val="15"/>
      </c:pivotFmt>
      <c:pivotFmt>
        <c:idx val="16"/>
        <c:dLbl>
          <c:idx val="0"/>
          <c:showLegendKey val="0"/>
          <c:showVal val="0"/>
          <c:showCatName val="0"/>
          <c:showSerName val="0"/>
          <c:showPercent val="0"/>
          <c:showBubbleSize val="0"/>
          <c:extLst>
            <c:ext xmlns:c15="http://schemas.microsoft.com/office/drawing/2012/chart" uri="{CE6537A1-D6FC-4f65-9D91-7224C49458BB}"/>
          </c:extLst>
        </c:dLbl>
      </c:pivotFmt>
      <c:pivotFmt>
        <c:idx val="17"/>
      </c:pivotFmt>
      <c:pivotFmt>
        <c:idx val="18"/>
      </c:pivotFmt>
      <c:pivotFmt>
        <c:idx val="19"/>
      </c:pivotFmt>
      <c:pivotFmt>
        <c:idx val="20"/>
      </c:pivotFmt>
      <c:pivotFmt>
        <c:idx val="21"/>
      </c:pivotFmt>
      <c:pivotFmt>
        <c:idx val="22"/>
        <c:dLbl>
          <c:idx val="0"/>
          <c:showLegendKey val="0"/>
          <c:showVal val="0"/>
          <c:showCatName val="0"/>
          <c:showSerName val="0"/>
          <c:showPercent val="0"/>
          <c:showBubbleSize val="0"/>
          <c:extLst>
            <c:ext xmlns:c15="http://schemas.microsoft.com/office/drawing/2012/chart" uri="{CE6537A1-D6FC-4f65-9D91-7224C49458BB}"/>
          </c:extLst>
        </c:dLbl>
      </c:pivotFmt>
      <c:pivotFmt>
        <c:idx val="23"/>
      </c:pivotFmt>
      <c:pivotFmt>
        <c:idx val="24"/>
      </c:pivotFmt>
      <c:pivotFmt>
        <c:idx val="25"/>
      </c:pivotFmt>
      <c:pivotFmt>
        <c:idx val="26"/>
      </c:pivotFmt>
      <c:pivotFmt>
        <c:idx val="27"/>
      </c:pivotFmt>
      <c:pivotFmt>
        <c:idx val="2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2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3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4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4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4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4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4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4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4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4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4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4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5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5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s>
    <c:plotArea>
      <c:layout/>
      <c:pieChart>
        <c:varyColors val="1"/>
        <c:ser>
          <c:idx val="0"/>
          <c:order val="0"/>
          <c:tx>
            <c:strRef>
              <c:f>'Pivot '!$B$59:$B$60</c:f>
              <c:strCache>
                <c:ptCount val="1"/>
                <c:pt idx="0">
                  <c:v>East</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60F4-4F1A-BC57-14269FCFFBCC}"/>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60F4-4F1A-BC57-14269FCFFBCC}"/>
              </c:ext>
            </c:extLst>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60F4-4F1A-BC57-14269FCFFBCC}"/>
              </c:ext>
            </c:extLst>
          </c:dPt>
          <c:dPt>
            <c:idx val="3"/>
            <c:bubble3D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7-60F4-4F1A-BC57-14269FCFFBCC}"/>
              </c:ext>
            </c:extLst>
          </c:dPt>
          <c:dPt>
            <c:idx val="4"/>
            <c:bubble3D val="0"/>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9-60F4-4F1A-BC57-14269FCFFBC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 '!$A$61:$A$66</c:f>
              <c:strCache>
                <c:ptCount val="5"/>
                <c:pt idx="0">
                  <c:v>Beauty</c:v>
                </c:pt>
                <c:pt idx="1">
                  <c:v>Clothing</c:v>
                </c:pt>
                <c:pt idx="2">
                  <c:v>Electronics</c:v>
                </c:pt>
                <c:pt idx="3">
                  <c:v>Home</c:v>
                </c:pt>
                <c:pt idx="4">
                  <c:v>Sports</c:v>
                </c:pt>
              </c:strCache>
            </c:strRef>
          </c:cat>
          <c:val>
            <c:numRef>
              <c:f>'Pivot '!$B$61:$B$66</c:f>
              <c:numCache>
                <c:formatCode>General</c:formatCode>
                <c:ptCount val="5"/>
                <c:pt idx="0">
                  <c:v>9863</c:v>
                </c:pt>
                <c:pt idx="1">
                  <c:v>7683</c:v>
                </c:pt>
                <c:pt idx="2">
                  <c:v>9636</c:v>
                </c:pt>
                <c:pt idx="3">
                  <c:v>9622</c:v>
                </c:pt>
                <c:pt idx="4">
                  <c:v>19451</c:v>
                </c:pt>
              </c:numCache>
            </c:numRef>
          </c:val>
          <c:extLst>
            <c:ext xmlns:c16="http://schemas.microsoft.com/office/drawing/2014/chart" uri="{C3380CC4-5D6E-409C-BE32-E72D297353CC}">
              <c16:uniqueId val="{00000000-FF43-44B4-B54D-DCEBBF078DB3}"/>
            </c:ext>
          </c:extLst>
        </c:ser>
        <c:ser>
          <c:idx val="1"/>
          <c:order val="1"/>
          <c:tx>
            <c:strRef>
              <c:f>'Pivot '!$C$59:$C$60</c:f>
              <c:strCache>
                <c:ptCount val="1"/>
                <c:pt idx="0">
                  <c:v>North</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B-60F4-4F1A-BC57-14269FCFFBCC}"/>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D-60F4-4F1A-BC57-14269FCFFBCC}"/>
              </c:ext>
            </c:extLst>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F-60F4-4F1A-BC57-14269FCFFBCC}"/>
              </c:ext>
            </c:extLst>
          </c:dPt>
          <c:dPt>
            <c:idx val="3"/>
            <c:bubble3D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11-60F4-4F1A-BC57-14269FCFFBCC}"/>
              </c:ext>
            </c:extLst>
          </c:dPt>
          <c:dPt>
            <c:idx val="4"/>
            <c:bubble3D val="0"/>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13-60F4-4F1A-BC57-14269FCFFBC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 '!$A$61:$A$66</c:f>
              <c:strCache>
                <c:ptCount val="5"/>
                <c:pt idx="0">
                  <c:v>Beauty</c:v>
                </c:pt>
                <c:pt idx="1">
                  <c:v>Clothing</c:v>
                </c:pt>
                <c:pt idx="2">
                  <c:v>Electronics</c:v>
                </c:pt>
                <c:pt idx="3">
                  <c:v>Home</c:v>
                </c:pt>
                <c:pt idx="4">
                  <c:v>Sports</c:v>
                </c:pt>
              </c:strCache>
            </c:strRef>
          </c:cat>
          <c:val>
            <c:numRef>
              <c:f>'Pivot '!$C$61:$C$66</c:f>
              <c:numCache>
                <c:formatCode>General</c:formatCode>
                <c:ptCount val="5"/>
                <c:pt idx="0">
                  <c:v>50562</c:v>
                </c:pt>
                <c:pt idx="1">
                  <c:v>51843</c:v>
                </c:pt>
                <c:pt idx="2">
                  <c:v>84981</c:v>
                </c:pt>
                <c:pt idx="3">
                  <c:v>56004</c:v>
                </c:pt>
                <c:pt idx="4">
                  <c:v>83946</c:v>
                </c:pt>
              </c:numCache>
            </c:numRef>
          </c:val>
          <c:extLst>
            <c:ext xmlns:c16="http://schemas.microsoft.com/office/drawing/2014/chart" uri="{C3380CC4-5D6E-409C-BE32-E72D297353CC}">
              <c16:uniqueId val="{00000001-FF43-44B4-B54D-DCEBBF078DB3}"/>
            </c:ext>
          </c:extLst>
        </c:ser>
        <c:ser>
          <c:idx val="2"/>
          <c:order val="2"/>
          <c:tx>
            <c:strRef>
              <c:f>'Pivot '!$D$59:$D$60</c:f>
              <c:strCache>
                <c:ptCount val="1"/>
                <c:pt idx="0">
                  <c:v>South</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15-60F4-4F1A-BC57-14269FCFFBCC}"/>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17-60F4-4F1A-BC57-14269FCFFBCC}"/>
              </c:ext>
            </c:extLst>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19-60F4-4F1A-BC57-14269FCFFBCC}"/>
              </c:ext>
            </c:extLst>
          </c:dPt>
          <c:dPt>
            <c:idx val="3"/>
            <c:bubble3D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1B-60F4-4F1A-BC57-14269FCFFBCC}"/>
              </c:ext>
            </c:extLst>
          </c:dPt>
          <c:dPt>
            <c:idx val="4"/>
            <c:bubble3D val="0"/>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1D-60F4-4F1A-BC57-14269FCFFBC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 '!$A$61:$A$66</c:f>
              <c:strCache>
                <c:ptCount val="5"/>
                <c:pt idx="0">
                  <c:v>Beauty</c:v>
                </c:pt>
                <c:pt idx="1">
                  <c:v>Clothing</c:v>
                </c:pt>
                <c:pt idx="2">
                  <c:v>Electronics</c:v>
                </c:pt>
                <c:pt idx="3">
                  <c:v>Home</c:v>
                </c:pt>
                <c:pt idx="4">
                  <c:v>Sports</c:v>
                </c:pt>
              </c:strCache>
            </c:strRef>
          </c:cat>
          <c:val>
            <c:numRef>
              <c:f>'Pivot '!$D$61:$D$66</c:f>
              <c:numCache>
                <c:formatCode>General</c:formatCode>
                <c:ptCount val="5"/>
                <c:pt idx="0">
                  <c:v>29089</c:v>
                </c:pt>
                <c:pt idx="1">
                  <c:v>17562</c:v>
                </c:pt>
                <c:pt idx="2">
                  <c:v>29286</c:v>
                </c:pt>
                <c:pt idx="3">
                  <c:v>21571</c:v>
                </c:pt>
                <c:pt idx="4">
                  <c:v>41363</c:v>
                </c:pt>
              </c:numCache>
            </c:numRef>
          </c:val>
          <c:extLst>
            <c:ext xmlns:c16="http://schemas.microsoft.com/office/drawing/2014/chart" uri="{C3380CC4-5D6E-409C-BE32-E72D297353CC}">
              <c16:uniqueId val="{00000002-FF43-44B4-B54D-DCEBBF078DB3}"/>
            </c:ext>
          </c:extLst>
        </c:ser>
        <c:ser>
          <c:idx val="3"/>
          <c:order val="3"/>
          <c:tx>
            <c:strRef>
              <c:f>'Pivot '!$E$59:$E$60</c:f>
              <c:strCache>
                <c:ptCount val="1"/>
                <c:pt idx="0">
                  <c:v>West</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1F-60F4-4F1A-BC57-14269FCFFBCC}"/>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21-60F4-4F1A-BC57-14269FCFFBCC}"/>
              </c:ext>
            </c:extLst>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23-60F4-4F1A-BC57-14269FCFFBCC}"/>
              </c:ext>
            </c:extLst>
          </c:dPt>
          <c:dPt>
            <c:idx val="3"/>
            <c:bubble3D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25-60F4-4F1A-BC57-14269FCFFBCC}"/>
              </c:ext>
            </c:extLst>
          </c:dPt>
          <c:dPt>
            <c:idx val="4"/>
            <c:bubble3D val="0"/>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27-60F4-4F1A-BC57-14269FCFFBC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 '!$A$61:$A$66</c:f>
              <c:strCache>
                <c:ptCount val="5"/>
                <c:pt idx="0">
                  <c:v>Beauty</c:v>
                </c:pt>
                <c:pt idx="1">
                  <c:v>Clothing</c:v>
                </c:pt>
                <c:pt idx="2">
                  <c:v>Electronics</c:v>
                </c:pt>
                <c:pt idx="3">
                  <c:v>Home</c:v>
                </c:pt>
                <c:pt idx="4">
                  <c:v>Sports</c:v>
                </c:pt>
              </c:strCache>
            </c:strRef>
          </c:cat>
          <c:val>
            <c:numRef>
              <c:f>'Pivot '!$E$61:$E$66</c:f>
              <c:numCache>
                <c:formatCode>General</c:formatCode>
                <c:ptCount val="5"/>
                <c:pt idx="0">
                  <c:v>7320</c:v>
                </c:pt>
                <c:pt idx="1">
                  <c:v>6975</c:v>
                </c:pt>
                <c:pt idx="2">
                  <c:v>16528</c:v>
                </c:pt>
                <c:pt idx="3">
                  <c:v>9298</c:v>
                </c:pt>
                <c:pt idx="4">
                  <c:v>4958</c:v>
                </c:pt>
              </c:numCache>
            </c:numRef>
          </c:val>
          <c:extLst>
            <c:ext xmlns:c16="http://schemas.microsoft.com/office/drawing/2014/chart" uri="{C3380CC4-5D6E-409C-BE32-E72D297353CC}">
              <c16:uniqueId val="{00000003-FF43-44B4-B54D-DCEBBF078DB3}"/>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data.xlsx]Pivot !Region wise gender report</c:name>
    <c:fmtId val="5"/>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Region</a:t>
            </a:r>
            <a:r>
              <a:rPr lang="en-IN" baseline="0"/>
              <a:t> Report</a:t>
            </a:r>
            <a:endParaRPr lang="en-IN"/>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'!$B$106:$B$107</c:f>
              <c:strCache>
                <c:ptCount val="1"/>
                <c:pt idx="0">
                  <c:v>Female</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'Pivot '!$A$108:$A$112</c:f>
              <c:strCache>
                <c:ptCount val="4"/>
                <c:pt idx="0">
                  <c:v>East</c:v>
                </c:pt>
                <c:pt idx="1">
                  <c:v>North</c:v>
                </c:pt>
                <c:pt idx="2">
                  <c:v>South</c:v>
                </c:pt>
                <c:pt idx="3">
                  <c:v>West</c:v>
                </c:pt>
              </c:strCache>
            </c:strRef>
          </c:cat>
          <c:val>
            <c:numRef>
              <c:f>'Pivot '!$B$108:$B$112</c:f>
              <c:numCache>
                <c:formatCode>0.00</c:formatCode>
                <c:ptCount val="4"/>
                <c:pt idx="0">
                  <c:v>1177.6190476190477</c:v>
                </c:pt>
                <c:pt idx="1">
                  <c:v>1120.3959731543623</c:v>
                </c:pt>
                <c:pt idx="2">
                  <c:v>1469.840579710145</c:v>
                </c:pt>
                <c:pt idx="3">
                  <c:v>1306.5999999999999</c:v>
                </c:pt>
              </c:numCache>
            </c:numRef>
          </c:val>
          <c:extLst>
            <c:ext xmlns:c16="http://schemas.microsoft.com/office/drawing/2014/chart" uri="{C3380CC4-5D6E-409C-BE32-E72D297353CC}">
              <c16:uniqueId val="{00000000-E730-45C3-B02E-108853E909B7}"/>
            </c:ext>
          </c:extLst>
        </c:ser>
        <c:ser>
          <c:idx val="1"/>
          <c:order val="1"/>
          <c:tx>
            <c:strRef>
              <c:f>'Pivot '!$C$106:$C$107</c:f>
              <c:strCache>
                <c:ptCount val="1"/>
                <c:pt idx="0">
                  <c:v>Male</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'Pivot '!$A$108:$A$112</c:f>
              <c:strCache>
                <c:ptCount val="4"/>
                <c:pt idx="0">
                  <c:v>East</c:v>
                </c:pt>
                <c:pt idx="1">
                  <c:v>North</c:v>
                </c:pt>
                <c:pt idx="2">
                  <c:v>South</c:v>
                </c:pt>
                <c:pt idx="3">
                  <c:v>West</c:v>
                </c:pt>
              </c:strCache>
            </c:strRef>
          </c:cat>
          <c:val>
            <c:numRef>
              <c:f>'Pivot '!$C$108:$C$112</c:f>
              <c:numCache>
                <c:formatCode>0.00</c:formatCode>
                <c:ptCount val="4"/>
                <c:pt idx="0">
                  <c:v>1125.8928571428571</c:v>
                </c:pt>
                <c:pt idx="1">
                  <c:v>1091.1360544217687</c:v>
                </c:pt>
                <c:pt idx="2">
                  <c:v>960.30769230769226</c:v>
                </c:pt>
                <c:pt idx="3">
                  <c:v>997.21052631578948</c:v>
                </c:pt>
              </c:numCache>
            </c:numRef>
          </c:val>
          <c:extLst>
            <c:ext xmlns:c16="http://schemas.microsoft.com/office/drawing/2014/chart" uri="{C3380CC4-5D6E-409C-BE32-E72D297353CC}">
              <c16:uniqueId val="{00000001-E730-45C3-B02E-108853E909B7}"/>
            </c:ext>
          </c:extLst>
        </c:ser>
        <c:dLbls>
          <c:showLegendKey val="0"/>
          <c:showVal val="0"/>
          <c:showCatName val="0"/>
          <c:showSerName val="0"/>
          <c:showPercent val="0"/>
          <c:showBubbleSize val="0"/>
        </c:dLbls>
        <c:gapWidth val="150"/>
        <c:shape val="box"/>
        <c:axId val="511830495"/>
        <c:axId val="511838175"/>
        <c:axId val="0"/>
      </c:bar3DChart>
      <c:catAx>
        <c:axId val="51183049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11838175"/>
        <c:crosses val="autoZero"/>
        <c:auto val="1"/>
        <c:lblAlgn val="ctr"/>
        <c:lblOffset val="100"/>
        <c:noMultiLvlLbl val="0"/>
      </c:catAx>
      <c:valAx>
        <c:axId val="511838175"/>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118304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data.xlsx]Pivot !Mode of Payment</c:name>
    <c:fmtId val="9"/>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IN"/>
              <a:t>Payment</a:t>
            </a:r>
            <a:r>
              <a:rPr lang="en-IN" baseline="0"/>
              <a:t> Mode Report</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3">
                <a:lumMod val="60000"/>
                <a:lumOff val="40000"/>
              </a:schemeClr>
            </a:solidFill>
            <a:ln>
              <a:noFill/>
            </a:ln>
            <a:effectLst>
              <a:glow rad="63500">
                <a:schemeClr val="accent3">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3">
                <a:lumMod val="60000"/>
                <a:lumOff val="40000"/>
              </a:schemeClr>
            </a:solidFill>
            <a:ln>
              <a:noFill/>
            </a:ln>
            <a:effectLst>
              <a:glow rad="63500">
                <a:schemeClr val="accent3">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22225" cap="rnd">
            <a:solidFill>
              <a:schemeClr val="accent1"/>
            </a:solidFill>
          </a:ln>
          <a:effectLst>
            <a:glow rad="139700">
              <a:schemeClr val="accent1">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2225" cap="rnd">
            <a:solidFill>
              <a:schemeClr val="accent1"/>
            </a:solidFill>
          </a:ln>
          <a:effectLst>
            <a:glow rad="139700">
              <a:schemeClr val="accent1">
                <a:satMod val="175000"/>
                <a:alpha val="14000"/>
              </a:schemeClr>
            </a:glow>
          </a:effectLst>
        </c:spPr>
        <c:marker>
          <c:symbol val="circle"/>
          <c:size val="4"/>
          <c:spPr>
            <a:solidFill>
              <a:schemeClr val="accent3">
                <a:lumMod val="60000"/>
                <a:lumOff val="40000"/>
              </a:schemeClr>
            </a:solidFill>
            <a:ln>
              <a:noFill/>
            </a:ln>
            <a:effectLst>
              <a:glow rad="63500">
                <a:schemeClr val="accent3">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0692038495188101E-2"/>
          <c:y val="0.16597242478531254"/>
          <c:w val="0.69196041119860019"/>
          <c:h val="0.63034425550822459"/>
        </c:manualLayout>
      </c:layout>
      <c:lineChart>
        <c:grouping val="standard"/>
        <c:varyColors val="0"/>
        <c:ser>
          <c:idx val="0"/>
          <c:order val="0"/>
          <c:tx>
            <c:strRef>
              <c:f>'Pivot '!$B$119:$B$120</c:f>
              <c:strCache>
                <c:ptCount val="1"/>
                <c:pt idx="0">
                  <c:v>COD</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cat>
            <c:strRef>
              <c:f>'Pivot '!$A$121:$A$133</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 '!$B$121:$B$133</c:f>
              <c:numCache>
                <c:formatCode>General</c:formatCode>
                <c:ptCount val="12"/>
                <c:pt idx="0">
                  <c:v>9450</c:v>
                </c:pt>
                <c:pt idx="1">
                  <c:v>5182</c:v>
                </c:pt>
                <c:pt idx="2">
                  <c:v>16377</c:v>
                </c:pt>
                <c:pt idx="3">
                  <c:v>7272</c:v>
                </c:pt>
                <c:pt idx="4">
                  <c:v>11562</c:v>
                </c:pt>
                <c:pt idx="5">
                  <c:v>15818</c:v>
                </c:pt>
                <c:pt idx="6">
                  <c:v>20345</c:v>
                </c:pt>
                <c:pt idx="7">
                  <c:v>21986</c:v>
                </c:pt>
                <c:pt idx="8">
                  <c:v>20922</c:v>
                </c:pt>
                <c:pt idx="9">
                  <c:v>13502</c:v>
                </c:pt>
                <c:pt idx="10">
                  <c:v>9506</c:v>
                </c:pt>
                <c:pt idx="11">
                  <c:v>17935</c:v>
                </c:pt>
              </c:numCache>
            </c:numRef>
          </c:val>
          <c:smooth val="0"/>
          <c:extLst>
            <c:ext xmlns:c16="http://schemas.microsoft.com/office/drawing/2014/chart" uri="{C3380CC4-5D6E-409C-BE32-E72D297353CC}">
              <c16:uniqueId val="{00000000-33D3-4C8A-BBAD-67180E1C88F2}"/>
            </c:ext>
          </c:extLst>
        </c:ser>
        <c:ser>
          <c:idx val="1"/>
          <c:order val="1"/>
          <c:tx>
            <c:strRef>
              <c:f>'Pivot '!$C$119:$C$120</c:f>
              <c:strCache>
                <c:ptCount val="1"/>
                <c:pt idx="0">
                  <c:v>Credit Card</c:v>
                </c:pt>
              </c:strCache>
            </c:strRef>
          </c:tx>
          <c:spPr>
            <a:ln w="22225" cap="rnd">
              <a:solidFill>
                <a:schemeClr val="accent2"/>
              </a:solidFill>
            </a:ln>
            <a:effectLst>
              <a:glow rad="139700">
                <a:schemeClr val="accent2">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cat>
            <c:strRef>
              <c:f>'Pivot '!$A$121:$A$133</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 '!$C$121:$C$133</c:f>
              <c:numCache>
                <c:formatCode>General</c:formatCode>
                <c:ptCount val="12"/>
                <c:pt idx="0">
                  <c:v>18690</c:v>
                </c:pt>
                <c:pt idx="1">
                  <c:v>21063</c:v>
                </c:pt>
                <c:pt idx="2">
                  <c:v>11967</c:v>
                </c:pt>
                <c:pt idx="3">
                  <c:v>22450</c:v>
                </c:pt>
                <c:pt idx="4">
                  <c:v>15535</c:v>
                </c:pt>
                <c:pt idx="5">
                  <c:v>13406</c:v>
                </c:pt>
                <c:pt idx="6">
                  <c:v>12202</c:v>
                </c:pt>
                <c:pt idx="7">
                  <c:v>15154</c:v>
                </c:pt>
                <c:pt idx="8">
                  <c:v>17000</c:v>
                </c:pt>
                <c:pt idx="9">
                  <c:v>17602</c:v>
                </c:pt>
                <c:pt idx="10">
                  <c:v>19037</c:v>
                </c:pt>
                <c:pt idx="11">
                  <c:v>14002</c:v>
                </c:pt>
              </c:numCache>
            </c:numRef>
          </c:val>
          <c:smooth val="0"/>
          <c:extLst>
            <c:ext xmlns:c16="http://schemas.microsoft.com/office/drawing/2014/chart" uri="{C3380CC4-5D6E-409C-BE32-E72D297353CC}">
              <c16:uniqueId val="{00000001-9A31-41A2-9B79-33603D9A3CAF}"/>
            </c:ext>
          </c:extLst>
        </c:ser>
        <c:ser>
          <c:idx val="2"/>
          <c:order val="2"/>
          <c:tx>
            <c:strRef>
              <c:f>'Pivot '!$D$119:$D$120</c:f>
              <c:strCache>
                <c:ptCount val="1"/>
                <c:pt idx="0">
                  <c:v>PayPal</c:v>
                </c:pt>
              </c:strCache>
            </c:strRef>
          </c:tx>
          <c:spPr>
            <a:ln w="22225" cap="rnd">
              <a:solidFill>
                <a:schemeClr val="accent3"/>
              </a:solidFill>
            </a:ln>
            <a:effectLst>
              <a:glow rad="139700">
                <a:schemeClr val="accent3">
                  <a:satMod val="175000"/>
                  <a:alpha val="14000"/>
                </a:schemeClr>
              </a:glow>
            </a:effectLst>
          </c:spPr>
          <c:marker>
            <c:symbol val="circle"/>
            <c:size val="4"/>
            <c:spPr>
              <a:solidFill>
                <a:schemeClr val="accent3">
                  <a:lumMod val="60000"/>
                  <a:lumOff val="40000"/>
                </a:schemeClr>
              </a:solidFill>
              <a:ln>
                <a:noFill/>
              </a:ln>
              <a:effectLst>
                <a:glow rad="63500">
                  <a:schemeClr val="accent3">
                    <a:satMod val="175000"/>
                    <a:alpha val="25000"/>
                  </a:schemeClr>
                </a:glow>
              </a:effectLst>
            </c:spPr>
          </c:marker>
          <c:cat>
            <c:strRef>
              <c:f>'Pivot '!$A$121:$A$133</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 '!$D$121:$D$133</c:f>
              <c:numCache>
                <c:formatCode>General</c:formatCode>
                <c:ptCount val="12"/>
                <c:pt idx="0">
                  <c:v>22842</c:v>
                </c:pt>
                <c:pt idx="1">
                  <c:v>11677</c:v>
                </c:pt>
                <c:pt idx="2">
                  <c:v>11766</c:v>
                </c:pt>
                <c:pt idx="3">
                  <c:v>20456</c:v>
                </c:pt>
                <c:pt idx="4">
                  <c:v>19133</c:v>
                </c:pt>
                <c:pt idx="5">
                  <c:v>6825</c:v>
                </c:pt>
                <c:pt idx="6">
                  <c:v>15274</c:v>
                </c:pt>
                <c:pt idx="7">
                  <c:v>14969</c:v>
                </c:pt>
                <c:pt idx="8">
                  <c:v>19589</c:v>
                </c:pt>
                <c:pt idx="9">
                  <c:v>17862</c:v>
                </c:pt>
                <c:pt idx="10">
                  <c:v>17485</c:v>
                </c:pt>
                <c:pt idx="11">
                  <c:v>21698</c:v>
                </c:pt>
              </c:numCache>
            </c:numRef>
          </c:val>
          <c:smooth val="0"/>
          <c:extLst>
            <c:ext xmlns:c16="http://schemas.microsoft.com/office/drawing/2014/chart" uri="{C3380CC4-5D6E-409C-BE32-E72D297353CC}">
              <c16:uniqueId val="{00000002-9A31-41A2-9B79-33603D9A3CAF}"/>
            </c:ext>
          </c:extLst>
        </c:ser>
        <c:dLbls>
          <c:showLegendKey val="0"/>
          <c:showVal val="0"/>
          <c:showCatName val="0"/>
          <c:showSerName val="0"/>
          <c:showPercent val="0"/>
          <c:showBubbleSize val="0"/>
        </c:dLbls>
        <c:marker val="1"/>
        <c:smooth val="0"/>
        <c:axId val="983089231"/>
        <c:axId val="983087791"/>
      </c:lineChart>
      <c:catAx>
        <c:axId val="98308923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983087791"/>
        <c:crosses val="autoZero"/>
        <c:auto val="1"/>
        <c:lblAlgn val="ctr"/>
        <c:lblOffset val="100"/>
        <c:noMultiLvlLbl val="0"/>
      </c:catAx>
      <c:valAx>
        <c:axId val="98308779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9830892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7</xdr:col>
      <xdr:colOff>155575</xdr:colOff>
      <xdr:row>56</xdr:row>
      <xdr:rowOff>76200</xdr:rowOff>
    </xdr:from>
    <xdr:to>
      <xdr:col>14</xdr:col>
      <xdr:colOff>57151</xdr:colOff>
      <xdr:row>67</xdr:row>
      <xdr:rowOff>152400</xdr:rowOff>
    </xdr:to>
    <xdr:graphicFrame macro="">
      <xdr:nvGraphicFramePr>
        <xdr:cNvPr id="3" name="Chart 2">
          <a:extLst>
            <a:ext uri="{FF2B5EF4-FFF2-40B4-BE49-F238E27FC236}">
              <a16:creationId xmlns:a16="http://schemas.microsoft.com/office/drawing/2014/main" id="{D646F9EE-CC80-023E-82FA-BF5962F804D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3175</xdr:colOff>
      <xdr:row>75</xdr:row>
      <xdr:rowOff>3175</xdr:rowOff>
    </xdr:from>
    <xdr:to>
      <xdr:col>15</xdr:col>
      <xdr:colOff>307975</xdr:colOff>
      <xdr:row>89</xdr:row>
      <xdr:rowOff>168275</xdr:rowOff>
    </xdr:to>
    <xdr:graphicFrame macro="">
      <xdr:nvGraphicFramePr>
        <xdr:cNvPr id="6" name="Chart 5">
          <a:extLst>
            <a:ext uri="{FF2B5EF4-FFF2-40B4-BE49-F238E27FC236}">
              <a16:creationId xmlns:a16="http://schemas.microsoft.com/office/drawing/2014/main" id="{EC687821-C150-F3D6-7F86-7D23670A577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327024</xdr:colOff>
      <xdr:row>19</xdr:row>
      <xdr:rowOff>177800</xdr:rowOff>
    </xdr:from>
    <xdr:to>
      <xdr:col>18</xdr:col>
      <xdr:colOff>95249</xdr:colOff>
      <xdr:row>35</xdr:row>
      <xdr:rowOff>101600</xdr:rowOff>
    </xdr:to>
    <xdr:graphicFrame macro="">
      <xdr:nvGraphicFramePr>
        <xdr:cNvPr id="7" name="Chart 6">
          <a:extLst>
            <a:ext uri="{FF2B5EF4-FFF2-40B4-BE49-F238E27FC236}">
              <a16:creationId xmlns:a16="http://schemas.microsoft.com/office/drawing/2014/main" id="{456E2DDB-059E-B9AD-60CC-CDB9437F4D3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619125</xdr:colOff>
      <xdr:row>101</xdr:row>
      <xdr:rowOff>107950</xdr:rowOff>
    </xdr:from>
    <xdr:to>
      <xdr:col>13</xdr:col>
      <xdr:colOff>34925</xdr:colOff>
      <xdr:row>113</xdr:row>
      <xdr:rowOff>88900</xdr:rowOff>
    </xdr:to>
    <xdr:graphicFrame macro="">
      <xdr:nvGraphicFramePr>
        <xdr:cNvPr id="8" name="Chart 7">
          <a:extLst>
            <a:ext uri="{FF2B5EF4-FFF2-40B4-BE49-F238E27FC236}">
              <a16:creationId xmlns:a16="http://schemas.microsoft.com/office/drawing/2014/main" id="{29065E82-8879-975C-13BE-D4047E166F9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0</xdr:colOff>
      <xdr:row>84</xdr:row>
      <xdr:rowOff>25400</xdr:rowOff>
    </xdr:from>
    <xdr:to>
      <xdr:col>1</xdr:col>
      <xdr:colOff>514350</xdr:colOff>
      <xdr:row>97</xdr:row>
      <xdr:rowOff>155575</xdr:rowOff>
    </xdr:to>
    <mc:AlternateContent xmlns:mc="http://schemas.openxmlformats.org/markup-compatibility/2006" xmlns:a14="http://schemas.microsoft.com/office/drawing/2010/main">
      <mc:Choice Requires="a14">
        <xdr:graphicFrame macro="">
          <xdr:nvGraphicFramePr>
            <xdr:cNvPr id="11" name="Month">
              <a:extLst>
                <a:ext uri="{FF2B5EF4-FFF2-40B4-BE49-F238E27FC236}">
                  <a16:creationId xmlns:a16="http://schemas.microsoft.com/office/drawing/2014/main" id="{A3ACC35C-9125-221B-5F6E-BB95455BECDC}"/>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0" y="1564640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0</xdr:colOff>
      <xdr:row>118</xdr:row>
      <xdr:rowOff>3175</xdr:rowOff>
    </xdr:from>
    <xdr:to>
      <xdr:col>14</xdr:col>
      <xdr:colOff>400050</xdr:colOff>
      <xdr:row>132</xdr:row>
      <xdr:rowOff>168275</xdr:rowOff>
    </xdr:to>
    <xdr:graphicFrame macro="">
      <xdr:nvGraphicFramePr>
        <xdr:cNvPr id="12" name="Chart 11">
          <a:extLst>
            <a:ext uri="{FF2B5EF4-FFF2-40B4-BE49-F238E27FC236}">
              <a16:creationId xmlns:a16="http://schemas.microsoft.com/office/drawing/2014/main" id="{937E1186-70B9-52BA-43A9-342961B2087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242455</xdr:colOff>
      <xdr:row>3</xdr:row>
      <xdr:rowOff>0</xdr:rowOff>
    </xdr:from>
    <xdr:to>
      <xdr:col>12</xdr:col>
      <xdr:colOff>5698</xdr:colOff>
      <xdr:row>19</xdr:row>
      <xdr:rowOff>46182</xdr:rowOff>
    </xdr:to>
    <xdr:graphicFrame macro="">
      <xdr:nvGraphicFramePr>
        <xdr:cNvPr id="2" name="Chart 1">
          <a:extLst>
            <a:ext uri="{FF2B5EF4-FFF2-40B4-BE49-F238E27FC236}">
              <a16:creationId xmlns:a16="http://schemas.microsoft.com/office/drawing/2014/main" id="{B02739D0-C1F7-4715-94BF-CAC488A1067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277091</xdr:colOff>
      <xdr:row>3</xdr:row>
      <xdr:rowOff>0</xdr:rowOff>
    </xdr:from>
    <xdr:to>
      <xdr:col>20</xdr:col>
      <xdr:colOff>276795</xdr:colOff>
      <xdr:row>19</xdr:row>
      <xdr:rowOff>0</xdr:rowOff>
    </xdr:to>
    <xdr:graphicFrame macro="">
      <xdr:nvGraphicFramePr>
        <xdr:cNvPr id="3" name="Chart 2">
          <a:extLst>
            <a:ext uri="{FF2B5EF4-FFF2-40B4-BE49-F238E27FC236}">
              <a16:creationId xmlns:a16="http://schemas.microsoft.com/office/drawing/2014/main" id="{CCF188BF-3CB8-488D-BCBE-C45B15DFCD7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275757</xdr:colOff>
      <xdr:row>19</xdr:row>
      <xdr:rowOff>173182</xdr:rowOff>
    </xdr:from>
    <xdr:to>
      <xdr:col>11</xdr:col>
      <xdr:colOff>600364</xdr:colOff>
      <xdr:row>35</xdr:row>
      <xdr:rowOff>100503</xdr:rowOff>
    </xdr:to>
    <xdr:graphicFrame macro="">
      <xdr:nvGraphicFramePr>
        <xdr:cNvPr id="4" name="Chart 3">
          <a:extLst>
            <a:ext uri="{FF2B5EF4-FFF2-40B4-BE49-F238E27FC236}">
              <a16:creationId xmlns:a16="http://schemas.microsoft.com/office/drawing/2014/main" id="{A3B4BE83-6962-4D9B-839B-4FD27A373AC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232833</xdr:colOff>
      <xdr:row>20</xdr:row>
      <xdr:rowOff>1</xdr:rowOff>
    </xdr:from>
    <xdr:to>
      <xdr:col>20</xdr:col>
      <xdr:colOff>334818</xdr:colOff>
      <xdr:row>35</xdr:row>
      <xdr:rowOff>97101</xdr:rowOff>
    </xdr:to>
    <xdr:graphicFrame macro="">
      <xdr:nvGraphicFramePr>
        <xdr:cNvPr id="5" name="Chart 4">
          <a:extLst>
            <a:ext uri="{FF2B5EF4-FFF2-40B4-BE49-F238E27FC236}">
              <a16:creationId xmlns:a16="http://schemas.microsoft.com/office/drawing/2014/main" id="{08CA1B6A-17ED-4C6B-B08D-7CA8ACEB987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0</xdr:colOff>
      <xdr:row>0</xdr:row>
      <xdr:rowOff>92364</xdr:rowOff>
    </xdr:from>
    <xdr:to>
      <xdr:col>3</xdr:col>
      <xdr:colOff>586153</xdr:colOff>
      <xdr:row>13</xdr:row>
      <xdr:rowOff>182322</xdr:rowOff>
    </xdr:to>
    <mc:AlternateContent xmlns:mc="http://schemas.openxmlformats.org/markup-compatibility/2006">
      <mc:Choice xmlns:a14="http://schemas.microsoft.com/office/drawing/2010/main" Requires="a14">
        <xdr:graphicFrame macro="">
          <xdr:nvGraphicFramePr>
            <xdr:cNvPr id="6" name="Month 1">
              <a:extLst>
                <a:ext uri="{FF2B5EF4-FFF2-40B4-BE49-F238E27FC236}">
                  <a16:creationId xmlns:a16="http://schemas.microsoft.com/office/drawing/2014/main" id="{2D66A6A2-D83D-4B78-A1F8-146CB7750A2B}"/>
                </a:ext>
              </a:extLst>
            </xdr:cNvPr>
            <xdr:cNvGraphicFramePr/>
          </xdr:nvGraphicFramePr>
          <xdr:xfrm>
            <a:off x="0" y="0"/>
            <a:ext cx="0" cy="0"/>
          </xdr:xfrm>
          <a:graphic>
            <a:graphicData uri="http://schemas.microsoft.com/office/drawing/2010/slicer">
              <sle:slicer xmlns:sle="http://schemas.microsoft.com/office/drawing/2010/slicer" name="Month 1"/>
            </a:graphicData>
          </a:graphic>
        </xdr:graphicFrame>
      </mc:Choice>
      <mc:Fallback>
        <xdr:sp macro="" textlink="">
          <xdr:nvSpPr>
            <xdr:cNvPr id="0" name=""/>
            <xdr:cNvSpPr>
              <a:spLocks noTextEdit="1"/>
            </xdr:cNvSpPr>
          </xdr:nvSpPr>
          <xdr:spPr>
            <a:xfrm>
              <a:off x="0" y="92364"/>
              <a:ext cx="2421880" cy="249141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25207</xdr:colOff>
      <xdr:row>14</xdr:row>
      <xdr:rowOff>79132</xdr:rowOff>
    </xdr:from>
    <xdr:to>
      <xdr:col>4</xdr:col>
      <xdr:colOff>5476</xdr:colOff>
      <xdr:row>23</xdr:row>
      <xdr:rowOff>127001</xdr:rowOff>
    </xdr:to>
    <mc:AlternateContent xmlns:mc="http://schemas.openxmlformats.org/markup-compatibility/2006">
      <mc:Choice xmlns:a14="http://schemas.microsoft.com/office/drawing/2010/main" Requires="a14">
        <xdr:graphicFrame macro="">
          <xdr:nvGraphicFramePr>
            <xdr:cNvPr id="7" name="Category">
              <a:extLst>
                <a:ext uri="{FF2B5EF4-FFF2-40B4-BE49-F238E27FC236}">
                  <a16:creationId xmlns:a16="http://schemas.microsoft.com/office/drawing/2014/main" id="{9A317BDA-FB7C-824D-21C9-ECF214AA1EED}"/>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25207" y="2665314"/>
              <a:ext cx="2427905" cy="171041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24</xdr:row>
      <xdr:rowOff>8527</xdr:rowOff>
    </xdr:from>
    <xdr:to>
      <xdr:col>3</xdr:col>
      <xdr:colOff>602435</xdr:colOff>
      <xdr:row>30</xdr:row>
      <xdr:rowOff>80820</xdr:rowOff>
    </xdr:to>
    <mc:AlternateContent xmlns:mc="http://schemas.openxmlformats.org/markup-compatibility/2006">
      <mc:Choice xmlns:a14="http://schemas.microsoft.com/office/drawing/2010/main" Requires="a14">
        <xdr:graphicFrame macro="">
          <xdr:nvGraphicFramePr>
            <xdr:cNvPr id="8" name="Payment_Type">
              <a:extLst>
                <a:ext uri="{FF2B5EF4-FFF2-40B4-BE49-F238E27FC236}">
                  <a16:creationId xmlns:a16="http://schemas.microsoft.com/office/drawing/2014/main" id="{AEE3ED31-EF61-1B79-440A-95FFBEA71CB7}"/>
                </a:ext>
              </a:extLst>
            </xdr:cNvPr>
            <xdr:cNvGraphicFramePr/>
          </xdr:nvGraphicFramePr>
          <xdr:xfrm>
            <a:off x="0" y="0"/>
            <a:ext cx="0" cy="0"/>
          </xdr:xfrm>
          <a:graphic>
            <a:graphicData uri="http://schemas.microsoft.com/office/drawing/2010/slicer">
              <sle:slicer xmlns:sle="http://schemas.microsoft.com/office/drawing/2010/slicer" name="Payment_Type"/>
            </a:graphicData>
          </a:graphic>
        </xdr:graphicFrame>
      </mc:Choice>
      <mc:Fallback>
        <xdr:sp macro="" textlink="">
          <xdr:nvSpPr>
            <xdr:cNvPr id="0" name=""/>
            <xdr:cNvSpPr>
              <a:spLocks noTextEdit="1"/>
            </xdr:cNvSpPr>
          </xdr:nvSpPr>
          <xdr:spPr>
            <a:xfrm>
              <a:off x="0" y="4441982"/>
              <a:ext cx="2438162" cy="118065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093.651064930556" createdVersion="8" refreshedVersion="8" minRefreshableVersion="3" recordCount="492" xr:uid="{36B95770-5CAD-417B-8FF3-52CE5541AA9B}">
  <cacheSource type="worksheet">
    <worksheetSource name="Salesdta"/>
  </cacheSource>
  <cacheFields count="19">
    <cacheField name="Sales_ID" numFmtId="0">
      <sharedItems/>
    </cacheField>
    <cacheField name="Order_Date" numFmtId="14">
      <sharedItems containsSemiMixedTypes="0" containsNonDate="0" containsDate="1" containsString="0" minDate="2023-10-14T00:00:00" maxDate="2025-10-14T00:00:00"/>
    </cacheField>
    <cacheField name="Month" numFmtId="0">
      <sharedItems count="12">
        <s v="July"/>
        <s v="December"/>
        <s v="June"/>
        <s v="November"/>
        <s v="January"/>
        <s v="May"/>
        <s v="February"/>
        <s v="August"/>
        <s v="September"/>
        <s v="March"/>
        <s v="April"/>
        <s v="October"/>
      </sharedItems>
    </cacheField>
    <cacheField name="Customer_ID" numFmtId="0">
      <sharedItems/>
    </cacheField>
    <cacheField name="Gender" numFmtId="0">
      <sharedItems count="2">
        <s v="Male"/>
        <s v="Female"/>
      </sharedItems>
    </cacheField>
    <cacheField name="State" numFmtId="0">
      <sharedItems count="50">
        <s v="Wyoming"/>
        <s v="Vermont"/>
        <s v="Pennsylvania"/>
        <s v="Tennessee"/>
        <s v="Alabama"/>
        <s v="Rhode Island"/>
        <s v="Missouri"/>
        <s v="Washington"/>
        <s v="Nevada"/>
        <s v="Iowa"/>
        <s v="Montana"/>
        <s v="Texas"/>
        <s v="Idaho"/>
        <s v="Arkansas"/>
        <s v="New York"/>
        <s v="Oklahoma"/>
        <s v="North Dakota"/>
        <s v="Maine"/>
        <s v="Wisconsin"/>
        <s v="New Jersey"/>
        <s v="Michigan"/>
        <s v="New Hampshire"/>
        <s v="Hawaii"/>
        <s v="New Mexico"/>
        <s v="California"/>
        <s v="Mississippi"/>
        <s v="Florida"/>
        <s v="Kentucky"/>
        <s v="Arizona"/>
        <s v="North Carolina"/>
        <s v="Indiana"/>
        <s v="Ohio"/>
        <s v="Kansas"/>
        <s v="Maryland"/>
        <s v="South Dakota"/>
        <s v="West Virginia"/>
        <s v="Georgia"/>
        <s v="Delaware"/>
        <s v="Louisiana"/>
        <s v="Utah"/>
        <s v="Connecticut"/>
        <s v="Alaska"/>
        <s v="South Carolina"/>
        <s v="Massachusetts"/>
        <s v="Colorado"/>
        <s v="Virginia"/>
        <s v="Minnesota"/>
        <s v="Oregon"/>
        <s v="Nebraska"/>
        <s v="Illinois"/>
      </sharedItems>
    </cacheField>
    <cacheField name="Product_ID" numFmtId="0">
      <sharedItems/>
    </cacheField>
    <cacheField name="Product Names" numFmtId="0">
      <sharedItems/>
    </cacheField>
    <cacheField name="Category" numFmtId="0">
      <sharedItems count="5">
        <s v="Sports"/>
        <s v="Electronics"/>
        <s v="Beauty"/>
        <s v="Home"/>
        <s v="Clothing"/>
      </sharedItems>
    </cacheField>
    <cacheField name="Product cost" numFmtId="0">
      <sharedItems containsSemiMixedTypes="0" containsString="0" containsNumber="1" containsInteger="1" minValue="17" maxValue="485"/>
    </cacheField>
    <cacheField name="Store_ID" numFmtId="0">
      <sharedItems/>
    </cacheField>
    <cacheField name="Region" numFmtId="0">
      <sharedItems count="4">
        <s v="North"/>
        <s v="West"/>
        <s v="South"/>
        <s v="East"/>
      </sharedItems>
    </cacheField>
    <cacheField name="Final Quantity" numFmtId="0">
      <sharedItems containsSemiMixedTypes="0" containsString="0" containsNumber="1" containsInteger="1" minValue="1" maxValue="4"/>
    </cacheField>
    <cacheField name="Final Unit_Price" numFmtId="0">
      <sharedItems containsSemiMixedTypes="0" containsString="0" containsNumber="1" containsInteger="1" minValue="20" maxValue="998"/>
    </cacheField>
    <cacheField name="Discount" numFmtId="2">
      <sharedItems containsSemiMixedTypes="0" containsString="0" containsNumber="1" minValue="0" maxValue="0.3"/>
    </cacheField>
    <cacheField name="Payment_Type" numFmtId="0">
      <sharedItems count="3">
        <s v="Credit Card"/>
        <s v="PayPal"/>
        <s v="COD"/>
      </sharedItems>
    </cacheField>
    <cacheField name="Final Revenue" numFmtId="0">
      <sharedItems containsSemiMixedTypes="0" containsString="0" containsNumber="1" containsInteger="1" minValue="24" maxValue="3908"/>
    </cacheField>
    <cacheField name="Profit estimate" numFmtId="0">
      <sharedItems containsSemiMixedTypes="0" containsString="0" containsNumber="1" containsInteger="1" minValue="-381" maxValue="3788"/>
    </cacheField>
    <cacheField name="Picknik" numFmtId="0">
      <sharedItems/>
    </cacheField>
  </cacheFields>
  <extLst>
    <ext xmlns:x14="http://schemas.microsoft.com/office/spreadsheetml/2009/9/main" uri="{725AE2AE-9491-48be-B2B4-4EB974FC3084}">
      <x14:pivotCacheDefinition pivotCacheId="36428540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92">
  <r>
    <s v="SALE0"/>
    <d v="2024-07-07T00:00:00"/>
    <x v="0"/>
    <s v="CUST1409"/>
    <x v="0"/>
    <x v="0"/>
    <s v="PROD97"/>
    <s v="Cricket Bat"/>
    <x v="0"/>
    <n v="246"/>
    <s v="STORE3"/>
    <x v="0"/>
    <n v="1"/>
    <n v="218"/>
    <n v="0.09"/>
    <x v="0"/>
    <n v="198"/>
    <n v="-48"/>
    <s v="Not Selected"/>
  </r>
  <r>
    <s v="SALE1"/>
    <d v="2023-12-25T00:00:00"/>
    <x v="1"/>
    <s v="CUST1467"/>
    <x v="1"/>
    <x v="1"/>
    <s v="PROD74"/>
    <s v="Bluetooth Car Audio System"/>
    <x v="1"/>
    <n v="404"/>
    <s v="STORE17"/>
    <x v="0"/>
    <n v="3"/>
    <n v="104"/>
    <n v="0.27"/>
    <x v="1"/>
    <n v="229"/>
    <n v="-175"/>
    <s v="Not Selected"/>
  </r>
  <r>
    <s v="SALE2"/>
    <d v="2024-06-03T00:00:00"/>
    <x v="2"/>
    <s v="CUST1056"/>
    <x v="1"/>
    <x v="2"/>
    <s v="PROD49"/>
    <s v="Men's Roll-On Perfume"/>
    <x v="2"/>
    <n v="43"/>
    <s v="STORE8"/>
    <x v="1"/>
    <n v="4"/>
    <n v="914"/>
    <n v="0.25"/>
    <x v="0"/>
    <n v="2742"/>
    <n v="2699"/>
    <s v="Selected"/>
  </r>
  <r>
    <s v="SALE3"/>
    <d v="2023-11-29T00:00:00"/>
    <x v="3"/>
    <s v="CUST1346"/>
    <x v="1"/>
    <x v="3"/>
    <s v="PROD76"/>
    <s v="Wireless Mouse"/>
    <x v="1"/>
    <n v="393"/>
    <s v="STORE8"/>
    <x v="1"/>
    <n v="1"/>
    <n v="922"/>
    <n v="0.16"/>
    <x v="2"/>
    <n v="774"/>
    <n v="381"/>
    <s v="Not Selected"/>
  </r>
  <r>
    <s v="SALE4"/>
    <d v="2024-01-06T00:00:00"/>
    <x v="4"/>
    <s v="CUST1493"/>
    <x v="0"/>
    <x v="4"/>
    <s v="PROD59"/>
    <s v="Men's Hair Styling Gel"/>
    <x v="2"/>
    <n v="17"/>
    <s v="STORE5"/>
    <x v="0"/>
    <n v="3"/>
    <n v="745"/>
    <n v="0.18"/>
    <x v="0"/>
    <n v="1833"/>
    <n v="1816"/>
    <s v="Selected"/>
  </r>
  <r>
    <s v="SALE5"/>
    <d v="2024-07-26T00:00:00"/>
    <x v="0"/>
    <s v="CUST1116"/>
    <x v="1"/>
    <x v="5"/>
    <s v="PROD15"/>
    <s v="4K Home Projector"/>
    <x v="1"/>
    <n v="465"/>
    <s v="STORE7"/>
    <x v="2"/>
    <n v="3"/>
    <n v="147"/>
    <n v="0.19"/>
    <x v="2"/>
    <n v="357"/>
    <n v="-108"/>
    <s v="Not Selected"/>
  </r>
  <r>
    <s v="SALE6"/>
    <d v="2025-07-12T00:00:00"/>
    <x v="0"/>
    <s v="CUST1016"/>
    <x v="1"/>
    <x v="2"/>
    <s v="PROD56"/>
    <s v="Premium Blanket Throw"/>
    <x v="3"/>
    <n v="461"/>
    <s v="STORE4"/>
    <x v="2"/>
    <n v="2"/>
    <n v="785"/>
    <n v="0.15"/>
    <x v="1"/>
    <n v="1335"/>
    <n v="874"/>
    <s v="Selected"/>
  </r>
  <r>
    <s v="SALE7"/>
    <d v="2023-11-18T00:00:00"/>
    <x v="3"/>
    <s v="CUST1152"/>
    <x v="1"/>
    <x v="6"/>
    <s v="PROD70"/>
    <s v="Kitchen Storage Rack"/>
    <x v="3"/>
    <n v="138"/>
    <s v="STORE8"/>
    <x v="1"/>
    <n v="4"/>
    <n v="342"/>
    <n v="0.23"/>
    <x v="1"/>
    <n v="1055"/>
    <n v="917"/>
    <s v="Selected"/>
  </r>
  <r>
    <s v="SALE8"/>
    <d v="2025-05-04T00:00:00"/>
    <x v="5"/>
    <s v="CUST1187"/>
    <x v="1"/>
    <x v="4"/>
    <s v="PROD99"/>
    <s v="Stainless Steel Cookware Set"/>
    <x v="3"/>
    <n v="201"/>
    <s v="STORE5"/>
    <x v="0"/>
    <n v="2"/>
    <n v="448"/>
    <n v="7.0000000000000007E-2"/>
    <x v="1"/>
    <n v="1251"/>
    <n v="1050"/>
    <s v="Selected"/>
  </r>
  <r>
    <s v="SALE9"/>
    <d v="2025-07-31T00:00:00"/>
    <x v="0"/>
    <s v="CUST1464"/>
    <x v="1"/>
    <x v="7"/>
    <s v="PROD33"/>
    <s v="Modern Wall Clock"/>
    <x v="3"/>
    <n v="180"/>
    <s v="STORE0"/>
    <x v="3"/>
    <n v="2"/>
    <n v="873"/>
    <n v="0.23"/>
    <x v="1"/>
    <n v="1345"/>
    <n v="1165"/>
    <s v="Selected"/>
  </r>
  <r>
    <s v="SALE10"/>
    <d v="2024-02-13T00:00:00"/>
    <x v="6"/>
    <s v="CUST1065"/>
    <x v="1"/>
    <x v="8"/>
    <s v="PROD24"/>
    <s v="Foldable Camping Chair"/>
    <x v="0"/>
    <n v="166"/>
    <s v="STORE14"/>
    <x v="0"/>
    <n v="1"/>
    <n v="279"/>
    <n v="7.0000000000000007E-2"/>
    <x v="0"/>
    <n v="259"/>
    <n v="93"/>
    <s v="Not Selected"/>
  </r>
  <r>
    <s v="SALE11"/>
    <d v="2025-05-24T00:00:00"/>
    <x v="5"/>
    <s v="CUST1320"/>
    <x v="1"/>
    <x v="9"/>
    <s v="PROD39"/>
    <s v="Portable Power Bank"/>
    <x v="1"/>
    <n v="326"/>
    <s v="STORE1"/>
    <x v="0"/>
    <n v="4"/>
    <n v="287"/>
    <n v="0.17"/>
    <x v="0"/>
    <n v="953"/>
    <n v="627"/>
    <s v="Not Selected"/>
  </r>
  <r>
    <s v="SALE12"/>
    <d v="2024-08-24T00:00:00"/>
    <x v="7"/>
    <s v="CUST1237"/>
    <x v="1"/>
    <x v="10"/>
    <s v="PROD88"/>
    <s v="Sports Wrist Sweatbands"/>
    <x v="0"/>
    <n v="131"/>
    <s v="STORE4"/>
    <x v="2"/>
    <n v="4"/>
    <n v="645"/>
    <n v="0.01"/>
    <x v="0"/>
    <n v="2553"/>
    <n v="2422"/>
    <s v="Selected"/>
  </r>
  <r>
    <s v="SALE13"/>
    <d v="2025-08-06T00:00:00"/>
    <x v="7"/>
    <s v="CUST1443"/>
    <x v="0"/>
    <x v="11"/>
    <s v="PROD34"/>
    <s v="Gaming Mechanical Keyboard"/>
    <x v="1"/>
    <n v="419"/>
    <s v="STORE16"/>
    <x v="0"/>
    <n v="2"/>
    <n v="317"/>
    <n v="0.3"/>
    <x v="1"/>
    <n v="444"/>
    <n v="25"/>
    <s v="Not Selected"/>
  </r>
  <r>
    <s v="SALE14"/>
    <d v="2025-06-21T00:00:00"/>
    <x v="2"/>
    <s v="CUST1348"/>
    <x v="0"/>
    <x v="2"/>
    <s v="PROD24"/>
    <s v="Foldable Camping Chair"/>
    <x v="0"/>
    <n v="166"/>
    <s v="STORE15"/>
    <x v="0"/>
    <n v="4"/>
    <n v="403"/>
    <n v="0.28999999999999998"/>
    <x v="1"/>
    <n v="1146"/>
    <n v="980"/>
    <s v="Selected"/>
  </r>
  <r>
    <s v="SALE15"/>
    <d v="2024-12-10T00:00:00"/>
    <x v="1"/>
    <s v="CUST1435"/>
    <x v="1"/>
    <x v="12"/>
    <s v="PROD36"/>
    <s v="Women's Summer Dress"/>
    <x v="4"/>
    <n v="223"/>
    <s v="STORE9"/>
    <x v="2"/>
    <n v="2"/>
    <n v="871"/>
    <n v="0.04"/>
    <x v="2"/>
    <n v="2509"/>
    <n v="2286"/>
    <s v="Selected"/>
  </r>
  <r>
    <s v="SALE16"/>
    <d v="2025-09-13T00:00:00"/>
    <x v="8"/>
    <s v="CUST1276"/>
    <x v="0"/>
    <x v="8"/>
    <s v="PROD65"/>
    <s v="Adjustable Dumbbells 20kg"/>
    <x v="0"/>
    <n v="241"/>
    <s v="STORE19"/>
    <x v="0"/>
    <n v="2"/>
    <n v="452"/>
    <n v="0.25"/>
    <x v="0"/>
    <n v="678"/>
    <n v="437"/>
    <s v="Not Selected"/>
  </r>
  <r>
    <s v="SALE17"/>
    <d v="2024-12-11T00:00:00"/>
    <x v="1"/>
    <s v="CUST1079"/>
    <x v="1"/>
    <x v="13"/>
    <s v="PROD27"/>
    <s v="Decorative Floor Vase"/>
    <x v="3"/>
    <n v="254"/>
    <s v="STORE4"/>
    <x v="2"/>
    <n v="2"/>
    <n v="503"/>
    <n v="0.23"/>
    <x v="0"/>
    <n v="774"/>
    <n v="520"/>
    <s v="Not Selected"/>
  </r>
  <r>
    <s v="SALE18"/>
    <d v="2024-08-13T00:00:00"/>
    <x v="7"/>
    <s v="CUST1094"/>
    <x v="1"/>
    <x v="8"/>
    <s v="PROD39"/>
    <s v="Portable Power Bank"/>
    <x v="1"/>
    <n v="326"/>
    <s v="STORE4"/>
    <x v="2"/>
    <n v="2"/>
    <n v="559"/>
    <n v="0.25"/>
    <x v="2"/>
    <n v="839"/>
    <n v="513"/>
    <s v="Not Selected"/>
  </r>
  <r>
    <s v="SALE19"/>
    <d v="2024-03-18T00:00:00"/>
    <x v="9"/>
    <s v="CUST1239"/>
    <x v="1"/>
    <x v="8"/>
    <s v="PROD60"/>
    <s v="Luxury Perfume Spray"/>
    <x v="2"/>
    <n v="483"/>
    <s v="STORE13"/>
    <x v="0"/>
    <n v="4"/>
    <n v="514"/>
    <n v="0.04"/>
    <x v="2"/>
    <n v="1782"/>
    <n v="1299"/>
    <s v="Selected"/>
  </r>
  <r>
    <s v="SALE20"/>
    <d v="2025-07-05T00:00:00"/>
    <x v="0"/>
    <s v="CUST1144"/>
    <x v="1"/>
    <x v="8"/>
    <s v="PROD72"/>
    <s v="Professional Jump Rope"/>
    <x v="0"/>
    <n v="478"/>
    <s v="STORE17"/>
    <x v="0"/>
    <n v="3"/>
    <n v="986"/>
    <n v="0.27"/>
    <x v="2"/>
    <n v="2159"/>
    <n v="1681"/>
    <s v="Selected"/>
  </r>
  <r>
    <s v="SALE21"/>
    <d v="2024-06-04T00:00:00"/>
    <x v="2"/>
    <s v="CUST1396"/>
    <x v="1"/>
    <x v="14"/>
    <s v="PROD43"/>
    <s v="USB External Hard Drive"/>
    <x v="1"/>
    <n v="253"/>
    <s v="STORE18"/>
    <x v="0"/>
    <n v="1"/>
    <n v="590"/>
    <n v="0.22"/>
    <x v="0"/>
    <n v="460"/>
    <n v="207"/>
    <s v="Not Selected"/>
  </r>
  <r>
    <s v="SALE22"/>
    <d v="2024-04-12T00:00:00"/>
    <x v="10"/>
    <s v="CUST1476"/>
    <x v="1"/>
    <x v="15"/>
    <s v="PROD69"/>
    <s v="Men's Sports Shorts"/>
    <x v="4"/>
    <n v="218"/>
    <s v="STORE10"/>
    <x v="0"/>
    <n v="3"/>
    <n v="979"/>
    <n v="0.03"/>
    <x v="1"/>
    <n v="2850"/>
    <n v="2632"/>
    <s v="Selected"/>
  </r>
  <r>
    <s v="SALE23"/>
    <d v="2024-06-23T00:00:00"/>
    <x v="2"/>
    <s v="CUST1368"/>
    <x v="1"/>
    <x v="14"/>
    <s v="PROD12"/>
    <s v="Hair Strengthening Shampoo"/>
    <x v="2"/>
    <n v="116"/>
    <s v="STORE8"/>
    <x v="1"/>
    <n v="1"/>
    <n v="719"/>
    <n v="0.08"/>
    <x v="0"/>
    <n v="662"/>
    <n v="546"/>
    <s v="Not Selected"/>
  </r>
  <r>
    <s v="SALE24"/>
    <d v="2025-09-08T00:00:00"/>
    <x v="8"/>
    <s v="CUST1186"/>
    <x v="0"/>
    <x v="6"/>
    <s v="PROD67"/>
    <s v="Smart LED Light Strip"/>
    <x v="1"/>
    <n v="349"/>
    <s v="STORE6"/>
    <x v="3"/>
    <n v="3"/>
    <n v="78"/>
    <n v="7.0000000000000007E-2"/>
    <x v="0"/>
    <n v="217"/>
    <n v="-132"/>
    <s v="Not Selected"/>
  </r>
  <r>
    <s v="SALE25"/>
    <d v="2024-09-17T00:00:00"/>
    <x v="8"/>
    <s v="CUST1381"/>
    <x v="0"/>
    <x v="4"/>
    <s v="PROD5"/>
    <s v="Men's Roll-On Perfume"/>
    <x v="2"/>
    <n v="43"/>
    <s v="STORE3"/>
    <x v="0"/>
    <n v="4"/>
    <n v="853"/>
    <n v="0.14000000000000001"/>
    <x v="1"/>
    <n v="2933"/>
    <n v="2890"/>
    <s v="Selected"/>
  </r>
  <r>
    <s v="SALE26"/>
    <d v="2024-01-03T00:00:00"/>
    <x v="4"/>
    <s v="CUST1213"/>
    <x v="1"/>
    <x v="16"/>
    <s v="PROD98"/>
    <s v="Portable Bluetooth Speaker"/>
    <x v="1"/>
    <n v="432"/>
    <s v="STORE8"/>
    <x v="1"/>
    <n v="4"/>
    <n v="156"/>
    <n v="0"/>
    <x v="0"/>
    <n v="600"/>
    <n v="168"/>
    <s v="Not Selected"/>
  </r>
  <r>
    <s v="SALE27"/>
    <d v="2025-02-22T00:00:00"/>
    <x v="6"/>
    <s v="CUST1200"/>
    <x v="0"/>
    <x v="17"/>
    <s v="PROD77"/>
    <s v="WiFi Mesh Router"/>
    <x v="1"/>
    <n v="481"/>
    <s v="STORE8"/>
    <x v="1"/>
    <n v="3"/>
    <n v="815"/>
    <n v="0.17"/>
    <x v="0"/>
    <n v="2031"/>
    <n v="1550"/>
    <s v="Selected"/>
  </r>
  <r>
    <s v="SALE28"/>
    <d v="2025-09-23T00:00:00"/>
    <x v="8"/>
    <s v="CUST1148"/>
    <x v="1"/>
    <x v="18"/>
    <s v="PROD13"/>
    <s v="USB-C Fast Charger"/>
    <x v="1"/>
    <n v="242"/>
    <s v="STORE2"/>
    <x v="2"/>
    <n v="2"/>
    <n v="74"/>
    <n v="0.11"/>
    <x v="1"/>
    <n v="132"/>
    <n v="-110"/>
    <s v="Not Selected"/>
  </r>
  <r>
    <s v="SALE30"/>
    <d v="2023-10-18T00:00:00"/>
    <x v="11"/>
    <s v="CUST1028"/>
    <x v="1"/>
    <x v="19"/>
    <s v="PROD5"/>
    <s v="Men's Roll-On Perfume"/>
    <x v="2"/>
    <n v="43"/>
    <s v="STORE19"/>
    <x v="0"/>
    <n v="1"/>
    <n v="429"/>
    <n v="0.13"/>
    <x v="1"/>
    <n v="374"/>
    <n v="331"/>
    <s v="Not Selected"/>
  </r>
  <r>
    <s v="SALE31"/>
    <d v="2024-10-28T00:00:00"/>
    <x v="11"/>
    <s v="CUST1412"/>
    <x v="1"/>
    <x v="20"/>
    <s v="PROD53"/>
    <s v="Men's Track Pants"/>
    <x v="4"/>
    <n v="387"/>
    <s v="STORE12"/>
    <x v="0"/>
    <n v="2"/>
    <n v="149"/>
    <n v="0.03"/>
    <x v="2"/>
    <n v="289"/>
    <n v="-98"/>
    <s v="Not Selected"/>
  </r>
  <r>
    <s v="SALE32"/>
    <d v="2024-11-01T00:00:00"/>
    <x v="3"/>
    <s v="CUST1398"/>
    <x v="0"/>
    <x v="21"/>
    <s v="PROD75"/>
    <s v="Women's Ankle Boots"/>
    <x v="4"/>
    <n v="158"/>
    <s v="STORE8"/>
    <x v="1"/>
    <n v="4"/>
    <n v="314"/>
    <n v="0.08"/>
    <x v="0"/>
    <n v="1155"/>
    <n v="997"/>
    <s v="Selected"/>
  </r>
  <r>
    <s v="SALE33"/>
    <d v="2024-11-24T00:00:00"/>
    <x v="3"/>
    <s v="CUST1453"/>
    <x v="1"/>
    <x v="22"/>
    <s v="PROD12"/>
    <s v="Hair Strengthening Shampoo"/>
    <x v="2"/>
    <n v="116"/>
    <s v="STORE6"/>
    <x v="3"/>
    <n v="2"/>
    <n v="717"/>
    <n v="0.15"/>
    <x v="0"/>
    <n v="1219"/>
    <n v="1103"/>
    <s v="Selected"/>
  </r>
  <r>
    <s v="SALE34"/>
    <d v="2023-10-16T00:00:00"/>
    <x v="11"/>
    <s v="CUST1344"/>
    <x v="0"/>
    <x v="23"/>
    <s v="PROD79"/>
    <s v="Decorative Lamp Shade"/>
    <x v="3"/>
    <n v="229"/>
    <s v="STORE1"/>
    <x v="0"/>
    <n v="2"/>
    <n v="873"/>
    <n v="0.18"/>
    <x v="0"/>
    <n v="2148"/>
    <n v="1919"/>
    <s v="Selected"/>
  </r>
  <r>
    <s v="SALE35"/>
    <d v="2025-08-09T00:00:00"/>
    <x v="7"/>
    <s v="CUST1218"/>
    <x v="0"/>
    <x v="24"/>
    <s v="PROD16"/>
    <s v="Beard Grooming Kit"/>
    <x v="2"/>
    <n v="337"/>
    <s v="STORE3"/>
    <x v="0"/>
    <n v="4"/>
    <n v="109"/>
    <n v="0.19"/>
    <x v="2"/>
    <n v="354"/>
    <n v="17"/>
    <s v="Not Selected"/>
  </r>
  <r>
    <s v="SALE36"/>
    <d v="2024-12-09T00:00:00"/>
    <x v="1"/>
    <s v="CUST1086"/>
    <x v="1"/>
    <x v="25"/>
    <s v="PROD5"/>
    <s v="Men's Roll-On Perfume"/>
    <x v="2"/>
    <n v="43"/>
    <s v="STORE7"/>
    <x v="2"/>
    <n v="3"/>
    <n v="560"/>
    <n v="0.16"/>
    <x v="1"/>
    <n v="1410"/>
    <n v="1367"/>
    <s v="Selected"/>
  </r>
  <r>
    <s v="SALE37"/>
    <d v="2024-02-07T00:00:00"/>
    <x v="6"/>
    <s v="CUST1492"/>
    <x v="1"/>
    <x v="26"/>
    <s v="PROD10"/>
    <s v="Men's Graphic T-Shirt"/>
    <x v="4"/>
    <n v="343"/>
    <s v="STORE17"/>
    <x v="0"/>
    <n v="3"/>
    <n v="122"/>
    <n v="0.27"/>
    <x v="1"/>
    <n v="267"/>
    <n v="-76"/>
    <s v="Not Selected"/>
  </r>
  <r>
    <s v="SALE38"/>
    <d v="2024-03-27T00:00:00"/>
    <x v="9"/>
    <s v="CUST1189"/>
    <x v="0"/>
    <x v="27"/>
    <s v="PROD33"/>
    <s v="Modern Wall Clock"/>
    <x v="3"/>
    <n v="180"/>
    <s v="STORE13"/>
    <x v="0"/>
    <n v="4"/>
    <n v="735"/>
    <n v="0.06"/>
    <x v="2"/>
    <n v="2765"/>
    <n v="2585"/>
    <s v="Selected"/>
  </r>
  <r>
    <s v="SALE39"/>
    <d v="2023-12-04T00:00:00"/>
    <x v="1"/>
    <s v="CUST1431"/>
    <x v="0"/>
    <x v="24"/>
    <s v="PROD94"/>
    <s v="Vitamin E Body Lotion"/>
    <x v="2"/>
    <n v="358"/>
    <s v="STORE3"/>
    <x v="0"/>
    <n v="2"/>
    <n v="601"/>
    <n v="0.08"/>
    <x v="0"/>
    <n v="1105"/>
    <n v="747"/>
    <s v="Selected"/>
  </r>
  <r>
    <s v="SALE40"/>
    <d v="2024-07-13T00:00:00"/>
    <x v="0"/>
    <s v="CUST1072"/>
    <x v="1"/>
    <x v="9"/>
    <s v="PROD26"/>
    <s v="Wireless Bluetooth Speaker"/>
    <x v="1"/>
    <n v="322"/>
    <s v="STORE19"/>
    <x v="0"/>
    <n v="2"/>
    <n v="874"/>
    <n v="7.0000000000000007E-2"/>
    <x v="2"/>
    <n v="1625"/>
    <n v="1303"/>
    <s v="Selected"/>
  </r>
  <r>
    <s v="SALE41"/>
    <d v="2023-11-11T00:00:00"/>
    <x v="3"/>
    <s v="CUST1302"/>
    <x v="0"/>
    <x v="28"/>
    <s v="PROD23"/>
    <s v="Men's Formal Shirt"/>
    <x v="4"/>
    <n v="254"/>
    <s v="STORE8"/>
    <x v="1"/>
    <n v="3"/>
    <n v="342"/>
    <n v="0.08"/>
    <x v="1"/>
    <n v="945"/>
    <n v="691"/>
    <s v="Not Selected"/>
  </r>
  <r>
    <s v="SALE42"/>
    <d v="2024-12-23T00:00:00"/>
    <x v="1"/>
    <s v="CUST1335"/>
    <x v="0"/>
    <x v="29"/>
    <s v="PROD29"/>
    <s v="Fabric Sofa Throw Blanket"/>
    <x v="3"/>
    <n v="218"/>
    <s v="STORE9"/>
    <x v="2"/>
    <n v="2"/>
    <n v="915"/>
    <n v="0.16"/>
    <x v="1"/>
    <n v="1537"/>
    <n v="1319"/>
    <s v="Selected"/>
  </r>
  <r>
    <s v="SALE43"/>
    <d v="2025-01-20T00:00:00"/>
    <x v="4"/>
    <s v="CUST1084"/>
    <x v="1"/>
    <x v="30"/>
    <s v="PROD33"/>
    <s v="Modern Wall Clock"/>
    <x v="3"/>
    <n v="180"/>
    <s v="STORE17"/>
    <x v="0"/>
    <n v="2"/>
    <n v="863"/>
    <n v="0.28000000000000003"/>
    <x v="1"/>
    <n v="1864"/>
    <n v="1684"/>
    <s v="Selected"/>
  </r>
  <r>
    <s v="SALE44"/>
    <d v="2024-09-03T00:00:00"/>
    <x v="8"/>
    <s v="CUST1203"/>
    <x v="0"/>
    <x v="9"/>
    <s v="PROD43"/>
    <s v="USB External Hard Drive"/>
    <x v="1"/>
    <n v="253"/>
    <s v="STORE12"/>
    <x v="0"/>
    <n v="2"/>
    <n v="209"/>
    <n v="0.23"/>
    <x v="2"/>
    <n v="322"/>
    <n v="69"/>
    <s v="Not Selected"/>
  </r>
  <r>
    <s v="SALE45"/>
    <d v="2024-11-10T00:00:00"/>
    <x v="3"/>
    <s v="CUST1470"/>
    <x v="1"/>
    <x v="21"/>
    <s v="PROD59"/>
    <s v="Men's Hair Styling Gel"/>
    <x v="2"/>
    <n v="17"/>
    <s v="STORE8"/>
    <x v="1"/>
    <n v="4"/>
    <n v="289"/>
    <n v="0.09"/>
    <x v="1"/>
    <n v="1051"/>
    <n v="1034"/>
    <s v="Selected"/>
  </r>
  <r>
    <s v="SALE46"/>
    <d v="2024-10-05T00:00:00"/>
    <x v="11"/>
    <s v="CUST1070"/>
    <x v="1"/>
    <x v="23"/>
    <s v="PROD78"/>
    <s v="Essential Oil Diffuser"/>
    <x v="3"/>
    <n v="325"/>
    <s v="STORE16"/>
    <x v="0"/>
    <n v="1"/>
    <n v="419"/>
    <n v="0.06"/>
    <x v="1"/>
    <n v="394"/>
    <n v="69"/>
    <s v="Not Selected"/>
  </r>
  <r>
    <s v="SALE47"/>
    <d v="2024-06-23T00:00:00"/>
    <x v="2"/>
    <s v="CUST1008"/>
    <x v="1"/>
    <x v="21"/>
    <s v="PROD30"/>
    <s v="Stainless Steel Cutlery Set"/>
    <x v="3"/>
    <n v="20"/>
    <s v="STORE11"/>
    <x v="0"/>
    <n v="1"/>
    <n v="136"/>
    <n v="0.14000000000000001"/>
    <x v="1"/>
    <n v="117"/>
    <n v="97"/>
    <s v="Not Selected"/>
  </r>
  <r>
    <s v="SALE49"/>
    <d v="2024-11-11T00:00:00"/>
    <x v="3"/>
    <s v="CUST1420"/>
    <x v="0"/>
    <x v="29"/>
    <s v="PROD21"/>
    <s v="Multi-Purpose Storage Box"/>
    <x v="3"/>
    <n v="123"/>
    <s v="STORE16"/>
    <x v="0"/>
    <n v="2"/>
    <n v="385"/>
    <n v="0.08"/>
    <x v="2"/>
    <n v="708"/>
    <n v="585"/>
    <s v="Not Selected"/>
  </r>
  <r>
    <s v="SALE51"/>
    <d v="2025-02-01T00:00:00"/>
    <x v="6"/>
    <s v="CUST1142"/>
    <x v="0"/>
    <x v="10"/>
    <s v="PROD69"/>
    <s v="Men's Sports Shorts"/>
    <x v="4"/>
    <n v="218"/>
    <s v="STORE7"/>
    <x v="2"/>
    <n v="3"/>
    <n v="77"/>
    <n v="0.26"/>
    <x v="0"/>
    <n v="170"/>
    <n v="-48"/>
    <s v="Not Selected"/>
  </r>
  <r>
    <s v="SALE53"/>
    <d v="2025-01-20T00:00:00"/>
    <x v="4"/>
    <s v="CUST1324"/>
    <x v="0"/>
    <x v="15"/>
    <s v="PROD20"/>
    <s v="Outdoor Sports Water Bottle"/>
    <x v="0"/>
    <n v="132"/>
    <s v="STORE8"/>
    <x v="1"/>
    <n v="1"/>
    <n v="900"/>
    <n v="0.13"/>
    <x v="2"/>
    <n v="783"/>
    <n v="651"/>
    <s v="Not Selected"/>
  </r>
  <r>
    <s v="SALE54"/>
    <d v="2025-02-18T00:00:00"/>
    <x v="6"/>
    <s v="CUST1095"/>
    <x v="1"/>
    <x v="14"/>
    <s v="PROD40"/>
    <s v="Noise-Canceling Headphones"/>
    <x v="1"/>
    <n v="39"/>
    <s v="STORE10"/>
    <x v="0"/>
    <n v="4"/>
    <n v="428"/>
    <n v="7.0000000000000007E-2"/>
    <x v="0"/>
    <n v="1592"/>
    <n v="1553"/>
    <s v="Selected"/>
  </r>
  <r>
    <s v="SALE55"/>
    <d v="2024-10-24T00:00:00"/>
    <x v="11"/>
    <s v="CUST1416"/>
    <x v="0"/>
    <x v="18"/>
    <s v="PROD49"/>
    <s v="Men's Roll-On Perfume"/>
    <x v="2"/>
    <n v="43"/>
    <s v="STORE11"/>
    <x v="0"/>
    <n v="2"/>
    <n v="560"/>
    <n v="0.3"/>
    <x v="2"/>
    <n v="784"/>
    <n v="741"/>
    <s v="Not Selected"/>
  </r>
  <r>
    <s v="SALE56"/>
    <d v="2023-12-22T00:00:00"/>
    <x v="1"/>
    <s v="CUST1080"/>
    <x v="1"/>
    <x v="23"/>
    <s v="PROD34"/>
    <s v="Gaming Mechanical Keyboard"/>
    <x v="1"/>
    <n v="419"/>
    <s v="STORE6"/>
    <x v="3"/>
    <n v="2"/>
    <n v="834"/>
    <n v="0.06"/>
    <x v="1"/>
    <n v="1567"/>
    <n v="1148"/>
    <s v="Selected"/>
  </r>
  <r>
    <s v="SALE58"/>
    <d v="2024-12-07T00:00:00"/>
    <x v="1"/>
    <s v="CUST1404"/>
    <x v="1"/>
    <x v="13"/>
    <s v="PROD15"/>
    <s v="4K Home Projector"/>
    <x v="1"/>
    <n v="465"/>
    <s v="STORE7"/>
    <x v="2"/>
    <n v="4"/>
    <n v="733"/>
    <n v="0"/>
    <x v="1"/>
    <n v="2552"/>
    <n v="2087"/>
    <s v="Selected"/>
  </r>
  <r>
    <s v="SALE59"/>
    <d v="2023-11-27T00:00:00"/>
    <x v="3"/>
    <s v="CUST1367"/>
    <x v="0"/>
    <x v="31"/>
    <s v="PROD89"/>
    <s v="Face Foundation Kit"/>
    <x v="2"/>
    <n v="183"/>
    <s v="STORE11"/>
    <x v="0"/>
    <n v="1"/>
    <n v="996"/>
    <n v="0.23"/>
    <x v="1"/>
    <n v="767"/>
    <n v="584"/>
    <s v="Not Selected"/>
  </r>
  <r>
    <s v="SALE60"/>
    <d v="2025-07-16T00:00:00"/>
    <x v="0"/>
    <s v="CUST1408"/>
    <x v="0"/>
    <x v="19"/>
    <s v="PROD31"/>
    <s v="Basketball"/>
    <x v="0"/>
    <n v="204"/>
    <s v="STORE10"/>
    <x v="0"/>
    <n v="1"/>
    <n v="199"/>
    <n v="0.09"/>
    <x v="2"/>
    <n v="181"/>
    <n v="-23"/>
    <s v="Not Selected"/>
  </r>
  <r>
    <s v="SALE63"/>
    <d v="2025-09-27T00:00:00"/>
    <x v="8"/>
    <s v="CUST1126"/>
    <x v="1"/>
    <x v="28"/>
    <s v="PROD89"/>
    <s v="Face Foundation Kit"/>
    <x v="2"/>
    <n v="183"/>
    <s v="STORE12"/>
    <x v="0"/>
    <n v="2"/>
    <n v="121"/>
    <n v="0.05"/>
    <x v="0"/>
    <n v="231"/>
    <n v="48"/>
    <s v="Not Selected"/>
  </r>
  <r>
    <s v="SALE64"/>
    <d v="2025-09-14T00:00:00"/>
    <x v="8"/>
    <s v="CUST1255"/>
    <x v="0"/>
    <x v="31"/>
    <s v="PROD53"/>
    <s v="Men's Track Pants"/>
    <x v="4"/>
    <n v="387"/>
    <s v="STORE10"/>
    <x v="0"/>
    <n v="3"/>
    <n v="480"/>
    <n v="0.01"/>
    <x v="0"/>
    <n v="1088"/>
    <n v="701"/>
    <s v="Selected"/>
  </r>
  <r>
    <s v="SALE65"/>
    <d v="2023-12-30T00:00:00"/>
    <x v="1"/>
    <s v="CUST1162"/>
    <x v="0"/>
    <x v="3"/>
    <s v="PROD99"/>
    <s v="Stainless Steel Cookware Set"/>
    <x v="3"/>
    <n v="201"/>
    <s v="STORE17"/>
    <x v="0"/>
    <n v="2"/>
    <n v="857"/>
    <n v="0.24"/>
    <x v="0"/>
    <n v="1302"/>
    <n v="1101"/>
    <s v="Selected"/>
  </r>
  <r>
    <s v="SALE66"/>
    <d v="2023-10-14T00:00:00"/>
    <x v="11"/>
    <s v="CUST1269"/>
    <x v="1"/>
    <x v="24"/>
    <s v="PROD77"/>
    <s v="WiFi Mesh Router"/>
    <x v="1"/>
    <n v="481"/>
    <s v="STORE2"/>
    <x v="2"/>
    <n v="4"/>
    <n v="814"/>
    <n v="0.18"/>
    <x v="0"/>
    <n v="2671"/>
    <n v="2190"/>
    <s v="Selected"/>
  </r>
  <r>
    <s v="SALE67"/>
    <d v="2023-11-25T00:00:00"/>
    <x v="3"/>
    <s v="CUST1483"/>
    <x v="0"/>
    <x v="8"/>
    <s v="PROD12"/>
    <s v="Hair Strengthening Shampoo"/>
    <x v="2"/>
    <n v="116"/>
    <s v="STORE2"/>
    <x v="2"/>
    <n v="1"/>
    <n v="989"/>
    <n v="0.2"/>
    <x v="1"/>
    <n v="791"/>
    <n v="675"/>
    <s v="Not Selected"/>
  </r>
  <r>
    <s v="SALE68"/>
    <d v="2023-12-10T00:00:00"/>
    <x v="1"/>
    <s v="CUST1372"/>
    <x v="0"/>
    <x v="31"/>
    <s v="PROD72"/>
    <s v="Professional Jump Rope"/>
    <x v="0"/>
    <n v="478"/>
    <s v="STORE10"/>
    <x v="0"/>
    <n v="4"/>
    <n v="62"/>
    <n v="0.18"/>
    <x v="0"/>
    <n v="205"/>
    <n v="-273"/>
    <s v="Not Selected"/>
  </r>
  <r>
    <s v="SALE69"/>
    <d v="2025-08-28T00:00:00"/>
    <x v="7"/>
    <s v="CUST1423"/>
    <x v="0"/>
    <x v="32"/>
    <s v="PROD13"/>
    <s v="USB-C Fast Charger"/>
    <x v="1"/>
    <n v="242"/>
    <s v="STORE16"/>
    <x v="0"/>
    <n v="4"/>
    <n v="561"/>
    <n v="0.24"/>
    <x v="0"/>
    <n v="1706"/>
    <n v="1464"/>
    <s v="Selected"/>
  </r>
  <r>
    <s v="SALE70"/>
    <d v="2025-07-11T00:00:00"/>
    <x v="0"/>
    <s v="CUST1058"/>
    <x v="0"/>
    <x v="33"/>
    <s v="PROD60"/>
    <s v="Luxury Perfume Spray"/>
    <x v="2"/>
    <n v="483"/>
    <s v="STORE5"/>
    <x v="0"/>
    <n v="3"/>
    <n v="92"/>
    <n v="0.28000000000000003"/>
    <x v="2"/>
    <n v="1088"/>
    <n v="605"/>
    <s v="Selected"/>
  </r>
  <r>
    <s v="SALE71"/>
    <d v="2025-08-20T00:00:00"/>
    <x v="7"/>
    <s v="CUST1168"/>
    <x v="1"/>
    <x v="26"/>
    <s v="PROD72"/>
    <s v="Professional Jump Rope"/>
    <x v="0"/>
    <n v="478"/>
    <s v="STORE1"/>
    <x v="0"/>
    <n v="2"/>
    <n v="668"/>
    <n v="7.0000000000000007E-2"/>
    <x v="0"/>
    <n v="1243"/>
    <n v="765"/>
    <s v="Selected"/>
  </r>
  <r>
    <s v="SALE73"/>
    <d v="2024-11-30T00:00:00"/>
    <x v="3"/>
    <s v="CUST1037"/>
    <x v="1"/>
    <x v="34"/>
    <s v="PROD45"/>
    <s v="High-Grip Football"/>
    <x v="0"/>
    <n v="319"/>
    <s v="STORE11"/>
    <x v="0"/>
    <n v="2"/>
    <n v="556"/>
    <n v="0.13"/>
    <x v="0"/>
    <n v="968"/>
    <n v="649"/>
    <s v="Not Selected"/>
  </r>
  <r>
    <s v="SALE74"/>
    <d v="2025-10-12T00:00:00"/>
    <x v="11"/>
    <s v="CUST1273"/>
    <x v="0"/>
    <x v="25"/>
    <s v="PROD20"/>
    <s v="Outdoor Sports Water Bottle"/>
    <x v="0"/>
    <n v="132"/>
    <s v="STORE8"/>
    <x v="1"/>
    <n v="1"/>
    <n v="185"/>
    <n v="0.1"/>
    <x v="2"/>
    <n v="166"/>
    <n v="34"/>
    <s v="Not Selected"/>
  </r>
  <r>
    <s v="SALE75"/>
    <d v="2024-07-27T00:00:00"/>
    <x v="0"/>
    <s v="CUST1035"/>
    <x v="0"/>
    <x v="16"/>
    <s v="PROD97"/>
    <s v="Cricket Bat"/>
    <x v="0"/>
    <n v="246"/>
    <s v="STORE12"/>
    <x v="0"/>
    <n v="4"/>
    <n v="700"/>
    <n v="0.23"/>
    <x v="0"/>
    <n v="2157"/>
    <n v="1911"/>
    <s v="Selected"/>
  </r>
  <r>
    <s v="SALE76"/>
    <d v="2023-12-25T00:00:00"/>
    <x v="1"/>
    <s v="CUST1019"/>
    <x v="1"/>
    <x v="19"/>
    <s v="PROD76"/>
    <s v="Wireless Mouse"/>
    <x v="1"/>
    <n v="393"/>
    <s v="STORE10"/>
    <x v="0"/>
    <n v="2"/>
    <n v="686"/>
    <n v="0.25"/>
    <x v="0"/>
    <n v="1029"/>
    <n v="636"/>
    <s v="Selected"/>
  </r>
  <r>
    <s v="SALE77"/>
    <d v="2025-05-23T00:00:00"/>
    <x v="5"/>
    <s v="CUST1007"/>
    <x v="1"/>
    <x v="35"/>
    <s v="PROD67"/>
    <s v="Smart LED Light Strip"/>
    <x v="1"/>
    <n v="349"/>
    <s v="STORE15"/>
    <x v="0"/>
    <n v="1"/>
    <n v="688"/>
    <n v="0.27"/>
    <x v="2"/>
    <n v="502"/>
    <n v="153"/>
    <s v="Not Selected"/>
  </r>
  <r>
    <s v="SALE78"/>
    <d v="2024-11-13T00:00:00"/>
    <x v="3"/>
    <s v="CUST1221"/>
    <x v="0"/>
    <x v="36"/>
    <s v="PROD83"/>
    <s v="Hydrating Face Cleanser"/>
    <x v="2"/>
    <n v="254"/>
    <s v="STORE8"/>
    <x v="1"/>
    <n v="2"/>
    <n v="901"/>
    <n v="0.16"/>
    <x v="0"/>
    <n v="1513"/>
    <n v="1259"/>
    <s v="Selected"/>
  </r>
  <r>
    <s v="SALE79"/>
    <d v="2023-12-08T00:00:00"/>
    <x v="1"/>
    <s v="CUST1115"/>
    <x v="1"/>
    <x v="16"/>
    <s v="PROD21"/>
    <s v="Multi-Purpose Storage Box"/>
    <x v="3"/>
    <n v="123"/>
    <s v="STORE2"/>
    <x v="2"/>
    <n v="1"/>
    <n v="341"/>
    <n v="0.15"/>
    <x v="0"/>
    <n v="290"/>
    <n v="167"/>
    <s v="Not Selected"/>
  </r>
  <r>
    <s v="SALE80"/>
    <d v="2025-08-16T00:00:00"/>
    <x v="7"/>
    <s v="CUST1176"/>
    <x v="0"/>
    <x v="1"/>
    <s v="PROD52"/>
    <s v="Rugby Ball"/>
    <x v="0"/>
    <n v="212"/>
    <s v="STORE8"/>
    <x v="1"/>
    <n v="1"/>
    <n v="442"/>
    <n v="0.06"/>
    <x v="2"/>
    <n v="416"/>
    <n v="204"/>
    <s v="Not Selected"/>
  </r>
  <r>
    <s v="SALE81"/>
    <d v="2024-11-20T00:00:00"/>
    <x v="3"/>
    <s v="CUST1253"/>
    <x v="0"/>
    <x v="18"/>
    <s v="PROD71"/>
    <s v="Hair Repair Oil Treatment"/>
    <x v="2"/>
    <n v="214"/>
    <s v="STORE9"/>
    <x v="2"/>
    <n v="1"/>
    <n v="364"/>
    <n v="0.25"/>
    <x v="1"/>
    <n v="273"/>
    <n v="59"/>
    <s v="Not Selected"/>
  </r>
  <r>
    <s v="SALE82"/>
    <d v="2024-08-14T00:00:00"/>
    <x v="7"/>
    <s v="CUST1378"/>
    <x v="1"/>
    <x v="37"/>
    <s v="PROD91"/>
    <s v="Women's High Heels"/>
    <x v="4"/>
    <n v="438"/>
    <s v="STORE17"/>
    <x v="0"/>
    <n v="2"/>
    <n v="601"/>
    <n v="0.16"/>
    <x v="1"/>
    <n v="1010"/>
    <n v="572"/>
    <s v="Selected"/>
  </r>
  <r>
    <s v="SALE83"/>
    <d v="2024-05-15T00:00:00"/>
    <x v="5"/>
    <s v="CUST1403"/>
    <x v="0"/>
    <x v="38"/>
    <s v="PROD17"/>
    <s v="Soccer Training Cone Set"/>
    <x v="0"/>
    <n v="145"/>
    <s v="STORE18"/>
    <x v="0"/>
    <n v="4"/>
    <n v="34"/>
    <n v="0.03"/>
    <x v="1"/>
    <n v="133"/>
    <n v="-12"/>
    <s v="Not Selected"/>
  </r>
  <r>
    <s v="SALE85"/>
    <d v="2023-12-22T00:00:00"/>
    <x v="1"/>
    <s v="CUST1054"/>
    <x v="0"/>
    <x v="15"/>
    <s v="PROD88"/>
    <s v="Sports Wrist Sweatbands"/>
    <x v="0"/>
    <n v="131"/>
    <s v="STORE7"/>
    <x v="2"/>
    <n v="4"/>
    <n v="127"/>
    <n v="0.24"/>
    <x v="2"/>
    <n v="386"/>
    <n v="255"/>
    <s v="Not Selected"/>
  </r>
  <r>
    <s v="SALE86"/>
    <d v="2024-09-10T00:00:00"/>
    <x v="8"/>
    <s v="CUST1303"/>
    <x v="1"/>
    <x v="37"/>
    <s v="PROD20"/>
    <s v="Outdoor Sports Water Bottle"/>
    <x v="0"/>
    <n v="132"/>
    <s v="STORE3"/>
    <x v="0"/>
    <n v="3"/>
    <n v="900"/>
    <n v="0.28000000000000003"/>
    <x v="1"/>
    <n v="1943"/>
    <n v="1811"/>
    <s v="Selected"/>
  </r>
  <r>
    <s v="SALE87"/>
    <d v="2025-04-08T00:00:00"/>
    <x v="10"/>
    <s v="CUST1327"/>
    <x v="1"/>
    <x v="14"/>
    <s v="PROD1"/>
    <s v="Men's Graphic T-Shirt"/>
    <x v="4"/>
    <n v="343"/>
    <s v="STORE10"/>
    <x v="0"/>
    <n v="3"/>
    <n v="964"/>
    <n v="0.04"/>
    <x v="0"/>
    <n v="2777"/>
    <n v="2434"/>
    <s v="Selected"/>
  </r>
  <r>
    <s v="SALE88"/>
    <d v="2024-10-23T00:00:00"/>
    <x v="11"/>
    <s v="CUST1183"/>
    <x v="0"/>
    <x v="14"/>
    <s v="PROD38"/>
    <s v="Sports Water Hydration Pack"/>
    <x v="0"/>
    <n v="136"/>
    <s v="STORE0"/>
    <x v="3"/>
    <n v="2"/>
    <n v="218"/>
    <n v="0.14000000000000001"/>
    <x v="1"/>
    <n v="375"/>
    <n v="239"/>
    <s v="Not Selected"/>
  </r>
  <r>
    <s v="SALE89"/>
    <d v="2025-07-10T00:00:00"/>
    <x v="0"/>
    <s v="CUST1143"/>
    <x v="0"/>
    <x v="4"/>
    <s v="PROD17"/>
    <s v="Soccer Training Cone Set"/>
    <x v="0"/>
    <n v="145"/>
    <s v="STORE1"/>
    <x v="0"/>
    <n v="4"/>
    <n v="188"/>
    <n v="0.06"/>
    <x v="2"/>
    <n v="706"/>
    <n v="561"/>
    <s v="Not Selected"/>
  </r>
  <r>
    <s v="SALE90"/>
    <d v="2024-10-12T00:00:00"/>
    <x v="11"/>
    <s v="CUST1010"/>
    <x v="0"/>
    <x v="2"/>
    <s v="PROD33"/>
    <s v="Modern Wall Clock"/>
    <x v="3"/>
    <n v="180"/>
    <s v="STORE18"/>
    <x v="0"/>
    <n v="2"/>
    <n v="350"/>
    <n v="0.12"/>
    <x v="2"/>
    <n v="616"/>
    <n v="436"/>
    <s v="Not Selected"/>
  </r>
  <r>
    <s v="SALE91"/>
    <d v="2024-01-21T00:00:00"/>
    <x v="4"/>
    <s v="CUST1406"/>
    <x v="1"/>
    <x v="18"/>
    <s v="PROD16"/>
    <s v="Beard Grooming Kit"/>
    <x v="2"/>
    <n v="337"/>
    <s v="STORE1"/>
    <x v="0"/>
    <n v="4"/>
    <n v="102"/>
    <n v="0.17"/>
    <x v="1"/>
    <n v="339"/>
    <n v="2"/>
    <s v="Not Selected"/>
  </r>
  <r>
    <s v="SALE94"/>
    <d v="2024-08-26T00:00:00"/>
    <x v="7"/>
    <s v="CUST1298"/>
    <x v="0"/>
    <x v="17"/>
    <s v="PROD97"/>
    <s v="Cricket Bat"/>
    <x v="0"/>
    <n v="246"/>
    <s v="STORE19"/>
    <x v="0"/>
    <n v="2"/>
    <n v="569"/>
    <n v="0.01"/>
    <x v="1"/>
    <n v="1088"/>
    <n v="842"/>
    <s v="Selected"/>
  </r>
  <r>
    <s v="SALE95"/>
    <d v="2024-09-21T00:00:00"/>
    <x v="8"/>
    <s v="CUST1321"/>
    <x v="1"/>
    <x v="3"/>
    <s v="PROD99"/>
    <s v="Stainless Steel Cookware Set"/>
    <x v="3"/>
    <n v="201"/>
    <s v="STORE6"/>
    <x v="3"/>
    <n v="2"/>
    <n v="68"/>
    <n v="0.14000000000000001"/>
    <x v="2"/>
    <n v="117"/>
    <n v="-84"/>
    <s v="Not Selected"/>
  </r>
  <r>
    <s v="SALE96"/>
    <d v="2024-08-19T00:00:00"/>
    <x v="7"/>
    <s v="CUST1244"/>
    <x v="0"/>
    <x v="39"/>
    <s v="PROD50"/>
    <s v="Boxing Hand Wraps"/>
    <x v="0"/>
    <n v="190"/>
    <s v="STORE10"/>
    <x v="0"/>
    <n v="1"/>
    <n v="843"/>
    <n v="0.06"/>
    <x v="2"/>
    <n v="792"/>
    <n v="602"/>
    <s v="Not Selected"/>
  </r>
  <r>
    <s v="SALE97"/>
    <d v="2024-10-22T00:00:00"/>
    <x v="11"/>
    <s v="CUST1287"/>
    <x v="1"/>
    <x v="1"/>
    <s v="PROD3"/>
    <s v="Fabric Sofa Throw Blanket"/>
    <x v="3"/>
    <n v="218"/>
    <s v="STORE3"/>
    <x v="0"/>
    <n v="3"/>
    <n v="752"/>
    <n v="0.26"/>
    <x v="1"/>
    <n v="1669"/>
    <n v="1451"/>
    <s v="Selected"/>
  </r>
  <r>
    <s v="SALE98"/>
    <d v="2024-10-15T00:00:00"/>
    <x v="11"/>
    <s v="CUST1131"/>
    <x v="1"/>
    <x v="4"/>
    <s v="PROD56"/>
    <s v="Premium Blanket Throw"/>
    <x v="3"/>
    <n v="461"/>
    <s v="STORE7"/>
    <x v="2"/>
    <n v="4"/>
    <n v="476"/>
    <n v="0.17"/>
    <x v="0"/>
    <n v="1581"/>
    <n v="1120"/>
    <s v="Selected"/>
  </r>
  <r>
    <s v="SALE99"/>
    <d v="2024-07-06T00:00:00"/>
    <x v="0"/>
    <s v="CUST1325"/>
    <x v="0"/>
    <x v="18"/>
    <s v="PROD54"/>
    <s v="Sports Stopwatch Pro"/>
    <x v="0"/>
    <n v="435"/>
    <s v="STORE3"/>
    <x v="0"/>
    <n v="3"/>
    <n v="542"/>
    <n v="0.24"/>
    <x v="2"/>
    <n v="1236"/>
    <n v="801"/>
    <s v="Selected"/>
  </r>
  <r>
    <s v="SALE100"/>
    <d v="2025-01-20T00:00:00"/>
    <x v="4"/>
    <s v="CUST1369"/>
    <x v="1"/>
    <x v="1"/>
    <s v="PROD33"/>
    <s v="Modern Wall Clock"/>
    <x v="3"/>
    <n v="180"/>
    <s v="STORE5"/>
    <x v="0"/>
    <n v="2"/>
    <n v="402"/>
    <n v="0.18"/>
    <x v="0"/>
    <n v="658"/>
    <n v="478"/>
    <s v="Not Selected"/>
  </r>
  <r>
    <s v="SALE102"/>
    <d v="2024-09-17T00:00:00"/>
    <x v="8"/>
    <s v="CUST1097"/>
    <x v="0"/>
    <x v="34"/>
    <s v="PROD80"/>
    <s v="Wall-Mounted Spice Rack"/>
    <x v="3"/>
    <n v="143"/>
    <s v="STORE12"/>
    <x v="0"/>
    <n v="2"/>
    <n v="472"/>
    <n v="0.24"/>
    <x v="1"/>
    <n v="717"/>
    <n v="574"/>
    <s v="Not Selected"/>
  </r>
  <r>
    <s v="SALE103"/>
    <d v="2025-09-07T00:00:00"/>
    <x v="8"/>
    <s v="CUST1182"/>
    <x v="1"/>
    <x v="15"/>
    <s v="PROD34"/>
    <s v="Gaming Mechanical Keyboard"/>
    <x v="1"/>
    <n v="419"/>
    <s v="STORE4"/>
    <x v="2"/>
    <n v="4"/>
    <n v="925"/>
    <n v="0.19"/>
    <x v="1"/>
    <n v="2998"/>
    <n v="2579"/>
    <s v="Selected"/>
  </r>
  <r>
    <s v="SALE104"/>
    <d v="2024-02-08T00:00:00"/>
    <x v="6"/>
    <s v="CUST1029"/>
    <x v="1"/>
    <x v="24"/>
    <s v="PROD86"/>
    <s v="Kitchen Cutting Board"/>
    <x v="3"/>
    <n v="176"/>
    <s v="STORE11"/>
    <x v="0"/>
    <n v="2"/>
    <n v="880"/>
    <n v="7.0000000000000007E-2"/>
    <x v="2"/>
    <n v="1636"/>
    <n v="1460"/>
    <s v="Selected"/>
  </r>
  <r>
    <s v="SALE105"/>
    <d v="2023-10-15T00:00:00"/>
    <x v="11"/>
    <s v="CUST1002"/>
    <x v="1"/>
    <x v="4"/>
    <s v="PROD79"/>
    <s v="Decorative Lamp Shade"/>
    <x v="3"/>
    <n v="229"/>
    <s v="STORE17"/>
    <x v="0"/>
    <n v="2"/>
    <n v="418"/>
    <n v="0.28000000000000003"/>
    <x v="0"/>
    <n v="602"/>
    <n v="373"/>
    <s v="Not Selected"/>
  </r>
  <r>
    <s v="SALE107"/>
    <d v="2024-02-01T00:00:00"/>
    <x v="6"/>
    <s v="CUST1338"/>
    <x v="1"/>
    <x v="40"/>
    <s v="PROD86"/>
    <s v="Kitchen Cutting Board"/>
    <x v="3"/>
    <n v="176"/>
    <s v="STORE7"/>
    <x v="2"/>
    <n v="4"/>
    <n v="526"/>
    <n v="0.02"/>
    <x v="1"/>
    <n v="2060"/>
    <n v="1884"/>
    <s v="Selected"/>
  </r>
  <r>
    <s v="SALE108"/>
    <d v="2025-05-08T00:00:00"/>
    <x v="5"/>
    <s v="CUST1041"/>
    <x v="0"/>
    <x v="41"/>
    <s v="PROD22"/>
    <s v="Carbon Fiber Tennis Racket"/>
    <x v="0"/>
    <n v="485"/>
    <s v="STORE13"/>
    <x v="0"/>
    <n v="3"/>
    <n v="815"/>
    <n v="0.03"/>
    <x v="0"/>
    <n v="2373"/>
    <n v="1888"/>
    <s v="Selected"/>
  </r>
  <r>
    <s v="SALE109"/>
    <d v="2025-03-22T00:00:00"/>
    <x v="9"/>
    <s v="CUST1214"/>
    <x v="0"/>
    <x v="10"/>
    <s v="PROD91"/>
    <s v="Women's High Heels"/>
    <x v="4"/>
    <n v="438"/>
    <s v="STORE0"/>
    <x v="3"/>
    <n v="3"/>
    <n v="376"/>
    <n v="0.09"/>
    <x v="2"/>
    <n v="1028"/>
    <n v="590"/>
    <s v="Selected"/>
  </r>
  <r>
    <s v="SALE111"/>
    <d v="2025-05-21T00:00:00"/>
    <x v="5"/>
    <s v="CUST1119"/>
    <x v="0"/>
    <x v="3"/>
    <s v="PROD90"/>
    <s v="Gaming Mouse Pad XL"/>
    <x v="1"/>
    <n v="340"/>
    <s v="STORE3"/>
    <x v="0"/>
    <n v="2"/>
    <n v="846"/>
    <n v="0.01"/>
    <x v="1"/>
    <n v="1675"/>
    <n v="1335"/>
    <s v="Selected"/>
  </r>
  <r>
    <s v="SALE112"/>
    <d v="2025-02-17T00:00:00"/>
    <x v="6"/>
    <s v="CUST1087"/>
    <x v="1"/>
    <x v="42"/>
    <s v="PROD76"/>
    <s v="Wireless Mouse"/>
    <x v="1"/>
    <n v="393"/>
    <s v="STORE13"/>
    <x v="0"/>
    <n v="3"/>
    <n v="949"/>
    <n v="0.28999999999999998"/>
    <x v="0"/>
    <n v="2021"/>
    <n v="1628"/>
    <s v="Selected"/>
  </r>
  <r>
    <s v="SALE115"/>
    <d v="2025-09-25T00:00:00"/>
    <x v="8"/>
    <s v="CUST1257"/>
    <x v="0"/>
    <x v="43"/>
    <s v="PROD85"/>
    <s v="Women's Beanie Hat"/>
    <x v="4"/>
    <n v="120"/>
    <s v="STORE7"/>
    <x v="2"/>
    <n v="4"/>
    <n v="931"/>
    <n v="0.13"/>
    <x v="1"/>
    <n v="3239"/>
    <n v="3119"/>
    <s v="Selected"/>
  </r>
  <r>
    <s v="SALE116"/>
    <d v="2024-05-08T00:00:00"/>
    <x v="5"/>
    <s v="CUST1419"/>
    <x v="0"/>
    <x v="25"/>
    <s v="PROD3"/>
    <s v="Fabric Sofa Throw Blanket"/>
    <x v="3"/>
    <n v="218"/>
    <s v="STORE8"/>
    <x v="1"/>
    <n v="4"/>
    <n v="771"/>
    <n v="0.22"/>
    <x v="0"/>
    <n v="2405"/>
    <n v="2187"/>
    <s v="Selected"/>
  </r>
  <r>
    <s v="SALE117"/>
    <d v="2024-09-19T00:00:00"/>
    <x v="8"/>
    <s v="CUST1067"/>
    <x v="0"/>
    <x v="26"/>
    <s v="PROD46"/>
    <s v="Men's Winter Jacket"/>
    <x v="4"/>
    <n v="167"/>
    <s v="STORE4"/>
    <x v="2"/>
    <n v="3"/>
    <n v="480"/>
    <n v="0.3"/>
    <x v="1"/>
    <n v="1007"/>
    <n v="840"/>
    <s v="Selected"/>
  </r>
  <r>
    <s v="SALE118"/>
    <d v="2024-04-23T00:00:00"/>
    <x v="10"/>
    <s v="CUST1105"/>
    <x v="1"/>
    <x v="26"/>
    <s v="PROD39"/>
    <s v="Portable Power Bank"/>
    <x v="1"/>
    <n v="326"/>
    <s v="STORE11"/>
    <x v="0"/>
    <n v="1"/>
    <n v="165"/>
    <n v="0.3"/>
    <x v="2"/>
    <n v="116"/>
    <n v="-210"/>
    <s v="Not Selected"/>
  </r>
  <r>
    <s v="SALE119"/>
    <d v="2024-07-30T00:00:00"/>
    <x v="0"/>
    <s v="CUST1158"/>
    <x v="0"/>
    <x v="1"/>
    <s v="PROD19"/>
    <s v="Knee Support Brace"/>
    <x v="0"/>
    <n v="21"/>
    <s v="STORE8"/>
    <x v="1"/>
    <n v="2"/>
    <n v="152"/>
    <n v="0.28999999999999998"/>
    <x v="2"/>
    <n v="215"/>
    <n v="194"/>
    <s v="Not Selected"/>
  </r>
  <r>
    <s v="SALE120"/>
    <d v="2023-12-14T00:00:00"/>
    <x v="1"/>
    <s v="CUST1231"/>
    <x v="1"/>
    <x v="42"/>
    <s v="PROD31"/>
    <s v="Basketball"/>
    <x v="0"/>
    <n v="204"/>
    <s v="STORE17"/>
    <x v="0"/>
    <n v="2"/>
    <n v="873"/>
    <n v="0.28999999999999998"/>
    <x v="2"/>
    <n v="1240"/>
    <n v="1036"/>
    <s v="Selected"/>
  </r>
  <r>
    <s v="SALE121"/>
    <d v="2024-09-23T00:00:00"/>
    <x v="8"/>
    <s v="CUST1264"/>
    <x v="0"/>
    <x v="0"/>
    <s v="PROD22"/>
    <s v="Carbon Fiber Tennis Racket"/>
    <x v="0"/>
    <n v="485"/>
    <s v="STORE10"/>
    <x v="0"/>
    <n v="3"/>
    <n v="432"/>
    <n v="0.04"/>
    <x v="0"/>
    <n v="1245"/>
    <n v="760"/>
    <s v="Selected"/>
  </r>
  <r>
    <s v="SALE125"/>
    <d v="2024-11-02T00:00:00"/>
    <x v="3"/>
    <s v="CUST1498"/>
    <x v="0"/>
    <x v="23"/>
    <s v="PROD8"/>
    <s v="Decorative Lamp Shade"/>
    <x v="3"/>
    <n v="229"/>
    <s v="STORE6"/>
    <x v="3"/>
    <n v="1"/>
    <n v="846"/>
    <n v="0.05"/>
    <x v="1"/>
    <n v="804"/>
    <n v="575"/>
    <s v="Not Selected"/>
  </r>
  <r>
    <s v="SALE127"/>
    <d v="2025-09-16T00:00:00"/>
    <x v="8"/>
    <s v="CUST1277"/>
    <x v="1"/>
    <x v="44"/>
    <s v="PROD93"/>
    <s v="USB-C Laptop Charger"/>
    <x v="1"/>
    <n v="378"/>
    <s v="STORE6"/>
    <x v="3"/>
    <n v="3"/>
    <n v="949"/>
    <n v="0.03"/>
    <x v="2"/>
    <n v="2762"/>
    <n v="2384"/>
    <s v="Selected"/>
  </r>
  <r>
    <s v="SALE128"/>
    <d v="2024-02-25T00:00:00"/>
    <x v="6"/>
    <s v="CUST1397"/>
    <x v="1"/>
    <x v="32"/>
    <s v="PROD94"/>
    <s v="Vitamin E Body Lotion"/>
    <x v="2"/>
    <n v="358"/>
    <s v="STORE9"/>
    <x v="2"/>
    <n v="2"/>
    <n v="725"/>
    <n v="0.1"/>
    <x v="0"/>
    <n v="1305"/>
    <n v="947"/>
    <s v="Selected"/>
  </r>
  <r>
    <s v="SALE129"/>
    <d v="2025-03-07T00:00:00"/>
    <x v="9"/>
    <s v="CUST1315"/>
    <x v="0"/>
    <x v="43"/>
    <s v="PROD1"/>
    <s v="Men's Graphic T-Shirt"/>
    <x v="4"/>
    <n v="343"/>
    <s v="STORE16"/>
    <x v="0"/>
    <n v="1"/>
    <n v="783"/>
    <n v="0.3"/>
    <x v="0"/>
    <n v="548"/>
    <n v="205"/>
    <s v="Not Selected"/>
  </r>
  <r>
    <s v="SALE130"/>
    <d v="2024-07-22T00:00:00"/>
    <x v="0"/>
    <s v="CUST1343"/>
    <x v="0"/>
    <x v="45"/>
    <s v="PROD17"/>
    <s v="Soccer Training Cone Set"/>
    <x v="0"/>
    <n v="145"/>
    <s v="STORE3"/>
    <x v="0"/>
    <n v="1"/>
    <n v="942"/>
    <n v="0.17"/>
    <x v="0"/>
    <n v="782"/>
    <n v="637"/>
    <s v="Not Selected"/>
  </r>
  <r>
    <s v="SALE131"/>
    <d v="2024-06-01T00:00:00"/>
    <x v="2"/>
    <s v="CUST1496"/>
    <x v="0"/>
    <x v="31"/>
    <s v="PROD51"/>
    <s v="HDMI Cable – 2m"/>
    <x v="1"/>
    <n v="88"/>
    <s v="STORE11"/>
    <x v="0"/>
    <n v="3"/>
    <n v="298"/>
    <n v="0.05"/>
    <x v="2"/>
    <n v="850"/>
    <n v="762"/>
    <s v="Not Selected"/>
  </r>
  <r>
    <s v="SALE132"/>
    <d v="2025-01-05T00:00:00"/>
    <x v="4"/>
    <s v="CUST1164"/>
    <x v="1"/>
    <x v="36"/>
    <s v="PROD48"/>
    <s v="Car Dashboard Phone Holder"/>
    <x v="1"/>
    <n v="178"/>
    <s v="STORE12"/>
    <x v="0"/>
    <n v="4"/>
    <n v="950"/>
    <n v="0.13"/>
    <x v="1"/>
    <n v="3306"/>
    <n v="3128"/>
    <s v="Selected"/>
  </r>
  <r>
    <s v="SALE133"/>
    <d v="2025-09-10T00:00:00"/>
    <x v="8"/>
    <s v="CUST1329"/>
    <x v="1"/>
    <x v="46"/>
    <s v="PROD57"/>
    <s v="Foam Roller"/>
    <x v="0"/>
    <n v="31"/>
    <s v="STORE4"/>
    <x v="2"/>
    <n v="2"/>
    <n v="267"/>
    <n v="7.0000000000000007E-2"/>
    <x v="0"/>
    <n v="497"/>
    <n v="466"/>
    <s v="Not Selected"/>
  </r>
  <r>
    <s v="SALE134"/>
    <d v="2025-06-19T00:00:00"/>
    <x v="2"/>
    <s v="CUST1201"/>
    <x v="1"/>
    <x v="20"/>
    <s v="PROD87"/>
    <s v="LED Bedside Lamp"/>
    <x v="3"/>
    <n v="371"/>
    <s v="STORE15"/>
    <x v="0"/>
    <n v="4"/>
    <n v="73"/>
    <n v="0.06"/>
    <x v="1"/>
    <n v="273"/>
    <n v="-98"/>
    <s v="Not Selected"/>
  </r>
  <r>
    <s v="SALE135"/>
    <d v="2024-09-09T00:00:00"/>
    <x v="8"/>
    <s v="CUST1427"/>
    <x v="1"/>
    <x v="17"/>
    <s v="PROD53"/>
    <s v="Men's Track Pants"/>
    <x v="4"/>
    <n v="387"/>
    <s v="STORE5"/>
    <x v="0"/>
    <n v="3"/>
    <n v="577"/>
    <n v="0.22"/>
    <x v="2"/>
    <n v="1349"/>
    <n v="962"/>
    <s v="Selected"/>
  </r>
  <r>
    <s v="SALE136"/>
    <d v="2025-04-04T00:00:00"/>
    <x v="10"/>
    <s v="CUST1349"/>
    <x v="0"/>
    <x v="41"/>
    <s v="PROD71"/>
    <s v="Hair Repair Oil Treatment"/>
    <x v="2"/>
    <n v="214"/>
    <s v="STORE9"/>
    <x v="2"/>
    <n v="3"/>
    <n v="849"/>
    <n v="0.03"/>
    <x v="0"/>
    <n v="2472"/>
    <n v="2258"/>
    <s v="Selected"/>
  </r>
  <r>
    <s v="SALE137"/>
    <d v="2024-04-10T00:00:00"/>
    <x v="10"/>
    <s v="CUST1473"/>
    <x v="0"/>
    <x v="18"/>
    <s v="PROD50"/>
    <s v="Boxing Hand Wraps"/>
    <x v="0"/>
    <n v="190"/>
    <s v="STORE6"/>
    <x v="3"/>
    <n v="1"/>
    <n v="246"/>
    <n v="0.18"/>
    <x v="2"/>
    <n v="202"/>
    <n v="12"/>
    <s v="Not Selected"/>
  </r>
  <r>
    <s v="SALE138"/>
    <d v="2024-10-24T00:00:00"/>
    <x v="11"/>
    <s v="CUST1178"/>
    <x v="1"/>
    <x v="42"/>
    <s v="PROD97"/>
    <s v="Cricket Bat"/>
    <x v="0"/>
    <n v="246"/>
    <s v="STORE10"/>
    <x v="0"/>
    <n v="3"/>
    <n v="238"/>
    <n v="0.1"/>
    <x v="2"/>
    <n v="642"/>
    <n v="396"/>
    <s v="Not Selected"/>
  </r>
  <r>
    <s v="SALE139"/>
    <d v="2025-04-09T00:00:00"/>
    <x v="10"/>
    <s v="CUST1337"/>
    <x v="1"/>
    <x v="29"/>
    <s v="PROD71"/>
    <s v="Hair Repair Oil Treatment"/>
    <x v="2"/>
    <n v="214"/>
    <s v="STORE14"/>
    <x v="0"/>
    <n v="4"/>
    <n v="716"/>
    <n v="0.25"/>
    <x v="1"/>
    <n v="2148"/>
    <n v="1934"/>
    <s v="Selected"/>
  </r>
  <r>
    <s v="SALE140"/>
    <d v="2023-11-25T00:00:00"/>
    <x v="3"/>
    <s v="CUST1171"/>
    <x v="1"/>
    <x v="30"/>
    <s v="PROD90"/>
    <s v="Gaming Mouse Pad XL"/>
    <x v="1"/>
    <n v="340"/>
    <s v="STORE5"/>
    <x v="0"/>
    <n v="2"/>
    <n v="479"/>
    <n v="0.01"/>
    <x v="2"/>
    <n v="948"/>
    <n v="608"/>
    <s v="Not Selected"/>
  </r>
  <r>
    <s v="SALE141"/>
    <d v="2025-03-02T00:00:00"/>
    <x v="9"/>
    <s v="CUST1113"/>
    <x v="0"/>
    <x v="23"/>
    <s v="PROD47"/>
    <s v="Makeup Brush Set"/>
    <x v="2"/>
    <n v="254"/>
    <s v="STORE0"/>
    <x v="3"/>
    <n v="1"/>
    <n v="504"/>
    <n v="0.26"/>
    <x v="2"/>
    <n v="373"/>
    <n v="119"/>
    <s v="Not Selected"/>
  </r>
  <r>
    <s v="SALE142"/>
    <d v="2024-10-08T00:00:00"/>
    <x v="11"/>
    <s v="CUST1399"/>
    <x v="0"/>
    <x v="17"/>
    <s v="PROD66"/>
    <s v="Women's Hair Dryer Brush"/>
    <x v="2"/>
    <n v="340"/>
    <s v="STORE12"/>
    <x v="0"/>
    <n v="2"/>
    <n v="975"/>
    <n v="0.26"/>
    <x v="2"/>
    <n v="1444"/>
    <n v="1104"/>
    <s v="Selected"/>
  </r>
  <r>
    <s v="SALE143"/>
    <d v="2025-08-15T00:00:00"/>
    <x v="7"/>
    <s v="CUST1401"/>
    <x v="1"/>
    <x v="8"/>
    <s v="PROD34"/>
    <s v="Gaming Mechanical Keyboard"/>
    <x v="1"/>
    <n v="419"/>
    <s v="STORE16"/>
    <x v="0"/>
    <n v="4"/>
    <n v="450"/>
    <n v="0.28999999999999998"/>
    <x v="2"/>
    <n v="1278"/>
    <n v="859"/>
    <s v="Selected"/>
  </r>
  <r>
    <s v="SALE145"/>
    <d v="2024-08-18T00:00:00"/>
    <x v="7"/>
    <s v="CUST1459"/>
    <x v="1"/>
    <x v="42"/>
    <s v="PROD54"/>
    <s v="Sports Stopwatch Pro"/>
    <x v="0"/>
    <n v="435"/>
    <s v="STORE15"/>
    <x v="0"/>
    <n v="2"/>
    <n v="537"/>
    <n v="0.09"/>
    <x v="2"/>
    <n v="977"/>
    <n v="542"/>
    <s v="Not Selected"/>
  </r>
  <r>
    <s v="SALE147"/>
    <d v="2024-11-21T00:00:00"/>
    <x v="3"/>
    <s v="CUST1294"/>
    <x v="0"/>
    <x v="10"/>
    <s v="PROD82"/>
    <s v="Fitness Resistance Bands"/>
    <x v="0"/>
    <n v="153"/>
    <s v="STORE19"/>
    <x v="0"/>
    <n v="1"/>
    <n v="654"/>
    <n v="0.14000000000000001"/>
    <x v="1"/>
    <n v="562"/>
    <n v="409"/>
    <s v="Not Selected"/>
  </r>
  <r>
    <s v="SALE149"/>
    <d v="2024-07-29T00:00:00"/>
    <x v="0"/>
    <s v="CUST1093"/>
    <x v="1"/>
    <x v="42"/>
    <s v="PROD5"/>
    <s v="Men's Roll-On Perfume"/>
    <x v="2"/>
    <n v="43"/>
    <s v="STORE12"/>
    <x v="0"/>
    <n v="3"/>
    <n v="513"/>
    <n v="7.0000000000000007E-2"/>
    <x v="2"/>
    <n v="1432"/>
    <n v="1389"/>
    <s v="Selected"/>
  </r>
  <r>
    <s v="SALE150"/>
    <d v="2024-05-21T00:00:00"/>
    <x v="5"/>
    <s v="CUST1068"/>
    <x v="1"/>
    <x v="30"/>
    <s v="PROD52"/>
    <s v="Rugby Ball"/>
    <x v="0"/>
    <n v="212"/>
    <s v="STORE5"/>
    <x v="0"/>
    <n v="4"/>
    <n v="356"/>
    <n v="0.16"/>
    <x v="2"/>
    <n v="1195"/>
    <n v="983"/>
    <s v="Selected"/>
  </r>
  <r>
    <s v="SALE151"/>
    <d v="2024-10-29T00:00:00"/>
    <x v="11"/>
    <s v="CUST1022"/>
    <x v="1"/>
    <x v="22"/>
    <s v="PROD13"/>
    <s v="USB-C Fast Charger"/>
    <x v="1"/>
    <n v="242"/>
    <s v="STORE8"/>
    <x v="1"/>
    <n v="4"/>
    <n v="535"/>
    <n v="0.26"/>
    <x v="1"/>
    <n v="1585"/>
    <n v="1343"/>
    <s v="Selected"/>
  </r>
  <r>
    <s v="SALE152"/>
    <d v="2025-05-21T00:00:00"/>
    <x v="5"/>
    <s v="CUST1243"/>
    <x v="1"/>
    <x v="11"/>
    <s v="PROD69"/>
    <s v="Men's Sports Shorts"/>
    <x v="4"/>
    <n v="218"/>
    <s v="STORE19"/>
    <x v="0"/>
    <n v="2"/>
    <n v="109"/>
    <n v="0.11"/>
    <x v="1"/>
    <n v="194"/>
    <n v="-24"/>
    <s v="Not Selected"/>
  </r>
  <r>
    <s v="SALE153"/>
    <d v="2024-10-14T00:00:00"/>
    <x v="11"/>
    <s v="CUST1314"/>
    <x v="1"/>
    <x v="7"/>
    <s v="PROD11"/>
    <s v="HD Smart TV Stick"/>
    <x v="1"/>
    <n v="449"/>
    <s v="STORE19"/>
    <x v="0"/>
    <n v="3"/>
    <n v="592"/>
    <n v="0.16"/>
    <x v="0"/>
    <n v="1492"/>
    <n v="1043"/>
    <s v="Selected"/>
  </r>
  <r>
    <s v="SALE154"/>
    <d v="2024-11-17T00:00:00"/>
    <x v="3"/>
    <s v="CUST1405"/>
    <x v="1"/>
    <x v="38"/>
    <s v="PROD48"/>
    <s v="Car Dashboard Phone Holder"/>
    <x v="1"/>
    <n v="178"/>
    <s v="STORE2"/>
    <x v="2"/>
    <n v="1"/>
    <n v="345"/>
    <n v="0.13"/>
    <x v="2"/>
    <n v="300"/>
    <n v="122"/>
    <s v="Not Selected"/>
  </r>
  <r>
    <s v="SALE155"/>
    <d v="2025-03-29T00:00:00"/>
    <x v="9"/>
    <s v="CUST1307"/>
    <x v="1"/>
    <x v="4"/>
    <s v="PROD93"/>
    <s v="USB-C Laptop Charger"/>
    <x v="1"/>
    <n v="378"/>
    <s v="STORE12"/>
    <x v="0"/>
    <n v="4"/>
    <n v="986"/>
    <n v="0.22"/>
    <x v="0"/>
    <n v="3078"/>
    <n v="2700"/>
    <s v="Selected"/>
  </r>
  <r>
    <s v="SALE156"/>
    <d v="2024-07-21T00:00:00"/>
    <x v="0"/>
    <s v="CUST1319"/>
    <x v="0"/>
    <x v="25"/>
    <s v="PROD49"/>
    <s v="Men's Roll-On Perfume"/>
    <x v="2"/>
    <n v="43"/>
    <s v="STORE0"/>
    <x v="3"/>
    <n v="2"/>
    <n v="922"/>
    <n v="0"/>
    <x v="1"/>
    <n v="1843"/>
    <n v="1800"/>
    <s v="Selected"/>
  </r>
  <r>
    <s v="SALE159"/>
    <d v="2024-06-11T00:00:00"/>
    <x v="2"/>
    <s v="CUST1394"/>
    <x v="1"/>
    <x v="40"/>
    <s v="PROD89"/>
    <s v="Face Foundation Kit"/>
    <x v="2"/>
    <n v="183"/>
    <s v="STORE16"/>
    <x v="0"/>
    <n v="2"/>
    <n v="122"/>
    <n v="0.21"/>
    <x v="2"/>
    <n v="193"/>
    <n v="10"/>
    <s v="Not Selected"/>
  </r>
  <r>
    <s v="SALE160"/>
    <d v="2025-09-18T00:00:00"/>
    <x v="8"/>
    <s v="CUST1020"/>
    <x v="0"/>
    <x v="37"/>
    <s v="PROD70"/>
    <s v="Kitchen Storage Rack"/>
    <x v="3"/>
    <n v="138"/>
    <s v="STORE18"/>
    <x v="0"/>
    <n v="2"/>
    <n v="623"/>
    <n v="0.13"/>
    <x v="0"/>
    <n v="1085"/>
    <n v="947"/>
    <s v="Selected"/>
  </r>
  <r>
    <s v="SALE163"/>
    <d v="2025-07-13T00:00:00"/>
    <x v="0"/>
    <s v="CUST1076"/>
    <x v="0"/>
    <x v="15"/>
    <s v="PROD32"/>
    <s v="Vitamin C Face Serum"/>
    <x v="2"/>
    <n v="284"/>
    <s v="STORE1"/>
    <x v="0"/>
    <n v="1"/>
    <n v="488"/>
    <n v="0.03"/>
    <x v="1"/>
    <n v="474"/>
    <n v="190"/>
    <s v="Not Selected"/>
  </r>
  <r>
    <s v="SALE165"/>
    <d v="2024-08-04T00:00:00"/>
    <x v="7"/>
    <s v="CUST1073"/>
    <x v="1"/>
    <x v="35"/>
    <s v="PROD10"/>
    <s v="Men's Graphic T-Shirt"/>
    <x v="4"/>
    <n v="343"/>
    <s v="STORE17"/>
    <x v="0"/>
    <n v="3"/>
    <n v="708"/>
    <n v="0.18"/>
    <x v="1"/>
    <n v="1742"/>
    <n v="1399"/>
    <s v="Selected"/>
  </r>
  <r>
    <s v="SALE166"/>
    <d v="2023-12-09T00:00:00"/>
    <x v="1"/>
    <s v="CUST1295"/>
    <x v="1"/>
    <x v="32"/>
    <s v="PROD69"/>
    <s v="Men's Sports Shorts"/>
    <x v="4"/>
    <n v="218"/>
    <s v="STORE8"/>
    <x v="1"/>
    <n v="4"/>
    <n v="714"/>
    <n v="0.18"/>
    <x v="2"/>
    <n v="2343"/>
    <n v="2125"/>
    <s v="Selected"/>
  </r>
  <r>
    <s v="SALE167"/>
    <d v="2025-07-28T00:00:00"/>
    <x v="0"/>
    <s v="CUST1415"/>
    <x v="1"/>
    <x v="41"/>
    <s v="PROD79"/>
    <s v="Decorative Lamp Shade"/>
    <x v="3"/>
    <n v="229"/>
    <s v="STORE7"/>
    <x v="2"/>
    <n v="4"/>
    <n v="422"/>
    <n v="0.04"/>
    <x v="0"/>
    <n v="1621"/>
    <n v="1392"/>
    <s v="Selected"/>
  </r>
  <r>
    <s v="SALE168"/>
    <d v="2024-06-19T00:00:00"/>
    <x v="2"/>
    <s v="CUST1108"/>
    <x v="0"/>
    <x v="21"/>
    <s v="PROD30"/>
    <s v="Stainless Steel Cutlery Set"/>
    <x v="3"/>
    <n v="20"/>
    <s v="STORE9"/>
    <x v="2"/>
    <n v="1"/>
    <n v="998"/>
    <n v="0.2"/>
    <x v="0"/>
    <n v="799"/>
    <n v="779"/>
    <s v="Not Selected"/>
  </r>
  <r>
    <s v="SALE169"/>
    <d v="2024-01-22T00:00:00"/>
    <x v="4"/>
    <s v="CUST1373"/>
    <x v="1"/>
    <x v="17"/>
    <s v="PROD72"/>
    <s v="Professional Jump Rope"/>
    <x v="0"/>
    <n v="478"/>
    <s v="STORE7"/>
    <x v="2"/>
    <n v="2"/>
    <n v="343"/>
    <n v="0.12"/>
    <x v="2"/>
    <n v="604"/>
    <n v="126"/>
    <s v="Not Selected"/>
  </r>
  <r>
    <s v="SALE170"/>
    <d v="2024-04-08T00:00:00"/>
    <x v="10"/>
    <s v="CUST1256"/>
    <x v="0"/>
    <x v="13"/>
    <s v="PROD34"/>
    <s v="Gaming Mechanical Keyboard"/>
    <x v="1"/>
    <n v="419"/>
    <s v="STORE6"/>
    <x v="3"/>
    <n v="1"/>
    <n v="152"/>
    <n v="0.28000000000000003"/>
    <x v="2"/>
    <n v="110"/>
    <n v="-309"/>
    <s v="Not Selected"/>
  </r>
  <r>
    <s v="SALE171"/>
    <d v="2025-05-18T00:00:00"/>
    <x v="5"/>
    <s v="CUST1175"/>
    <x v="0"/>
    <x v="22"/>
    <s v="PROD49"/>
    <s v="Men's Roll-On Perfume"/>
    <x v="2"/>
    <n v="43"/>
    <s v="STORE11"/>
    <x v="0"/>
    <n v="1"/>
    <n v="325"/>
    <n v="0.26"/>
    <x v="1"/>
    <n v="241"/>
    <n v="198"/>
    <s v="Not Selected"/>
  </r>
  <r>
    <s v="SALE173"/>
    <d v="2024-01-23T00:00:00"/>
    <x v="4"/>
    <s v="CUST1485"/>
    <x v="1"/>
    <x v="45"/>
    <s v="PROD26"/>
    <s v="Wireless Bluetooth Speaker"/>
    <x v="1"/>
    <n v="322"/>
    <s v="STORE2"/>
    <x v="2"/>
    <n v="2"/>
    <n v="593"/>
    <n v="0.1"/>
    <x v="2"/>
    <n v="1068"/>
    <n v="746"/>
    <s v="Selected"/>
  </r>
  <r>
    <s v="SALE174"/>
    <d v="2023-12-07T00:00:00"/>
    <x v="1"/>
    <s v="CUST1293"/>
    <x v="1"/>
    <x v="38"/>
    <s v="PROD20"/>
    <s v="Outdoor Sports Water Bottle"/>
    <x v="0"/>
    <n v="132"/>
    <s v="STORE7"/>
    <x v="2"/>
    <n v="4"/>
    <n v="756"/>
    <n v="0.05"/>
    <x v="2"/>
    <n v="2874"/>
    <n v="2742"/>
    <s v="Selected"/>
  </r>
  <r>
    <s v="SALE175"/>
    <d v="2024-12-15T00:00:00"/>
    <x v="1"/>
    <s v="CUST1377"/>
    <x v="1"/>
    <x v="17"/>
    <s v="PROD92"/>
    <s v="Microwave Oven"/>
    <x v="3"/>
    <n v="447"/>
    <s v="STORE1"/>
    <x v="0"/>
    <n v="2"/>
    <n v="708"/>
    <n v="0.14000000000000001"/>
    <x v="0"/>
    <n v="1217"/>
    <n v="770"/>
    <s v="Selected"/>
  </r>
  <r>
    <s v="SALE176"/>
    <d v="2024-03-20T00:00:00"/>
    <x v="9"/>
    <s v="CUST1128"/>
    <x v="0"/>
    <x v="13"/>
    <s v="PROD25"/>
    <s v="Women's Scarf Set"/>
    <x v="4"/>
    <n v="174"/>
    <s v="STORE15"/>
    <x v="0"/>
    <n v="1"/>
    <n v="857"/>
    <n v="0.28000000000000003"/>
    <x v="1"/>
    <n v="617"/>
    <n v="443"/>
    <s v="Not Selected"/>
  </r>
  <r>
    <s v="SALE177"/>
    <d v="2025-01-13T00:00:00"/>
    <x v="4"/>
    <s v="CUST1499"/>
    <x v="1"/>
    <x v="47"/>
    <s v="PROD55"/>
    <s v="Ceramic Plant Pot"/>
    <x v="3"/>
    <n v="82"/>
    <s v="STORE8"/>
    <x v="1"/>
    <n v="1"/>
    <n v="79"/>
    <n v="0.04"/>
    <x v="1"/>
    <n v="76"/>
    <n v="-6"/>
    <s v="Not Selected"/>
  </r>
  <r>
    <s v="SALE178"/>
    <d v="2025-08-16T00:00:00"/>
    <x v="7"/>
    <s v="CUST1066"/>
    <x v="1"/>
    <x v="21"/>
    <s v="PROD94"/>
    <s v="Vitamin E Body Lotion"/>
    <x v="2"/>
    <n v="358"/>
    <s v="STORE5"/>
    <x v="0"/>
    <n v="4"/>
    <n v="639"/>
    <n v="0"/>
    <x v="2"/>
    <n v="2556"/>
    <n v="2198"/>
    <s v="Selected"/>
  </r>
  <r>
    <s v="SALE179"/>
    <d v="2025-06-04T00:00:00"/>
    <x v="2"/>
    <s v="CUST1081"/>
    <x v="1"/>
    <x v="28"/>
    <s v="PROD45"/>
    <s v="High-Grip Football"/>
    <x v="0"/>
    <n v="319"/>
    <s v="STORE0"/>
    <x v="3"/>
    <n v="2"/>
    <n v="522"/>
    <n v="0.27"/>
    <x v="0"/>
    <n v="762"/>
    <n v="443"/>
    <s v="Not Selected"/>
  </r>
  <r>
    <s v="SALE180"/>
    <d v="2023-11-05T00:00:00"/>
    <x v="3"/>
    <s v="CUST1478"/>
    <x v="0"/>
    <x v="34"/>
    <s v="PROD39"/>
    <s v="Portable Power Bank"/>
    <x v="1"/>
    <n v="326"/>
    <s v="STORE12"/>
    <x v="0"/>
    <n v="3"/>
    <n v="954"/>
    <n v="0.27"/>
    <x v="0"/>
    <n v="2090"/>
    <n v="1764"/>
    <s v="Selected"/>
  </r>
  <r>
    <s v="SALE181"/>
    <d v="2025-02-22T00:00:00"/>
    <x v="6"/>
    <s v="CUST1462"/>
    <x v="1"/>
    <x v="35"/>
    <s v="PROD33"/>
    <s v="Modern Wall Clock"/>
    <x v="3"/>
    <n v="180"/>
    <s v="STORE13"/>
    <x v="0"/>
    <n v="3"/>
    <n v="54"/>
    <n v="0.15"/>
    <x v="1"/>
    <n v="137"/>
    <n v="-43"/>
    <s v="Not Selected"/>
  </r>
  <r>
    <s v="SALE183"/>
    <d v="2024-10-29T00:00:00"/>
    <x v="11"/>
    <s v="CUST1033"/>
    <x v="0"/>
    <x v="15"/>
    <s v="PROD46"/>
    <s v="Men's Winter Jacket"/>
    <x v="4"/>
    <n v="167"/>
    <s v="STORE3"/>
    <x v="0"/>
    <n v="1"/>
    <n v="547"/>
    <n v="0.01"/>
    <x v="1"/>
    <n v="542"/>
    <n v="375"/>
    <s v="Not Selected"/>
  </r>
  <r>
    <s v="SALE184"/>
    <d v="2025-01-29T00:00:00"/>
    <x v="4"/>
    <s v="CUST1489"/>
    <x v="1"/>
    <x v="30"/>
    <s v="PROD89"/>
    <s v="Face Foundation Kit"/>
    <x v="2"/>
    <n v="183"/>
    <s v="STORE3"/>
    <x v="0"/>
    <n v="1"/>
    <n v="789"/>
    <n v="0.14000000000000001"/>
    <x v="1"/>
    <n v="679"/>
    <n v="496"/>
    <s v="Not Selected"/>
  </r>
  <r>
    <s v="SALE185"/>
    <d v="2024-03-03T00:00:00"/>
    <x v="9"/>
    <s v="CUST1428"/>
    <x v="1"/>
    <x v="38"/>
    <s v="PROD63"/>
    <s v="Organic Sunscreen Lotion"/>
    <x v="2"/>
    <n v="267"/>
    <s v="STORE3"/>
    <x v="0"/>
    <n v="3"/>
    <n v="477"/>
    <n v="0.09"/>
    <x v="2"/>
    <n v="1302"/>
    <n v="1035"/>
    <s v="Selected"/>
  </r>
  <r>
    <s v="SALE187"/>
    <d v="2024-09-03T00:00:00"/>
    <x v="8"/>
    <s v="CUST1272"/>
    <x v="1"/>
    <x v="24"/>
    <s v="PROD81"/>
    <s v="Badminton Racket Set"/>
    <x v="0"/>
    <n v="286"/>
    <s v="STORE6"/>
    <x v="3"/>
    <n v="2"/>
    <n v="549"/>
    <n v="0.01"/>
    <x v="2"/>
    <n v="1088"/>
    <n v="802"/>
    <s v="Selected"/>
  </r>
  <r>
    <s v="SALE188"/>
    <d v="2024-04-29T00:00:00"/>
    <x v="10"/>
    <s v="CUST1382"/>
    <x v="1"/>
    <x v="24"/>
    <s v="PROD4"/>
    <s v="Portable Power Bank"/>
    <x v="1"/>
    <n v="326"/>
    <s v="STORE3"/>
    <x v="0"/>
    <n v="3"/>
    <n v="620"/>
    <n v="0.04"/>
    <x v="0"/>
    <n v="1786"/>
    <n v="1460"/>
    <s v="Selected"/>
  </r>
  <r>
    <s v="SALE189"/>
    <d v="2024-04-29T00:00:00"/>
    <x v="10"/>
    <s v="CUST1091"/>
    <x v="1"/>
    <x v="28"/>
    <s v="PROD46"/>
    <s v="Men's Winter Jacket"/>
    <x v="4"/>
    <n v="167"/>
    <s v="STORE3"/>
    <x v="0"/>
    <n v="1"/>
    <n v="581"/>
    <n v="0.1"/>
    <x v="2"/>
    <n v="523"/>
    <n v="356"/>
    <s v="Not Selected"/>
  </r>
  <r>
    <s v="SALE190"/>
    <d v="2025-04-28T00:00:00"/>
    <x v="10"/>
    <s v="CUST1334"/>
    <x v="1"/>
    <x v="40"/>
    <s v="PROD71"/>
    <s v="Hair Repair Oil Treatment"/>
    <x v="2"/>
    <n v="214"/>
    <s v="STORE9"/>
    <x v="2"/>
    <n v="3"/>
    <n v="445"/>
    <n v="0.14000000000000001"/>
    <x v="1"/>
    <n v="1147"/>
    <n v="933"/>
    <s v="Selected"/>
  </r>
  <r>
    <s v="SALE191"/>
    <d v="2024-06-16T00:00:00"/>
    <x v="2"/>
    <s v="CUST1138"/>
    <x v="0"/>
    <x v="45"/>
    <s v="PROD46"/>
    <s v="Men's Winter Jacket"/>
    <x v="4"/>
    <n v="167"/>
    <s v="STORE18"/>
    <x v="0"/>
    <n v="1"/>
    <n v="805"/>
    <n v="0.03"/>
    <x v="1"/>
    <n v="781"/>
    <n v="614"/>
    <s v="Not Selected"/>
  </r>
  <r>
    <s v="SALE192"/>
    <d v="2024-11-21T00:00:00"/>
    <x v="3"/>
    <s v="CUST1424"/>
    <x v="0"/>
    <x v="29"/>
    <s v="PROD92"/>
    <s v="Microwave Oven"/>
    <x v="3"/>
    <n v="447"/>
    <s v="STORE14"/>
    <x v="0"/>
    <n v="3"/>
    <n v="362"/>
    <n v="0.15"/>
    <x v="2"/>
    <n v="922"/>
    <n v="475"/>
    <s v="Not Selected"/>
  </r>
  <r>
    <s v="SALE194"/>
    <d v="2024-11-22T00:00:00"/>
    <x v="3"/>
    <s v="CUST1323"/>
    <x v="1"/>
    <x v="29"/>
    <s v="PROD49"/>
    <s v="Men's Roll-On Perfume"/>
    <x v="2"/>
    <n v="43"/>
    <s v="STORE10"/>
    <x v="0"/>
    <n v="3"/>
    <n v="958"/>
    <n v="0.24"/>
    <x v="2"/>
    <n v="2185"/>
    <n v="2142"/>
    <s v="Selected"/>
  </r>
  <r>
    <s v="SALE197"/>
    <d v="2023-10-28T00:00:00"/>
    <x v="11"/>
    <s v="CUST1135"/>
    <x v="1"/>
    <x v="20"/>
    <s v="PROD44"/>
    <s v="Adjustable Jump Rope"/>
    <x v="0"/>
    <n v="167"/>
    <s v="STORE11"/>
    <x v="0"/>
    <n v="1"/>
    <n v="541"/>
    <n v="0.03"/>
    <x v="1"/>
    <n v="525"/>
    <n v="358"/>
    <s v="Not Selected"/>
  </r>
  <r>
    <s v="SALE198"/>
    <d v="2024-11-04T00:00:00"/>
    <x v="3"/>
    <s v="CUST1448"/>
    <x v="1"/>
    <x v="0"/>
    <s v="PROD81"/>
    <s v="Badminton Racket Set"/>
    <x v="0"/>
    <n v="286"/>
    <s v="STORE6"/>
    <x v="3"/>
    <n v="1"/>
    <n v="455"/>
    <n v="0.16"/>
    <x v="1"/>
    <n v="382"/>
    <n v="96"/>
    <s v="Not Selected"/>
  </r>
  <r>
    <s v="SALE199"/>
    <d v="2024-12-20T00:00:00"/>
    <x v="1"/>
    <s v="CUST1038"/>
    <x v="1"/>
    <x v="16"/>
    <s v="PROD66"/>
    <s v="Women's Hair Dryer Brush"/>
    <x v="2"/>
    <n v="340"/>
    <s v="STORE5"/>
    <x v="0"/>
    <n v="2"/>
    <n v="398"/>
    <n v="0.26"/>
    <x v="0"/>
    <n v="588"/>
    <n v="248"/>
    <s v="Not Selected"/>
  </r>
  <r>
    <s v="SALE200"/>
    <d v="2025-03-09T00:00:00"/>
    <x v="9"/>
    <s v="CUST1170"/>
    <x v="0"/>
    <x v="6"/>
    <s v="PROD83"/>
    <s v="Hydrating Face Cleanser"/>
    <x v="2"/>
    <n v="254"/>
    <s v="STORE6"/>
    <x v="3"/>
    <n v="3"/>
    <n v="749"/>
    <n v="0.26"/>
    <x v="1"/>
    <n v="1662"/>
    <n v="1408"/>
    <s v="Selected"/>
  </r>
  <r>
    <s v="SALE203"/>
    <d v="2024-02-05T00:00:00"/>
    <x v="6"/>
    <s v="CUST1472"/>
    <x v="0"/>
    <x v="43"/>
    <s v="PROD34"/>
    <s v="Gaming Mechanical Keyboard"/>
    <x v="1"/>
    <n v="419"/>
    <s v="STORE9"/>
    <x v="2"/>
    <n v="2"/>
    <n v="597"/>
    <n v="0.28000000000000003"/>
    <x v="1"/>
    <n v="860"/>
    <n v="441"/>
    <s v="Not Selected"/>
  </r>
  <r>
    <s v="SALE205"/>
    <d v="2025-08-14T00:00:00"/>
    <x v="7"/>
    <s v="CUST1437"/>
    <x v="1"/>
    <x v="21"/>
    <s v="PROD88"/>
    <s v="Sports Wrist Sweatbands"/>
    <x v="0"/>
    <n v="131"/>
    <s v="STORE5"/>
    <x v="0"/>
    <n v="1"/>
    <n v="480"/>
    <n v="0.22"/>
    <x v="0"/>
    <n v="374"/>
    <n v="243"/>
    <s v="Not Selected"/>
  </r>
  <r>
    <s v="SALE207"/>
    <d v="2024-12-14T00:00:00"/>
    <x v="1"/>
    <s v="CUST1185"/>
    <x v="1"/>
    <x v="19"/>
    <s v="PROD79"/>
    <s v="Decorative Lamp Shade"/>
    <x v="3"/>
    <n v="229"/>
    <s v="STORE3"/>
    <x v="0"/>
    <n v="1"/>
    <n v="127"/>
    <n v="0.01"/>
    <x v="1"/>
    <n v="126"/>
    <n v="-103"/>
    <s v="Not Selected"/>
  </r>
  <r>
    <s v="SALE208"/>
    <d v="2024-04-29T00:00:00"/>
    <x v="10"/>
    <s v="CUST1184"/>
    <x v="1"/>
    <x v="16"/>
    <s v="PROD34"/>
    <s v="Gaming Mechanical Keyboard"/>
    <x v="1"/>
    <n v="419"/>
    <s v="STORE17"/>
    <x v="0"/>
    <n v="4"/>
    <n v="931"/>
    <n v="0.04"/>
    <x v="0"/>
    <n v="3576"/>
    <n v="3157"/>
    <s v="Selected"/>
  </r>
  <r>
    <s v="SALE209"/>
    <d v="2023-10-25T00:00:00"/>
    <x v="11"/>
    <s v="CUST1371"/>
    <x v="1"/>
    <x v="21"/>
    <s v="PROD67"/>
    <s v="Smart LED Light Strip"/>
    <x v="1"/>
    <n v="349"/>
    <s v="STORE8"/>
    <x v="1"/>
    <n v="1"/>
    <n v="621"/>
    <n v="0.04"/>
    <x v="1"/>
    <n v="596"/>
    <n v="247"/>
    <s v="Not Selected"/>
  </r>
  <r>
    <s v="SALE211"/>
    <d v="2025-05-30T00:00:00"/>
    <x v="5"/>
    <s v="CUST1012"/>
    <x v="1"/>
    <x v="32"/>
    <s v="PROD27"/>
    <s v="Decorative Floor Vase"/>
    <x v="3"/>
    <n v="254"/>
    <s v="STORE8"/>
    <x v="1"/>
    <n v="3"/>
    <n v="681"/>
    <n v="0.27"/>
    <x v="2"/>
    <n v="1491"/>
    <n v="1237"/>
    <s v="Selected"/>
  </r>
  <r>
    <s v="SALE212"/>
    <d v="2025-10-12T00:00:00"/>
    <x v="11"/>
    <s v="CUST1442"/>
    <x v="1"/>
    <x v="47"/>
    <s v="PROD56"/>
    <s v="Premium Blanket Throw"/>
    <x v="3"/>
    <n v="461"/>
    <s v="STORE19"/>
    <x v="0"/>
    <n v="4"/>
    <n v="120"/>
    <n v="0.13"/>
    <x v="0"/>
    <n v="417"/>
    <n v="-44"/>
    <s v="Not Selected"/>
  </r>
  <r>
    <s v="SALE214"/>
    <d v="2025-10-13T00:00:00"/>
    <x v="11"/>
    <s v="CUST1199"/>
    <x v="0"/>
    <x v="3"/>
    <s v="PROD48"/>
    <s v="Car Dashboard Phone Holder"/>
    <x v="1"/>
    <n v="178"/>
    <s v="STORE16"/>
    <x v="0"/>
    <n v="1"/>
    <n v="776"/>
    <n v="0.26"/>
    <x v="0"/>
    <n v="574"/>
    <n v="396"/>
    <s v="Not Selected"/>
  </r>
  <r>
    <s v="SALE216"/>
    <d v="2025-07-16T00:00:00"/>
    <x v="0"/>
    <s v="CUST1153"/>
    <x v="0"/>
    <x v="16"/>
    <s v="PROD72"/>
    <s v="Professional Jump Rope"/>
    <x v="0"/>
    <n v="478"/>
    <s v="STORE8"/>
    <x v="1"/>
    <n v="3"/>
    <n v="142"/>
    <n v="0.08"/>
    <x v="2"/>
    <n v="391"/>
    <n v="-87"/>
    <s v="Not Selected"/>
  </r>
  <r>
    <s v="SALE217"/>
    <d v="2023-10-20T00:00:00"/>
    <x v="11"/>
    <s v="CUST1266"/>
    <x v="1"/>
    <x v="27"/>
    <s v="PROD15"/>
    <s v="4K Home Projector"/>
    <x v="1"/>
    <n v="465"/>
    <s v="STORE19"/>
    <x v="0"/>
    <n v="1"/>
    <n v="333"/>
    <n v="0.14000000000000001"/>
    <x v="1"/>
    <n v="286"/>
    <n v="-179"/>
    <s v="Not Selected"/>
  </r>
  <r>
    <s v="SALE218"/>
    <d v="2024-06-04T00:00:00"/>
    <x v="2"/>
    <s v="CUST1246"/>
    <x v="0"/>
    <x v="13"/>
    <s v="PROD72"/>
    <s v="Professional Jump Rope"/>
    <x v="0"/>
    <n v="478"/>
    <s v="STORE1"/>
    <x v="0"/>
    <n v="4"/>
    <n v="641"/>
    <n v="0.11"/>
    <x v="2"/>
    <n v="2282"/>
    <n v="1804"/>
    <s v="Selected"/>
  </r>
  <r>
    <s v="SALE220"/>
    <d v="2025-04-07T00:00:00"/>
    <x v="10"/>
    <s v="CUST1075"/>
    <x v="1"/>
    <x v="24"/>
    <s v="PROD16"/>
    <s v="Beard Grooming Kit"/>
    <x v="2"/>
    <n v="337"/>
    <s v="STORE18"/>
    <x v="0"/>
    <n v="3"/>
    <n v="435"/>
    <n v="0.08"/>
    <x v="2"/>
    <n v="1199"/>
    <n v="862"/>
    <s v="Selected"/>
  </r>
  <r>
    <s v="SALE221"/>
    <d v="2025-03-13T00:00:00"/>
    <x v="9"/>
    <s v="CUST1099"/>
    <x v="0"/>
    <x v="3"/>
    <s v="PROD26"/>
    <s v="Wireless Bluetooth Speaker"/>
    <x v="1"/>
    <n v="322"/>
    <s v="STORE14"/>
    <x v="0"/>
    <n v="4"/>
    <n v="652"/>
    <n v="0.15"/>
    <x v="0"/>
    <n v="2218"/>
    <n v="1896"/>
    <s v="Selected"/>
  </r>
  <r>
    <s v="SALE223"/>
    <d v="2024-03-10T00:00:00"/>
    <x v="9"/>
    <s v="CUST1495"/>
    <x v="1"/>
    <x v="37"/>
    <s v="PROD61"/>
    <s v="Tennis Ball 3-Pack"/>
    <x v="0"/>
    <n v="103"/>
    <s v="STORE15"/>
    <x v="0"/>
    <n v="4"/>
    <n v="386"/>
    <n v="0.03"/>
    <x v="1"/>
    <n v="1496"/>
    <n v="1393"/>
    <s v="Selected"/>
  </r>
  <r>
    <s v="SALE224"/>
    <d v="2025-09-15T00:00:00"/>
    <x v="8"/>
    <s v="CUST1096"/>
    <x v="1"/>
    <x v="38"/>
    <s v="PROD65"/>
    <s v="Adjustable Dumbbells 20kg"/>
    <x v="0"/>
    <n v="241"/>
    <s v="STORE6"/>
    <x v="3"/>
    <n v="3"/>
    <n v="548"/>
    <n v="0.12"/>
    <x v="0"/>
    <n v="1447"/>
    <n v="1206"/>
    <s v="Selected"/>
  </r>
  <r>
    <s v="SALE225"/>
    <d v="2024-11-11T00:00:00"/>
    <x v="3"/>
    <s v="CUST1069"/>
    <x v="1"/>
    <x v="19"/>
    <s v="PROD73"/>
    <s v="Shin Guards – Adult"/>
    <x v="0"/>
    <n v="107"/>
    <s v="STORE9"/>
    <x v="2"/>
    <n v="3"/>
    <n v="928"/>
    <n v="0.09"/>
    <x v="0"/>
    <n v="2532"/>
    <n v="2425"/>
    <s v="Selected"/>
  </r>
  <r>
    <s v="SALE228"/>
    <d v="2023-12-24T00:00:00"/>
    <x v="1"/>
    <s v="CUST1107"/>
    <x v="1"/>
    <x v="16"/>
    <s v="PROD75"/>
    <s v="Women's Ankle Boots"/>
    <x v="4"/>
    <n v="158"/>
    <s v="STORE3"/>
    <x v="0"/>
    <n v="2"/>
    <n v="849"/>
    <n v="0.04"/>
    <x v="1"/>
    <n v="1630"/>
    <n v="1472"/>
    <s v="Selected"/>
  </r>
  <r>
    <s v="SALE230"/>
    <d v="2025-01-19T00:00:00"/>
    <x v="4"/>
    <s v="CUST1049"/>
    <x v="1"/>
    <x v="31"/>
    <s v="PROD48"/>
    <s v="Car Dashboard Phone Holder"/>
    <x v="1"/>
    <n v="178"/>
    <s v="STORE13"/>
    <x v="0"/>
    <n v="3"/>
    <n v="450"/>
    <n v="0.1"/>
    <x v="1"/>
    <n v="1215"/>
    <n v="1037"/>
    <s v="Selected"/>
  </r>
  <r>
    <s v="SALE231"/>
    <d v="2025-07-25T00:00:00"/>
    <x v="0"/>
    <s v="CUST1275"/>
    <x v="0"/>
    <x v="27"/>
    <s v="PROD69"/>
    <s v="Men's Sports Shorts"/>
    <x v="4"/>
    <n v="218"/>
    <s v="STORE12"/>
    <x v="0"/>
    <n v="4"/>
    <n v="384"/>
    <n v="0.01"/>
    <x v="0"/>
    <n v="1520"/>
    <n v="1302"/>
    <s v="Selected"/>
  </r>
  <r>
    <s v="SALE236"/>
    <d v="2025-06-01T00:00:00"/>
    <x v="2"/>
    <s v="CUST1169"/>
    <x v="0"/>
    <x v="21"/>
    <s v="PROD17"/>
    <s v="Soccer Training Cone Set"/>
    <x v="0"/>
    <n v="145"/>
    <s v="STORE0"/>
    <x v="3"/>
    <n v="4"/>
    <n v="470"/>
    <n v="0.19"/>
    <x v="0"/>
    <n v="1522"/>
    <n v="1377"/>
    <s v="Selected"/>
  </r>
  <r>
    <s v="SALE237"/>
    <d v="2024-09-24T00:00:00"/>
    <x v="8"/>
    <s v="CUST1494"/>
    <x v="0"/>
    <x v="11"/>
    <s v="PROD28"/>
    <s v="Sports Stopwatch Timer"/>
    <x v="0"/>
    <n v="39"/>
    <s v="STORE17"/>
    <x v="0"/>
    <n v="4"/>
    <n v="321"/>
    <n v="0.2"/>
    <x v="2"/>
    <n v="1026"/>
    <n v="987"/>
    <s v="Selected"/>
  </r>
  <r>
    <s v="SALE239"/>
    <d v="2025-07-23T00:00:00"/>
    <x v="0"/>
    <s v="CUST1216"/>
    <x v="0"/>
    <x v="24"/>
    <s v="PROD86"/>
    <s v="Kitchen Cutting Board"/>
    <x v="3"/>
    <n v="176"/>
    <s v="STORE8"/>
    <x v="1"/>
    <n v="3"/>
    <n v="92"/>
    <n v="0.08"/>
    <x v="2"/>
    <n v="253"/>
    <n v="77"/>
    <s v="Not Selected"/>
  </r>
  <r>
    <s v="SALE240"/>
    <d v="2025-09-17T00:00:00"/>
    <x v="8"/>
    <s v="CUST1031"/>
    <x v="0"/>
    <x v="47"/>
    <s v="PROD62"/>
    <s v="Laptop Cooling Pad"/>
    <x v="1"/>
    <n v="86"/>
    <s v="STORE12"/>
    <x v="0"/>
    <n v="3"/>
    <n v="741"/>
    <n v="0.03"/>
    <x v="0"/>
    <n v="2157"/>
    <n v="2071"/>
    <s v="Selected"/>
  </r>
  <r>
    <s v="SALE243"/>
    <d v="2024-07-07T00:00:00"/>
    <x v="0"/>
    <s v="CUST1364"/>
    <x v="0"/>
    <x v="28"/>
    <s v="PROD65"/>
    <s v="Adjustable Dumbbells 20kg"/>
    <x v="0"/>
    <n v="241"/>
    <s v="STORE11"/>
    <x v="0"/>
    <n v="2"/>
    <n v="704"/>
    <n v="0.03"/>
    <x v="0"/>
    <n v="1366"/>
    <n v="1125"/>
    <s v="Selected"/>
  </r>
  <r>
    <s v="SALE245"/>
    <d v="2024-02-27T00:00:00"/>
    <x v="6"/>
    <s v="CUST1463"/>
    <x v="1"/>
    <x v="40"/>
    <s v="PROD8"/>
    <s v="Decorative Lamp Shade"/>
    <x v="3"/>
    <n v="229"/>
    <s v="STORE7"/>
    <x v="2"/>
    <n v="2"/>
    <n v="377"/>
    <n v="0.15"/>
    <x v="1"/>
    <n v="641"/>
    <n v="412"/>
    <s v="Not Selected"/>
  </r>
  <r>
    <s v="SALE248"/>
    <d v="2025-04-21T00:00:00"/>
    <x v="10"/>
    <s v="CUST1083"/>
    <x v="1"/>
    <x v="36"/>
    <s v="PROD45"/>
    <s v="High-Grip Football"/>
    <x v="0"/>
    <n v="319"/>
    <s v="STORE9"/>
    <x v="2"/>
    <n v="3"/>
    <n v="499"/>
    <n v="0.05"/>
    <x v="1"/>
    <n v="1422"/>
    <n v="1103"/>
    <s v="Selected"/>
  </r>
  <r>
    <s v="SALE249"/>
    <d v="2024-11-10T00:00:00"/>
    <x v="3"/>
    <s v="CUST1023"/>
    <x v="1"/>
    <x v="47"/>
    <s v="PROD68"/>
    <s v="Wooden Nightstand"/>
    <x v="3"/>
    <n v="244"/>
    <s v="STORE3"/>
    <x v="0"/>
    <n v="2"/>
    <n v="895"/>
    <n v="0.25"/>
    <x v="0"/>
    <n v="1342"/>
    <n v="1098"/>
    <s v="Selected"/>
  </r>
  <r>
    <s v="SALE252"/>
    <d v="2025-09-25T00:00:00"/>
    <x v="8"/>
    <s v="CUST1449"/>
    <x v="0"/>
    <x v="31"/>
    <s v="PROD98"/>
    <s v="Portable Bluetooth Speaker"/>
    <x v="1"/>
    <n v="432"/>
    <s v="STORE19"/>
    <x v="0"/>
    <n v="1"/>
    <n v="550"/>
    <n v="0.1"/>
    <x v="1"/>
    <n v="495"/>
    <n v="63"/>
    <s v="Not Selected"/>
  </r>
  <r>
    <s v="SALE253"/>
    <d v="2025-08-07T00:00:00"/>
    <x v="7"/>
    <s v="CUST1240"/>
    <x v="1"/>
    <x v="20"/>
    <s v="PROD92"/>
    <s v="Microwave Oven"/>
    <x v="3"/>
    <n v="447"/>
    <s v="STORE18"/>
    <x v="0"/>
    <n v="2"/>
    <n v="240"/>
    <n v="0.16"/>
    <x v="0"/>
    <n v="403"/>
    <n v="-44"/>
    <s v="Not Selected"/>
  </r>
  <r>
    <s v="SALE254"/>
    <d v="2024-02-16T00:00:00"/>
    <x v="6"/>
    <s v="CUST1082"/>
    <x v="0"/>
    <x v="26"/>
    <s v="PROD92"/>
    <s v="Microwave Oven"/>
    <x v="3"/>
    <n v="447"/>
    <s v="STORE6"/>
    <x v="3"/>
    <n v="2"/>
    <n v="878"/>
    <n v="0.11"/>
    <x v="1"/>
    <n v="1563"/>
    <n v="1116"/>
    <s v="Selected"/>
  </r>
  <r>
    <s v="SALE255"/>
    <d v="2025-03-30T00:00:00"/>
    <x v="9"/>
    <s v="CUST1044"/>
    <x v="0"/>
    <x v="22"/>
    <s v="PROD1"/>
    <s v="Men's Graphic T-Shirt"/>
    <x v="4"/>
    <n v="343"/>
    <s v="STORE9"/>
    <x v="2"/>
    <n v="3"/>
    <n v="547"/>
    <n v="0.19"/>
    <x v="0"/>
    <n v="1329"/>
    <n v="986"/>
    <s v="Selected"/>
  </r>
  <r>
    <s v="SALE256"/>
    <d v="2025-02-18T00:00:00"/>
    <x v="6"/>
    <s v="CUST1471"/>
    <x v="0"/>
    <x v="10"/>
    <s v="PROD17"/>
    <s v="Soccer Training Cone Set"/>
    <x v="0"/>
    <n v="145"/>
    <s v="STORE10"/>
    <x v="0"/>
    <n v="2"/>
    <n v="72"/>
    <n v="0.22"/>
    <x v="0"/>
    <n v="112"/>
    <n v="-33"/>
    <s v="Not Selected"/>
  </r>
  <r>
    <s v="SALE257"/>
    <d v="2025-03-01T00:00:00"/>
    <x v="9"/>
    <s v="CUST1013"/>
    <x v="1"/>
    <x v="10"/>
    <s v="PROD24"/>
    <s v="Foldable Camping Chair"/>
    <x v="0"/>
    <n v="166"/>
    <s v="STORE1"/>
    <x v="0"/>
    <n v="2"/>
    <n v="680"/>
    <n v="0.22"/>
    <x v="2"/>
    <n v="1061"/>
    <n v="895"/>
    <s v="Selected"/>
  </r>
  <r>
    <s v="SALE258"/>
    <d v="2024-01-09T00:00:00"/>
    <x v="4"/>
    <s v="CUST1136"/>
    <x v="0"/>
    <x v="48"/>
    <s v="PROD35"/>
    <s v="Bedroom Table Lamp"/>
    <x v="3"/>
    <n v="382"/>
    <s v="STORE17"/>
    <x v="0"/>
    <n v="1"/>
    <n v="223"/>
    <n v="0.19"/>
    <x v="0"/>
    <n v="181"/>
    <n v="-201"/>
    <s v="Not Selected"/>
  </r>
  <r>
    <s v="SALE259"/>
    <d v="2025-04-26T00:00:00"/>
    <x v="10"/>
    <s v="CUST1248"/>
    <x v="0"/>
    <x v="8"/>
    <s v="PROD35"/>
    <s v="Bedroom Table Lamp"/>
    <x v="3"/>
    <n v="382"/>
    <s v="STORE2"/>
    <x v="2"/>
    <n v="2"/>
    <n v="355"/>
    <n v="0"/>
    <x v="1"/>
    <n v="590"/>
    <n v="208"/>
    <s v="Not Selected"/>
  </r>
  <r>
    <s v="SALE260"/>
    <d v="2024-07-24T00:00:00"/>
    <x v="0"/>
    <s v="CUST1103"/>
    <x v="0"/>
    <x v="40"/>
    <s v="PROD89"/>
    <s v="Face Foundation Kit"/>
    <x v="2"/>
    <n v="183"/>
    <s v="STORE19"/>
    <x v="0"/>
    <n v="4"/>
    <n v="611"/>
    <n v="0.11"/>
    <x v="1"/>
    <n v="2176"/>
    <n v="1993"/>
    <s v="Selected"/>
  </r>
  <r>
    <s v="SALE261"/>
    <d v="2025-03-26T00:00:00"/>
    <x v="9"/>
    <s v="CUST1333"/>
    <x v="1"/>
    <x v="36"/>
    <s v="PROD0"/>
    <s v="Brother Laser Printer"/>
    <x v="1"/>
    <n v="112"/>
    <s v="STORE8"/>
    <x v="1"/>
    <n v="4"/>
    <n v="849"/>
    <n v="7.0000000000000007E-2"/>
    <x v="0"/>
    <n v="3159"/>
    <n v="3047"/>
    <s v="Selected"/>
  </r>
  <r>
    <s v="SALE262"/>
    <d v="2025-02-25T00:00:00"/>
    <x v="6"/>
    <s v="CUST1209"/>
    <x v="1"/>
    <x v="17"/>
    <s v="PROD42"/>
    <s v="Smart Home WiFi Camera"/>
    <x v="1"/>
    <n v="451"/>
    <s v="STORE7"/>
    <x v="2"/>
    <n v="3"/>
    <n v="553"/>
    <n v="0.28000000000000003"/>
    <x v="2"/>
    <n v="1195"/>
    <n v="744"/>
    <s v="Selected"/>
  </r>
  <r>
    <s v="SALE263"/>
    <d v="2025-06-18T00:00:00"/>
    <x v="2"/>
    <s v="CUST1282"/>
    <x v="1"/>
    <x v="19"/>
    <s v="PROD91"/>
    <s v="Women's High Heels"/>
    <x v="4"/>
    <n v="438"/>
    <s v="STORE9"/>
    <x v="2"/>
    <n v="2"/>
    <n v="903"/>
    <n v="0.18"/>
    <x v="2"/>
    <n v="1481"/>
    <n v="1043"/>
    <s v="Selected"/>
  </r>
  <r>
    <s v="SALE265"/>
    <d v="2025-06-28T00:00:00"/>
    <x v="2"/>
    <s v="CUST1141"/>
    <x v="0"/>
    <x v="24"/>
    <s v="PROD21"/>
    <s v="Multi-Purpose Storage Box"/>
    <x v="3"/>
    <n v="123"/>
    <s v="STORE6"/>
    <x v="3"/>
    <n v="1"/>
    <n v="518"/>
    <n v="0.25"/>
    <x v="0"/>
    <n v="389"/>
    <n v="266"/>
    <s v="Not Selected"/>
  </r>
  <r>
    <s v="SALE266"/>
    <d v="2024-05-25T00:00:00"/>
    <x v="5"/>
    <s v="CUST1433"/>
    <x v="1"/>
    <x v="14"/>
    <s v="PROD64"/>
    <s v="Matte Lipstick Set"/>
    <x v="2"/>
    <n v="299"/>
    <s v="STORE4"/>
    <x v="2"/>
    <n v="4"/>
    <n v="779"/>
    <n v="0.25"/>
    <x v="0"/>
    <n v="2338"/>
    <n v="2039"/>
    <s v="Selected"/>
  </r>
  <r>
    <s v="SALE267"/>
    <d v="2025-05-30T00:00:00"/>
    <x v="5"/>
    <s v="CUST1118"/>
    <x v="0"/>
    <x v="48"/>
    <s v="PROD83"/>
    <s v="Hydrating Face Cleanser"/>
    <x v="2"/>
    <n v="254"/>
    <s v="STORE7"/>
    <x v="2"/>
    <n v="2"/>
    <n v="468"/>
    <n v="0.26"/>
    <x v="0"/>
    <n v="692"/>
    <n v="438"/>
    <s v="Not Selected"/>
  </r>
  <r>
    <s v="SALE269"/>
    <d v="2025-05-26T00:00:00"/>
    <x v="5"/>
    <s v="CUST1219"/>
    <x v="1"/>
    <x v="19"/>
    <s v="PROD37"/>
    <s v="Men's Casual Sneakers"/>
    <x v="4"/>
    <n v="353"/>
    <s v="STORE0"/>
    <x v="3"/>
    <n v="4"/>
    <n v="747"/>
    <n v="0.13"/>
    <x v="1"/>
    <n v="2600"/>
    <n v="2247"/>
    <s v="Selected"/>
  </r>
  <r>
    <s v="SALE270"/>
    <d v="2025-03-19T00:00:00"/>
    <x v="9"/>
    <s v="CUST1101"/>
    <x v="0"/>
    <x v="39"/>
    <s v="PROD89"/>
    <s v="Face Foundation Kit"/>
    <x v="2"/>
    <n v="183"/>
    <s v="STORE12"/>
    <x v="0"/>
    <n v="4"/>
    <n v="462"/>
    <n v="0.28000000000000003"/>
    <x v="1"/>
    <n v="1330"/>
    <n v="1147"/>
    <s v="Selected"/>
  </r>
  <r>
    <s v="SALE271"/>
    <d v="2025-04-03T00:00:00"/>
    <x v="10"/>
    <s v="CUST1134"/>
    <x v="0"/>
    <x v="7"/>
    <s v="PROD70"/>
    <s v="Kitchen Storage Rack"/>
    <x v="3"/>
    <n v="138"/>
    <s v="STORE8"/>
    <x v="1"/>
    <n v="2"/>
    <n v="105"/>
    <n v="0.06"/>
    <x v="0"/>
    <n v="198"/>
    <n v="60"/>
    <s v="Not Selected"/>
  </r>
  <r>
    <s v="SALE273"/>
    <d v="2025-01-10T00:00:00"/>
    <x v="4"/>
    <s v="CUST1312"/>
    <x v="1"/>
    <x v="37"/>
    <s v="PROD74"/>
    <s v="Bluetooth Car Audio System"/>
    <x v="1"/>
    <n v="404"/>
    <s v="STORE8"/>
    <x v="1"/>
    <n v="1"/>
    <n v="872"/>
    <n v="7.0000000000000007E-2"/>
    <x v="1"/>
    <n v="811"/>
    <n v="407"/>
    <s v="Not Selected"/>
  </r>
  <r>
    <s v="SALE277"/>
    <d v="2025-01-04T00:00:00"/>
    <x v="4"/>
    <s v="CUST1484"/>
    <x v="0"/>
    <x v="43"/>
    <s v="PROD77"/>
    <s v="WiFi Mesh Router"/>
    <x v="1"/>
    <n v="481"/>
    <s v="STORE18"/>
    <x v="0"/>
    <n v="4"/>
    <n v="463"/>
    <n v="0.06"/>
    <x v="1"/>
    <n v="1742"/>
    <n v="1261"/>
    <s v="Selected"/>
  </r>
  <r>
    <s v="SALE278"/>
    <d v="2025-05-21T00:00:00"/>
    <x v="5"/>
    <s v="CUST1316"/>
    <x v="0"/>
    <x v="33"/>
    <s v="PROD25"/>
    <s v="Women's Scarf Set"/>
    <x v="4"/>
    <n v="174"/>
    <s v="STORE7"/>
    <x v="2"/>
    <n v="4"/>
    <n v="286"/>
    <n v="0.18"/>
    <x v="1"/>
    <n v="937"/>
    <n v="763"/>
    <s v="Not Selected"/>
  </r>
  <r>
    <s v="SALE279"/>
    <d v="2025-07-30T00:00:00"/>
    <x v="0"/>
    <s v="CUST1326"/>
    <x v="1"/>
    <x v="5"/>
    <s v="PROD37"/>
    <s v="Men's Casual Sneakers"/>
    <x v="4"/>
    <n v="353"/>
    <s v="STORE11"/>
    <x v="0"/>
    <n v="3"/>
    <n v="995"/>
    <n v="0.1"/>
    <x v="1"/>
    <n v="2688"/>
    <n v="2335"/>
    <s v="Selected"/>
  </r>
  <r>
    <s v="SALE281"/>
    <d v="2024-07-02T00:00:00"/>
    <x v="0"/>
    <s v="CUST1490"/>
    <x v="0"/>
    <x v="33"/>
    <s v="PROD47"/>
    <s v="Makeup Brush Set"/>
    <x v="2"/>
    <n v="254"/>
    <s v="STORE16"/>
    <x v="0"/>
    <n v="3"/>
    <n v="64"/>
    <n v="0.08"/>
    <x v="2"/>
    <n v="177"/>
    <n v="-77"/>
    <s v="Not Selected"/>
  </r>
  <r>
    <s v="SALE282"/>
    <d v="2025-06-21T00:00:00"/>
    <x v="2"/>
    <s v="CUST1262"/>
    <x v="1"/>
    <x v="10"/>
    <s v="PROD11"/>
    <s v="HD Smart TV Stick"/>
    <x v="1"/>
    <n v="449"/>
    <s v="STORE13"/>
    <x v="0"/>
    <n v="3"/>
    <n v="697"/>
    <n v="0.25"/>
    <x v="2"/>
    <n v="1569"/>
    <n v="1120"/>
    <s v="Selected"/>
  </r>
  <r>
    <s v="SALE284"/>
    <d v="2024-08-14T00:00:00"/>
    <x v="7"/>
    <s v="CUST1260"/>
    <x v="1"/>
    <x v="28"/>
    <s v="PROD84"/>
    <s v="Wooden Bookshelf"/>
    <x v="3"/>
    <n v="388"/>
    <s v="STORE13"/>
    <x v="0"/>
    <n v="1"/>
    <n v="521"/>
    <n v="0.15"/>
    <x v="0"/>
    <n v="443"/>
    <n v="55"/>
    <s v="Not Selected"/>
  </r>
  <r>
    <s v="SALE285"/>
    <d v="2025-03-05T00:00:00"/>
    <x v="9"/>
    <s v="CUST1225"/>
    <x v="1"/>
    <x v="39"/>
    <s v="PROD19"/>
    <s v="Knee Support Brace"/>
    <x v="0"/>
    <n v="21"/>
    <s v="STORE7"/>
    <x v="2"/>
    <n v="2"/>
    <n v="350"/>
    <n v="0.21"/>
    <x v="2"/>
    <n v="553"/>
    <n v="532"/>
    <s v="Not Selected"/>
  </r>
  <r>
    <s v="SALE286"/>
    <d v="2024-01-17T00:00:00"/>
    <x v="4"/>
    <s v="CUST1466"/>
    <x v="0"/>
    <x v="46"/>
    <s v="PROD48"/>
    <s v="Car Dashboard Phone Holder"/>
    <x v="1"/>
    <n v="178"/>
    <s v="STORE19"/>
    <x v="0"/>
    <n v="3"/>
    <n v="808"/>
    <n v="0.1"/>
    <x v="1"/>
    <n v="2181"/>
    <n v="2003"/>
    <s v="Selected"/>
  </r>
  <r>
    <s v="SALE289"/>
    <d v="2024-05-26T00:00:00"/>
    <x v="5"/>
    <s v="CUST1263"/>
    <x v="0"/>
    <x v="38"/>
    <s v="PROD65"/>
    <s v="Adjustable Dumbbells 20kg"/>
    <x v="0"/>
    <n v="241"/>
    <s v="STORE7"/>
    <x v="2"/>
    <n v="1"/>
    <n v="204"/>
    <n v="0.24"/>
    <x v="2"/>
    <n v="155"/>
    <n v="-86"/>
    <s v="Not Selected"/>
  </r>
  <r>
    <s v="SALE290"/>
    <d v="2025-07-18T00:00:00"/>
    <x v="0"/>
    <s v="CUST1417"/>
    <x v="1"/>
    <x v="29"/>
    <s v="PROD97"/>
    <s v="Cricket Bat"/>
    <x v="0"/>
    <n v="246"/>
    <s v="STORE15"/>
    <x v="0"/>
    <n v="4"/>
    <n v="494"/>
    <n v="0.24"/>
    <x v="2"/>
    <n v="1501"/>
    <n v="1255"/>
    <s v="Selected"/>
  </r>
  <r>
    <s v="SALE291"/>
    <d v="2024-07-12T00:00:00"/>
    <x v="0"/>
    <s v="CUST1017"/>
    <x v="1"/>
    <x v="36"/>
    <s v="PROD41"/>
    <s v="Yoga Exercise Mat"/>
    <x v="0"/>
    <n v="313"/>
    <s v="STORE17"/>
    <x v="0"/>
    <n v="1"/>
    <n v="641"/>
    <n v="0.25"/>
    <x v="0"/>
    <n v="480"/>
    <n v="167"/>
    <s v="Not Selected"/>
  </r>
  <r>
    <s v="SALE293"/>
    <d v="2025-06-18T00:00:00"/>
    <x v="2"/>
    <s v="CUST1224"/>
    <x v="0"/>
    <x v="6"/>
    <s v="PROD39"/>
    <s v="Portable Power Bank"/>
    <x v="1"/>
    <n v="326"/>
    <s v="STORE8"/>
    <x v="1"/>
    <n v="4"/>
    <n v="140"/>
    <n v="0.24"/>
    <x v="0"/>
    <n v="425"/>
    <n v="99"/>
    <s v="Not Selected"/>
  </r>
  <r>
    <s v="SALE295"/>
    <d v="2024-09-21T00:00:00"/>
    <x v="8"/>
    <s v="CUST1211"/>
    <x v="1"/>
    <x v="37"/>
    <s v="PROD85"/>
    <s v="Women's Beanie Hat"/>
    <x v="4"/>
    <n v="120"/>
    <s v="STORE17"/>
    <x v="0"/>
    <n v="4"/>
    <n v="626"/>
    <n v="0.25"/>
    <x v="2"/>
    <n v="1879"/>
    <n v="1759"/>
    <s v="Selected"/>
  </r>
  <r>
    <s v="SALE297"/>
    <d v="2025-08-02T00:00:00"/>
    <x v="7"/>
    <s v="CUST1191"/>
    <x v="1"/>
    <x v="31"/>
    <s v="PROD17"/>
    <s v="Soccer Training Cone Set"/>
    <x v="0"/>
    <n v="145"/>
    <s v="STORE1"/>
    <x v="0"/>
    <n v="4"/>
    <n v="354"/>
    <n v="0.03"/>
    <x v="2"/>
    <n v="1372"/>
    <n v="1227"/>
    <s v="Selected"/>
  </r>
  <r>
    <s v="SALE300"/>
    <d v="2023-12-08T00:00:00"/>
    <x v="1"/>
    <s v="CUST1198"/>
    <x v="0"/>
    <x v="1"/>
    <s v="PROD12"/>
    <s v="Hair Strengthening Shampoo"/>
    <x v="2"/>
    <n v="116"/>
    <s v="STORE15"/>
    <x v="0"/>
    <n v="4"/>
    <n v="889"/>
    <n v="0.24"/>
    <x v="0"/>
    <n v="2704"/>
    <n v="2588"/>
    <s v="Selected"/>
  </r>
  <r>
    <s v="SALE302"/>
    <d v="2024-11-28T00:00:00"/>
    <x v="3"/>
    <s v="CUST1468"/>
    <x v="0"/>
    <x v="1"/>
    <s v="PROD75"/>
    <s v="Women's Ankle Boots"/>
    <x v="4"/>
    <n v="158"/>
    <s v="STORE5"/>
    <x v="0"/>
    <n v="2"/>
    <n v="865"/>
    <n v="0.2"/>
    <x v="1"/>
    <n v="1384"/>
    <n v="1226"/>
    <s v="Selected"/>
  </r>
  <r>
    <s v="SALE304"/>
    <d v="2024-11-19T00:00:00"/>
    <x v="3"/>
    <s v="CUST1042"/>
    <x v="0"/>
    <x v="40"/>
    <s v="PROD51"/>
    <s v="HDMI Cable – 2m"/>
    <x v="1"/>
    <n v="88"/>
    <s v="STORE12"/>
    <x v="0"/>
    <n v="3"/>
    <n v="781"/>
    <n v="0.12"/>
    <x v="0"/>
    <n v="2063"/>
    <n v="1975"/>
    <s v="Selected"/>
  </r>
  <r>
    <s v="SALE306"/>
    <d v="2025-01-22T00:00:00"/>
    <x v="4"/>
    <s v="CUST1481"/>
    <x v="0"/>
    <x v="36"/>
    <s v="PROD62"/>
    <s v="Laptop Cooling Pad"/>
    <x v="1"/>
    <n v="86"/>
    <s v="STORE14"/>
    <x v="0"/>
    <n v="2"/>
    <n v="838"/>
    <n v="0.03"/>
    <x v="2"/>
    <n v="1625"/>
    <n v="1539"/>
    <s v="Selected"/>
  </r>
  <r>
    <s v="SALE307"/>
    <d v="2025-07-04T00:00:00"/>
    <x v="0"/>
    <s v="CUST1451"/>
    <x v="0"/>
    <x v="23"/>
    <s v="PROD90"/>
    <s v="Gaming Mouse Pad XL"/>
    <x v="1"/>
    <n v="340"/>
    <s v="STORE1"/>
    <x v="0"/>
    <n v="3"/>
    <n v="136"/>
    <n v="0.2"/>
    <x v="0"/>
    <n v="326"/>
    <n v="-14"/>
    <s v="Not Selected"/>
  </r>
  <r>
    <s v="SALE308"/>
    <d v="2025-05-19T00:00:00"/>
    <x v="5"/>
    <s v="CUST1479"/>
    <x v="0"/>
    <x v="35"/>
    <s v="PROD74"/>
    <s v="Bluetooth Car Audio System"/>
    <x v="1"/>
    <n v="404"/>
    <s v="STORE1"/>
    <x v="0"/>
    <n v="4"/>
    <n v="397"/>
    <n v="7.0000000000000007E-2"/>
    <x v="1"/>
    <n v="1475"/>
    <n v="1071"/>
    <s v="Selected"/>
  </r>
  <r>
    <s v="SALE309"/>
    <d v="2023-12-04T00:00:00"/>
    <x v="1"/>
    <s v="CUST1220"/>
    <x v="1"/>
    <x v="43"/>
    <s v="PROD29"/>
    <s v="Fabric Sofa Throw Blanket"/>
    <x v="3"/>
    <n v="218"/>
    <s v="STORE14"/>
    <x v="0"/>
    <n v="2"/>
    <n v="722"/>
    <n v="0.22"/>
    <x v="1"/>
    <n v="1127"/>
    <n v="909"/>
    <s v="Selected"/>
  </r>
  <r>
    <s v="SALE310"/>
    <d v="2024-07-31T00:00:00"/>
    <x v="0"/>
    <s v="CUST1047"/>
    <x v="1"/>
    <x v="8"/>
    <s v="PROD64"/>
    <s v="Matte Lipstick Set"/>
    <x v="2"/>
    <n v="299"/>
    <s v="STORE2"/>
    <x v="2"/>
    <n v="2"/>
    <n v="138"/>
    <n v="0.02"/>
    <x v="0"/>
    <n v="271"/>
    <n v="-28"/>
    <s v="Not Selected"/>
  </r>
  <r>
    <s v="SALE313"/>
    <d v="2024-04-07T00:00:00"/>
    <x v="10"/>
    <s v="CUST1304"/>
    <x v="0"/>
    <x v="32"/>
    <s v="PROD50"/>
    <s v="Boxing Hand Wraps"/>
    <x v="0"/>
    <n v="190"/>
    <s v="STORE2"/>
    <x v="2"/>
    <n v="1"/>
    <n v="89"/>
    <n v="0.19"/>
    <x v="1"/>
    <n v="72"/>
    <n v="-118"/>
    <s v="Not Selected"/>
  </r>
  <r>
    <s v="SALE318"/>
    <d v="2025-01-06T00:00:00"/>
    <x v="4"/>
    <s v="CUST1088"/>
    <x v="0"/>
    <x v="13"/>
    <s v="PROD2"/>
    <s v="Knee Support Brace"/>
    <x v="0"/>
    <n v="21"/>
    <s v="STORE4"/>
    <x v="2"/>
    <n v="2"/>
    <n v="123"/>
    <n v="0.19"/>
    <x v="0"/>
    <n v="200"/>
    <n v="179"/>
    <s v="Not Selected"/>
  </r>
  <r>
    <s v="SALE319"/>
    <d v="2025-08-10T00:00:00"/>
    <x v="7"/>
    <s v="CUST1358"/>
    <x v="1"/>
    <x v="25"/>
    <s v="PROD55"/>
    <s v="Ceramic Plant Pot"/>
    <x v="3"/>
    <n v="82"/>
    <s v="STORE19"/>
    <x v="0"/>
    <n v="1"/>
    <n v="223"/>
    <n v="0.02"/>
    <x v="1"/>
    <n v="218"/>
    <n v="136"/>
    <s v="Not Selected"/>
  </r>
  <r>
    <s v="SALE320"/>
    <d v="2025-07-02T00:00:00"/>
    <x v="0"/>
    <s v="CUST1332"/>
    <x v="1"/>
    <x v="22"/>
    <s v="PROD32"/>
    <s v="Vitamin C Face Serum"/>
    <x v="2"/>
    <n v="284"/>
    <s v="STORE4"/>
    <x v="2"/>
    <n v="3"/>
    <n v="602"/>
    <n v="0.14000000000000001"/>
    <x v="0"/>
    <n v="1553"/>
    <n v="1269"/>
    <s v="Selected"/>
  </r>
  <r>
    <s v="SALE321"/>
    <d v="2024-03-29T00:00:00"/>
    <x v="9"/>
    <s v="CUST1297"/>
    <x v="1"/>
    <x v="6"/>
    <s v="PROD69"/>
    <s v="Men's Sports Shorts"/>
    <x v="4"/>
    <n v="218"/>
    <s v="STORE2"/>
    <x v="2"/>
    <n v="1"/>
    <n v="564"/>
    <n v="0.03"/>
    <x v="0"/>
    <n v="547"/>
    <n v="329"/>
    <s v="Not Selected"/>
  </r>
  <r>
    <s v="SALE323"/>
    <d v="2024-07-24T00:00:00"/>
    <x v="0"/>
    <s v="CUST1438"/>
    <x v="1"/>
    <x v="3"/>
    <s v="PROD63"/>
    <s v="Organic Sunscreen Lotion"/>
    <x v="2"/>
    <n v="267"/>
    <s v="STORE12"/>
    <x v="0"/>
    <n v="1"/>
    <n v="935"/>
    <n v="0.11"/>
    <x v="1"/>
    <n v="832"/>
    <n v="565"/>
    <s v="Not Selected"/>
  </r>
  <r>
    <s v="SALE324"/>
    <d v="2024-04-25T00:00:00"/>
    <x v="10"/>
    <s v="CUST1234"/>
    <x v="1"/>
    <x v="32"/>
    <s v="PROD98"/>
    <s v="Portable Bluetooth Speaker"/>
    <x v="1"/>
    <n v="432"/>
    <s v="STORE7"/>
    <x v="2"/>
    <n v="4"/>
    <n v="548"/>
    <n v="0.05"/>
    <x v="1"/>
    <n v="2084"/>
    <n v="1652"/>
    <s v="Selected"/>
  </r>
  <r>
    <s v="SALE329"/>
    <d v="2025-04-09T00:00:00"/>
    <x v="10"/>
    <s v="CUST1322"/>
    <x v="0"/>
    <x v="0"/>
    <s v="PROD6"/>
    <s v="Men's Hair Styling Gel"/>
    <x v="2"/>
    <n v="17"/>
    <s v="STORE0"/>
    <x v="3"/>
    <n v="4"/>
    <n v="25"/>
    <n v="0.28000000000000003"/>
    <x v="0"/>
    <n v="71"/>
    <n v="54"/>
    <s v="Not Selected"/>
  </r>
  <r>
    <s v="SALE330"/>
    <d v="2024-07-05T00:00:00"/>
    <x v="0"/>
    <s v="CUST1251"/>
    <x v="0"/>
    <x v="4"/>
    <s v="PROD9"/>
    <s v="Face Foundation Kit"/>
    <x v="2"/>
    <n v="183"/>
    <s v="STORE9"/>
    <x v="2"/>
    <n v="3"/>
    <n v="269"/>
    <n v="7.0000000000000007E-2"/>
    <x v="2"/>
    <n v="750"/>
    <n v="567"/>
    <s v="Not Selected"/>
  </r>
  <r>
    <s v="SALE332"/>
    <d v="2025-06-07T00:00:00"/>
    <x v="2"/>
    <s v="CUST1133"/>
    <x v="1"/>
    <x v="26"/>
    <s v="PROD36"/>
    <s v="Women's Summer Dress"/>
    <x v="4"/>
    <n v="223"/>
    <s v="STORE4"/>
    <x v="2"/>
    <n v="3"/>
    <n v="399"/>
    <n v="0.02"/>
    <x v="0"/>
    <n v="1174"/>
    <n v="951"/>
    <s v="Selected"/>
  </r>
  <r>
    <s v="SALE333"/>
    <d v="2025-08-22T00:00:00"/>
    <x v="7"/>
    <s v="CUST1085"/>
    <x v="0"/>
    <x v="2"/>
    <s v="PROD31"/>
    <s v="Basketball"/>
    <x v="0"/>
    <n v="204"/>
    <s v="STORE19"/>
    <x v="0"/>
    <n v="3"/>
    <n v="456"/>
    <n v="0.01"/>
    <x v="1"/>
    <n v="1354"/>
    <n v="1150"/>
    <s v="Selected"/>
  </r>
  <r>
    <s v="SALE335"/>
    <d v="2024-01-18T00:00:00"/>
    <x v="4"/>
    <s v="CUST1458"/>
    <x v="1"/>
    <x v="2"/>
    <s v="PROD2"/>
    <s v="Knee Support Brace"/>
    <x v="0"/>
    <n v="21"/>
    <s v="STORE14"/>
    <x v="0"/>
    <n v="4"/>
    <n v="972"/>
    <n v="0.28000000000000003"/>
    <x v="1"/>
    <n v="2799"/>
    <n v="2778"/>
    <s v="Selected"/>
  </r>
  <r>
    <s v="SALE336"/>
    <d v="2024-08-15T00:00:00"/>
    <x v="7"/>
    <s v="CUST1034"/>
    <x v="1"/>
    <x v="33"/>
    <s v="PROD28"/>
    <s v="Sports Stopwatch Timer"/>
    <x v="0"/>
    <n v="39"/>
    <s v="STORE7"/>
    <x v="2"/>
    <n v="3"/>
    <n v="885"/>
    <n v="0.06"/>
    <x v="1"/>
    <n v="2495"/>
    <n v="2456"/>
    <s v="Selected"/>
  </r>
  <r>
    <s v="SALE339"/>
    <d v="2024-01-12T00:00:00"/>
    <x v="4"/>
    <s v="CUST1222"/>
    <x v="0"/>
    <x v="23"/>
    <s v="PROD46"/>
    <s v="Men's Winter Jacket"/>
    <x v="4"/>
    <n v="167"/>
    <s v="STORE6"/>
    <x v="3"/>
    <n v="4"/>
    <n v="344"/>
    <n v="0.25"/>
    <x v="1"/>
    <n v="1032"/>
    <n v="865"/>
    <s v="Selected"/>
  </r>
  <r>
    <s v="SALE341"/>
    <d v="2025-03-11T00:00:00"/>
    <x v="9"/>
    <s v="CUST1150"/>
    <x v="0"/>
    <x v="25"/>
    <s v="PROD11"/>
    <s v="HD Smart TV Stick"/>
    <x v="1"/>
    <n v="449"/>
    <s v="STORE15"/>
    <x v="0"/>
    <n v="3"/>
    <n v="122"/>
    <n v="7.0000000000000007E-2"/>
    <x v="1"/>
    <n v="339"/>
    <n v="-110"/>
    <s v="Not Selected"/>
  </r>
  <r>
    <s v="SALE343"/>
    <d v="2024-11-27T00:00:00"/>
    <x v="3"/>
    <s v="CUST1027"/>
    <x v="0"/>
    <x v="39"/>
    <s v="PROD24"/>
    <s v="Foldable Camping Chair"/>
    <x v="0"/>
    <n v="166"/>
    <s v="STORE19"/>
    <x v="0"/>
    <n v="3"/>
    <n v="795"/>
    <n v="0.03"/>
    <x v="1"/>
    <n v="2312"/>
    <n v="2146"/>
    <s v="Selected"/>
  </r>
  <r>
    <s v="SALE344"/>
    <d v="2023-10-25T00:00:00"/>
    <x v="11"/>
    <s v="CUST1014"/>
    <x v="1"/>
    <x v="48"/>
    <s v="PROD26"/>
    <s v="Wireless Bluetooth Speaker"/>
    <x v="1"/>
    <n v="322"/>
    <s v="STORE9"/>
    <x v="2"/>
    <n v="1"/>
    <n v="908"/>
    <n v="0.1"/>
    <x v="1"/>
    <n v="817"/>
    <n v="495"/>
    <s v="Not Selected"/>
  </r>
  <r>
    <s v="SALE346"/>
    <d v="2025-09-15T00:00:00"/>
    <x v="8"/>
    <s v="CUST1061"/>
    <x v="0"/>
    <x v="6"/>
    <s v="PROD51"/>
    <s v="HDMI Cable – 2m"/>
    <x v="1"/>
    <n v="88"/>
    <s v="STORE8"/>
    <x v="1"/>
    <n v="3"/>
    <n v="565"/>
    <n v="0.22"/>
    <x v="2"/>
    <n v="1322"/>
    <n v="1234"/>
    <s v="Selected"/>
  </r>
  <r>
    <s v="SALE353"/>
    <d v="2024-07-28T00:00:00"/>
    <x v="0"/>
    <s v="CUST1104"/>
    <x v="0"/>
    <x v="36"/>
    <s v="PROD25"/>
    <s v="Women's Scarf Set"/>
    <x v="4"/>
    <n v="174"/>
    <s v="STORE12"/>
    <x v="0"/>
    <n v="4"/>
    <n v="176"/>
    <n v="0.13"/>
    <x v="1"/>
    <n v="612"/>
    <n v="438"/>
    <s v="Not Selected"/>
  </r>
  <r>
    <s v="SALE355"/>
    <d v="2024-01-13T00:00:00"/>
    <x v="4"/>
    <s v="CUST1241"/>
    <x v="0"/>
    <x v="45"/>
    <s v="PROD15"/>
    <s v="4K Home Projector"/>
    <x v="1"/>
    <n v="465"/>
    <s v="STORE15"/>
    <x v="0"/>
    <n v="2"/>
    <n v="899"/>
    <n v="0.17"/>
    <x v="0"/>
    <n v="1493"/>
    <n v="1028"/>
    <s v="Selected"/>
  </r>
  <r>
    <s v="SALE357"/>
    <d v="2024-09-29T00:00:00"/>
    <x v="8"/>
    <s v="CUST1165"/>
    <x v="1"/>
    <x v="49"/>
    <s v="PROD27"/>
    <s v="Decorative Floor Vase"/>
    <x v="3"/>
    <n v="254"/>
    <s v="STORE0"/>
    <x v="3"/>
    <n v="3"/>
    <n v="159"/>
    <n v="0.13"/>
    <x v="0"/>
    <n v="414"/>
    <n v="160"/>
    <s v="Not Selected"/>
  </r>
  <r>
    <s v="SALE358"/>
    <d v="2024-05-01T00:00:00"/>
    <x v="5"/>
    <s v="CUST1210"/>
    <x v="0"/>
    <x v="36"/>
    <s v="PROD60"/>
    <s v="Luxury Perfume Spray"/>
    <x v="2"/>
    <n v="483"/>
    <s v="STORE16"/>
    <x v="0"/>
    <n v="4"/>
    <n v="537"/>
    <n v="0.06"/>
    <x v="2"/>
    <n v="2020"/>
    <n v="1537"/>
    <s v="Selected"/>
  </r>
  <r>
    <s v="SALE361"/>
    <d v="2025-04-16T00:00:00"/>
    <x v="10"/>
    <s v="CUST1102"/>
    <x v="1"/>
    <x v="2"/>
    <s v="PROD98"/>
    <s v="Portable Bluetooth Speaker"/>
    <x v="1"/>
    <n v="432"/>
    <s v="STORE11"/>
    <x v="0"/>
    <n v="1"/>
    <n v="645"/>
    <n v="0.26"/>
    <x v="2"/>
    <n v="478"/>
    <n v="46"/>
    <s v="Not Selected"/>
  </r>
  <r>
    <s v="SALE362"/>
    <d v="2025-07-18T00:00:00"/>
    <x v="0"/>
    <s v="CUST1360"/>
    <x v="0"/>
    <x v="13"/>
    <s v="PROD73"/>
    <s v="Shin Guards – Adult"/>
    <x v="0"/>
    <n v="107"/>
    <s v="STORE2"/>
    <x v="2"/>
    <n v="2"/>
    <n v="934"/>
    <n v="0.3"/>
    <x v="2"/>
    <n v="1308"/>
    <n v="1201"/>
    <s v="Selected"/>
  </r>
  <r>
    <s v="SALE365"/>
    <d v="2025-02-18T00:00:00"/>
    <x v="6"/>
    <s v="CUST1077"/>
    <x v="0"/>
    <x v="1"/>
    <s v="PROD21"/>
    <s v="Multi-Purpose Storage Box"/>
    <x v="3"/>
    <n v="123"/>
    <s v="STORE19"/>
    <x v="0"/>
    <n v="2"/>
    <n v="99"/>
    <n v="0.2"/>
    <x v="1"/>
    <n v="159"/>
    <n v="36"/>
    <s v="Not Selected"/>
  </r>
  <r>
    <s v="SALE366"/>
    <d v="2024-06-26T00:00:00"/>
    <x v="2"/>
    <s v="CUST1370"/>
    <x v="0"/>
    <x v="30"/>
    <s v="PROD37"/>
    <s v="Men's Casual Sneakers"/>
    <x v="4"/>
    <n v="353"/>
    <s v="STORE16"/>
    <x v="0"/>
    <n v="1"/>
    <n v="629"/>
    <n v="0.03"/>
    <x v="2"/>
    <n v="610"/>
    <n v="257"/>
    <s v="Not Selected"/>
  </r>
  <r>
    <s v="SALE373"/>
    <d v="2025-01-31T00:00:00"/>
    <x v="4"/>
    <s v="CUST1161"/>
    <x v="1"/>
    <x v="28"/>
    <s v="PROD97"/>
    <s v="Cricket Bat"/>
    <x v="0"/>
    <n v="246"/>
    <s v="STORE19"/>
    <x v="0"/>
    <n v="2"/>
    <n v="740"/>
    <n v="0.1"/>
    <x v="2"/>
    <n v="1332"/>
    <n v="1086"/>
    <s v="Selected"/>
  </r>
  <r>
    <s v="SALE374"/>
    <d v="2023-12-16T00:00:00"/>
    <x v="1"/>
    <s v="CUST1469"/>
    <x v="0"/>
    <x v="39"/>
    <s v="PROD45"/>
    <s v="High-Grip Football"/>
    <x v="0"/>
    <n v="319"/>
    <s v="STORE15"/>
    <x v="0"/>
    <n v="1"/>
    <n v="496"/>
    <n v="0.08"/>
    <x v="2"/>
    <n v="456"/>
    <n v="137"/>
    <s v="Not Selected"/>
  </r>
  <r>
    <s v="SALE376"/>
    <d v="2024-01-18T00:00:00"/>
    <x v="4"/>
    <s v="CUST1120"/>
    <x v="1"/>
    <x v="2"/>
    <s v="PROD73"/>
    <s v="Shin Guards – Adult"/>
    <x v="0"/>
    <n v="107"/>
    <s v="STORE4"/>
    <x v="2"/>
    <n v="4"/>
    <n v="693"/>
    <n v="0.05"/>
    <x v="1"/>
    <n v="2634"/>
    <n v="2527"/>
    <s v="Selected"/>
  </r>
  <r>
    <s v="SALE377"/>
    <d v="2025-03-28T00:00:00"/>
    <x v="9"/>
    <s v="CUST1455"/>
    <x v="0"/>
    <x v="49"/>
    <s v="PROD83"/>
    <s v="Hydrating Face Cleanser"/>
    <x v="2"/>
    <n v="254"/>
    <s v="STORE10"/>
    <x v="0"/>
    <n v="1"/>
    <n v="996"/>
    <n v="0.22"/>
    <x v="1"/>
    <n v="777"/>
    <n v="523"/>
    <s v="Not Selected"/>
  </r>
  <r>
    <s v="SALE378"/>
    <d v="2024-08-31T00:00:00"/>
    <x v="7"/>
    <s v="CUST1125"/>
    <x v="1"/>
    <x v="17"/>
    <s v="PROD7"/>
    <s v="Men's Sports Shorts"/>
    <x v="4"/>
    <n v="218"/>
    <s v="STORE18"/>
    <x v="0"/>
    <n v="4"/>
    <n v="241"/>
    <n v="0.28999999999999998"/>
    <x v="2"/>
    <n v="685"/>
    <n v="467"/>
    <s v="Not Selected"/>
  </r>
  <r>
    <s v="SALE382"/>
    <d v="2024-01-31T00:00:00"/>
    <x v="4"/>
    <s v="CUST1208"/>
    <x v="0"/>
    <x v="38"/>
    <s v="PROD34"/>
    <s v="Gaming Mechanical Keyboard"/>
    <x v="1"/>
    <n v="419"/>
    <s v="STORE4"/>
    <x v="2"/>
    <n v="2"/>
    <n v="57"/>
    <n v="0.08"/>
    <x v="2"/>
    <n v="105"/>
    <n v="-314"/>
    <s v="Not Selected"/>
  </r>
  <r>
    <s v="SALE388"/>
    <d v="2025-05-03T00:00:00"/>
    <x v="5"/>
    <s v="CUST1000"/>
    <x v="0"/>
    <x v="29"/>
    <s v="PROD63"/>
    <s v="Organic Sunscreen Lotion"/>
    <x v="2"/>
    <n v="267"/>
    <s v="STORE16"/>
    <x v="0"/>
    <n v="1"/>
    <n v="665"/>
    <n v="0.1"/>
    <x v="1"/>
    <n v="598"/>
    <n v="331"/>
    <s v="Not Selected"/>
  </r>
  <r>
    <s v="SALE389"/>
    <d v="2023-11-03T00:00:00"/>
    <x v="3"/>
    <s v="CUST1347"/>
    <x v="1"/>
    <x v="40"/>
    <s v="PROD37"/>
    <s v="Men's Casual Sneakers"/>
    <x v="4"/>
    <n v="353"/>
    <s v="STORE7"/>
    <x v="2"/>
    <n v="4"/>
    <n v="482"/>
    <n v="7.0000000000000007E-2"/>
    <x v="1"/>
    <n v="1793"/>
    <n v="1440"/>
    <s v="Selected"/>
  </r>
  <r>
    <s v="SALE390"/>
    <d v="2025-03-26T00:00:00"/>
    <x v="9"/>
    <s v="CUST1089"/>
    <x v="0"/>
    <x v="18"/>
    <s v="PROD57"/>
    <s v="Foam Roller"/>
    <x v="0"/>
    <n v="31"/>
    <s v="STORE3"/>
    <x v="0"/>
    <n v="4"/>
    <n v="996"/>
    <n v="0.19"/>
    <x v="1"/>
    <n v="3226"/>
    <n v="3195"/>
    <s v="Selected"/>
  </r>
  <r>
    <s v="SALE396"/>
    <d v="2024-04-25T00:00:00"/>
    <x v="10"/>
    <s v="CUST1015"/>
    <x v="1"/>
    <x v="7"/>
    <s v="PROD18"/>
    <s v="Women's Denim Jeans"/>
    <x v="4"/>
    <n v="254"/>
    <s v="STORE14"/>
    <x v="0"/>
    <n v="3"/>
    <n v="991"/>
    <n v="0.1"/>
    <x v="1"/>
    <n v="2677"/>
    <n v="2423"/>
    <s v="Selected"/>
  </r>
  <r>
    <s v="SALE398"/>
    <d v="2025-07-06T00:00:00"/>
    <x v="0"/>
    <s v="CUST1206"/>
    <x v="1"/>
    <x v="3"/>
    <s v="PROD94"/>
    <s v="Vitamin E Body Lotion"/>
    <x v="2"/>
    <n v="358"/>
    <s v="STORE12"/>
    <x v="0"/>
    <n v="2"/>
    <n v="309"/>
    <n v="0.2"/>
    <x v="1"/>
    <n v="494"/>
    <n v="136"/>
    <s v="Not Selected"/>
  </r>
  <r>
    <s v="SALE402"/>
    <d v="2025-06-09T00:00:00"/>
    <x v="2"/>
    <s v="CUST1296"/>
    <x v="1"/>
    <x v="35"/>
    <s v="PROD14"/>
    <s v="Decorative Wall Mirror"/>
    <x v="3"/>
    <n v="48"/>
    <s v="STORE10"/>
    <x v="0"/>
    <n v="1"/>
    <n v="753"/>
    <n v="0.04"/>
    <x v="2"/>
    <n v="723"/>
    <n v="675"/>
    <s v="Not Selected"/>
  </r>
  <r>
    <s v="SALE404"/>
    <d v="2024-07-22T00:00:00"/>
    <x v="0"/>
    <s v="CUST1379"/>
    <x v="1"/>
    <x v="9"/>
    <s v="PROD20"/>
    <s v="Outdoor Sports Water Bottle"/>
    <x v="0"/>
    <n v="132"/>
    <s v="STORE0"/>
    <x v="3"/>
    <n v="4"/>
    <n v="585"/>
    <n v="0.25"/>
    <x v="2"/>
    <n v="1756"/>
    <n v="1624"/>
    <s v="Selected"/>
  </r>
  <r>
    <s v="SALE406"/>
    <d v="2023-11-14T00:00:00"/>
    <x v="3"/>
    <s v="CUST1050"/>
    <x v="1"/>
    <x v="49"/>
    <s v="PROD99"/>
    <s v="Stainless Steel Cookware Set"/>
    <x v="3"/>
    <n v="201"/>
    <s v="STORE2"/>
    <x v="2"/>
    <n v="1"/>
    <n v="849"/>
    <n v="0.04"/>
    <x v="2"/>
    <n v="815"/>
    <n v="614"/>
    <s v="Not Selected"/>
  </r>
  <r>
    <s v="SALE407"/>
    <d v="2024-02-14T00:00:00"/>
    <x v="6"/>
    <s v="CUST1413"/>
    <x v="1"/>
    <x v="12"/>
    <s v="PROD70"/>
    <s v="Kitchen Storage Rack"/>
    <x v="3"/>
    <n v="138"/>
    <s v="STORE14"/>
    <x v="0"/>
    <n v="2"/>
    <n v="248"/>
    <n v="0.1"/>
    <x v="1"/>
    <n v="446"/>
    <n v="308"/>
    <s v="Not Selected"/>
  </r>
  <r>
    <s v="SALE408"/>
    <d v="2024-06-22T00:00:00"/>
    <x v="2"/>
    <s v="CUST1039"/>
    <x v="1"/>
    <x v="20"/>
    <s v="PROD74"/>
    <s v="Bluetooth Car Audio System"/>
    <x v="1"/>
    <n v="404"/>
    <s v="STORE3"/>
    <x v="0"/>
    <n v="3"/>
    <n v="221"/>
    <n v="0.02"/>
    <x v="1"/>
    <n v="648"/>
    <n v="244"/>
    <s v="Not Selected"/>
  </r>
  <r>
    <s v="SALE410"/>
    <d v="2025-02-18T00:00:00"/>
    <x v="6"/>
    <s v="CUST1391"/>
    <x v="1"/>
    <x v="47"/>
    <s v="PROD29"/>
    <s v="Fabric Sofa Throw Blanket"/>
    <x v="3"/>
    <n v="218"/>
    <s v="STORE19"/>
    <x v="0"/>
    <n v="4"/>
    <n v="350"/>
    <n v="0.11"/>
    <x v="0"/>
    <n v="1245"/>
    <n v="1027"/>
    <s v="Selected"/>
  </r>
  <r>
    <s v="SALE411"/>
    <d v="2025-06-15T00:00:00"/>
    <x v="2"/>
    <s v="CUST1043"/>
    <x v="0"/>
    <x v="1"/>
    <s v="PROD39"/>
    <s v="Portable Power Bank"/>
    <x v="1"/>
    <n v="326"/>
    <s v="STORE12"/>
    <x v="0"/>
    <n v="1"/>
    <n v="771"/>
    <n v="0.1"/>
    <x v="2"/>
    <n v="694"/>
    <n v="368"/>
    <s v="Not Selected"/>
  </r>
  <r>
    <s v="SALE414"/>
    <d v="2025-01-09T00:00:00"/>
    <x v="4"/>
    <s v="CUST1006"/>
    <x v="1"/>
    <x v="34"/>
    <s v="PROD93"/>
    <s v="USB-C Laptop Charger"/>
    <x v="1"/>
    <n v="378"/>
    <s v="STORE4"/>
    <x v="2"/>
    <n v="2"/>
    <n v="772"/>
    <n v="0.22"/>
    <x v="0"/>
    <n v="1205"/>
    <n v="827"/>
    <s v="Selected"/>
  </r>
  <r>
    <s v="SALE417"/>
    <d v="2024-02-09T00:00:00"/>
    <x v="6"/>
    <s v="CUST1383"/>
    <x v="1"/>
    <x v="42"/>
    <s v="PROD58"/>
    <s v="Womens Cotton Scarf"/>
    <x v="4"/>
    <n v="114"/>
    <s v="STORE10"/>
    <x v="0"/>
    <n v="2"/>
    <n v="466"/>
    <n v="0.11"/>
    <x v="1"/>
    <n v="830"/>
    <n v="716"/>
    <s v="Not Selected"/>
  </r>
  <r>
    <s v="SALE423"/>
    <d v="2024-10-15T00:00:00"/>
    <x v="11"/>
    <s v="CUST1145"/>
    <x v="0"/>
    <x v="30"/>
    <s v="PROD69"/>
    <s v="Men's Sports Shorts"/>
    <x v="4"/>
    <n v="218"/>
    <s v="STORE5"/>
    <x v="0"/>
    <n v="1"/>
    <n v="816"/>
    <n v="0.3"/>
    <x v="1"/>
    <n v="571"/>
    <n v="353"/>
    <s v="Not Selected"/>
  </r>
  <r>
    <s v="SALE427"/>
    <d v="2024-12-20T00:00:00"/>
    <x v="1"/>
    <s v="CUST1181"/>
    <x v="0"/>
    <x v="14"/>
    <s v="PROD63"/>
    <s v="Organic Sunscreen Lotion"/>
    <x v="2"/>
    <n v="267"/>
    <s v="STORE0"/>
    <x v="3"/>
    <n v="4"/>
    <n v="926"/>
    <n v="0.16"/>
    <x v="2"/>
    <n v="3111"/>
    <n v="2844"/>
    <s v="Selected"/>
  </r>
  <r>
    <s v="SALE430"/>
    <d v="2024-06-02T00:00:00"/>
    <x v="2"/>
    <s v="CUST1001"/>
    <x v="1"/>
    <x v="16"/>
    <s v="PROD51"/>
    <s v="HDMI Cable – 2m"/>
    <x v="1"/>
    <n v="88"/>
    <s v="STORE14"/>
    <x v="0"/>
    <n v="3"/>
    <n v="288"/>
    <n v="0.03"/>
    <x v="2"/>
    <n v="837"/>
    <n v="749"/>
    <s v="Not Selected"/>
  </r>
  <r>
    <s v="SALE433"/>
    <d v="2025-02-11T00:00:00"/>
    <x v="6"/>
    <s v="CUST1114"/>
    <x v="0"/>
    <x v="8"/>
    <s v="PROD59"/>
    <s v="Men's Hair Styling Gel"/>
    <x v="2"/>
    <n v="17"/>
    <s v="STORE2"/>
    <x v="2"/>
    <n v="2"/>
    <n v="65"/>
    <n v="0"/>
    <x v="0"/>
    <n v="129"/>
    <n v="112"/>
    <s v="Not Selected"/>
  </r>
  <r>
    <s v="SALE435"/>
    <d v="2025-08-20T00:00:00"/>
    <x v="7"/>
    <s v="CUST1288"/>
    <x v="0"/>
    <x v="40"/>
    <s v="PROD3"/>
    <s v="Fabric Sofa Throw Blanket"/>
    <x v="3"/>
    <n v="218"/>
    <s v="STORE9"/>
    <x v="2"/>
    <n v="4"/>
    <n v="758"/>
    <n v="0.16"/>
    <x v="2"/>
    <n v="2549"/>
    <n v="2331"/>
    <s v="Selected"/>
  </r>
  <r>
    <s v="SALE436"/>
    <d v="2024-09-20T00:00:00"/>
    <x v="8"/>
    <s v="CUST1053"/>
    <x v="1"/>
    <x v="20"/>
    <s v="PROD37"/>
    <s v="Men's Casual Sneakers"/>
    <x v="4"/>
    <n v="353"/>
    <s v="STORE12"/>
    <x v="0"/>
    <n v="4"/>
    <n v="748"/>
    <n v="0.09"/>
    <x v="2"/>
    <n v="2721"/>
    <n v="2368"/>
    <s v="Selected"/>
  </r>
  <r>
    <s v="SALE438"/>
    <d v="2025-06-03T00:00:00"/>
    <x v="2"/>
    <s v="CUST1159"/>
    <x v="1"/>
    <x v="19"/>
    <s v="PROD69"/>
    <s v="Men's Sports Shorts"/>
    <x v="4"/>
    <n v="218"/>
    <s v="STORE14"/>
    <x v="0"/>
    <n v="2"/>
    <n v="527"/>
    <n v="0.17"/>
    <x v="1"/>
    <n v="875"/>
    <n v="657"/>
    <s v="Not Selected"/>
  </r>
  <r>
    <s v="SALE439"/>
    <d v="2025-01-13T00:00:00"/>
    <x v="4"/>
    <s v="CUST1098"/>
    <x v="0"/>
    <x v="41"/>
    <s v="PROD62"/>
    <s v="Laptop Cooling Pad"/>
    <x v="1"/>
    <n v="86"/>
    <s v="STORE5"/>
    <x v="0"/>
    <n v="4"/>
    <n v="875"/>
    <n v="0.27"/>
    <x v="0"/>
    <n v="2556"/>
    <n v="2470"/>
    <s v="Selected"/>
  </r>
  <r>
    <s v="SALE444"/>
    <d v="2024-06-17T00:00:00"/>
    <x v="2"/>
    <s v="CUST1488"/>
    <x v="1"/>
    <x v="24"/>
    <s v="PROD78"/>
    <s v="Essential Oil Diffuser"/>
    <x v="3"/>
    <n v="325"/>
    <s v="STORE12"/>
    <x v="0"/>
    <n v="2"/>
    <n v="130"/>
    <n v="0.17"/>
    <x v="1"/>
    <n v="216"/>
    <n v="-109"/>
    <s v="Not Selected"/>
  </r>
  <r>
    <s v="SALE445"/>
    <d v="2025-02-21T00:00:00"/>
    <x v="6"/>
    <s v="CUST1345"/>
    <x v="0"/>
    <x v="15"/>
    <s v="PROD22"/>
    <s v="Carbon Fiber Tennis Racket"/>
    <x v="0"/>
    <n v="485"/>
    <s v="STORE9"/>
    <x v="2"/>
    <n v="4"/>
    <n v="164"/>
    <n v="0.01"/>
    <x v="1"/>
    <n v="650"/>
    <n v="165"/>
    <s v="Not Selected"/>
  </r>
  <r>
    <s v="SALE449"/>
    <d v="2025-05-29T00:00:00"/>
    <x v="5"/>
    <s v="CUST1071"/>
    <x v="1"/>
    <x v="23"/>
    <s v="PROD83"/>
    <s v="Hydrating Face Cleanser"/>
    <x v="2"/>
    <n v="254"/>
    <s v="STORE14"/>
    <x v="0"/>
    <n v="2"/>
    <n v="541"/>
    <n v="0.03"/>
    <x v="2"/>
    <n v="1050"/>
    <n v="796"/>
    <s v="Selected"/>
  </r>
  <r>
    <s v="SALE450"/>
    <d v="2025-06-03T00:00:00"/>
    <x v="2"/>
    <s v="CUST1477"/>
    <x v="1"/>
    <x v="32"/>
    <s v="PROD76"/>
    <s v="Wireless Mouse"/>
    <x v="1"/>
    <n v="393"/>
    <s v="STORE16"/>
    <x v="0"/>
    <n v="3"/>
    <n v="762"/>
    <n v="0.06"/>
    <x v="2"/>
    <n v="2148"/>
    <n v="1755"/>
    <s v="Selected"/>
  </r>
  <r>
    <s v="SALE451"/>
    <d v="2024-08-04T00:00:00"/>
    <x v="7"/>
    <s v="CUST1422"/>
    <x v="1"/>
    <x v="32"/>
    <s v="PROD49"/>
    <s v="Men's Roll-On Perfume"/>
    <x v="2"/>
    <n v="43"/>
    <s v="STORE2"/>
    <x v="2"/>
    <n v="4"/>
    <n v="829"/>
    <n v="0.11"/>
    <x v="1"/>
    <n v="2953"/>
    <n v="2910"/>
    <s v="Selected"/>
  </r>
  <r>
    <s v="SALE453"/>
    <d v="2024-01-20T00:00:00"/>
    <x v="4"/>
    <s v="CUST1127"/>
    <x v="0"/>
    <x v="1"/>
    <s v="PROD55"/>
    <s v="Ceramic Plant Pot"/>
    <x v="3"/>
    <n v="82"/>
    <s v="STORE0"/>
    <x v="3"/>
    <n v="2"/>
    <n v="911"/>
    <n v="0.1"/>
    <x v="0"/>
    <n v="1640"/>
    <n v="1558"/>
    <s v="Selected"/>
  </r>
  <r>
    <s v="SALE456"/>
    <d v="2024-08-23T00:00:00"/>
    <x v="7"/>
    <s v="CUST1215"/>
    <x v="1"/>
    <x v="47"/>
    <s v="PROD32"/>
    <s v="Vitamin C Face Serum"/>
    <x v="2"/>
    <n v="284"/>
    <s v="STORE9"/>
    <x v="2"/>
    <n v="4"/>
    <n v="316"/>
    <n v="0.19"/>
    <x v="2"/>
    <n v="1024"/>
    <n v="740"/>
    <s v="Selected"/>
  </r>
  <r>
    <s v="SALE457"/>
    <d v="2025-05-19T00:00:00"/>
    <x v="5"/>
    <s v="CUST1229"/>
    <x v="1"/>
    <x v="33"/>
    <s v="PROD52"/>
    <s v="Rugby Ball"/>
    <x v="0"/>
    <n v="212"/>
    <s v="STORE9"/>
    <x v="2"/>
    <n v="2"/>
    <n v="810"/>
    <n v="0.27"/>
    <x v="0"/>
    <n v="1183"/>
    <n v="971"/>
    <s v="Selected"/>
  </r>
  <r>
    <s v="SALE458"/>
    <d v="2024-04-07T00:00:00"/>
    <x v="10"/>
    <s v="CUST1205"/>
    <x v="1"/>
    <x v="19"/>
    <s v="PROD84"/>
    <s v="Wooden Bookshelf"/>
    <x v="3"/>
    <n v="388"/>
    <s v="STORE4"/>
    <x v="2"/>
    <n v="3"/>
    <n v="505"/>
    <n v="0.02"/>
    <x v="1"/>
    <n v="1485"/>
    <n v="1097"/>
    <s v="Selected"/>
  </r>
  <r>
    <s v="SALE461"/>
    <d v="2023-12-10T00:00:00"/>
    <x v="1"/>
    <s v="CUST1129"/>
    <x v="1"/>
    <x v="34"/>
    <s v="PROD91"/>
    <s v="Women's High Heels"/>
    <x v="4"/>
    <n v="438"/>
    <s v="STORE11"/>
    <x v="0"/>
    <n v="4"/>
    <n v="202"/>
    <n v="0.24"/>
    <x v="0"/>
    <n v="615"/>
    <n v="177"/>
    <s v="Not Selected"/>
  </r>
  <r>
    <s v="SALE462"/>
    <d v="2023-12-19T00:00:00"/>
    <x v="1"/>
    <s v="CUST1265"/>
    <x v="0"/>
    <x v="3"/>
    <s v="PROD87"/>
    <s v="LED Bedside Lamp"/>
    <x v="3"/>
    <n v="371"/>
    <s v="STORE1"/>
    <x v="0"/>
    <n v="2"/>
    <n v="292"/>
    <n v="0.25"/>
    <x v="1"/>
    <n v="438"/>
    <n v="67"/>
    <s v="Not Selected"/>
  </r>
  <r>
    <s v="SALE463"/>
    <d v="2023-11-22T00:00:00"/>
    <x v="3"/>
    <s v="CUST1163"/>
    <x v="0"/>
    <x v="49"/>
    <s v="PROD97"/>
    <s v="Cricket Bat"/>
    <x v="0"/>
    <n v="246"/>
    <s v="STORE5"/>
    <x v="0"/>
    <n v="2"/>
    <n v="261"/>
    <n v="0.17"/>
    <x v="0"/>
    <n v="434"/>
    <n v="188"/>
    <s v="Not Selected"/>
  </r>
  <r>
    <s v="SALE464"/>
    <d v="2025-10-08T00:00:00"/>
    <x v="11"/>
    <s v="CUST1300"/>
    <x v="0"/>
    <x v="47"/>
    <s v="PROD36"/>
    <s v="Women's Summer Dress"/>
    <x v="4"/>
    <n v="223"/>
    <s v="STORE14"/>
    <x v="0"/>
    <n v="1"/>
    <n v="851"/>
    <n v="0.28000000000000003"/>
    <x v="1"/>
    <n v="613"/>
    <n v="390"/>
    <s v="Not Selected"/>
  </r>
  <r>
    <s v="SALE467"/>
    <d v="2024-09-30T00:00:00"/>
    <x v="8"/>
    <s v="CUST1366"/>
    <x v="1"/>
    <x v="4"/>
    <s v="PROD73"/>
    <s v="Shin Guards – Adult"/>
    <x v="0"/>
    <n v="107"/>
    <s v="STORE6"/>
    <x v="3"/>
    <n v="4"/>
    <n v="935"/>
    <n v="0.18"/>
    <x v="1"/>
    <n v="3067"/>
    <n v="2960"/>
    <s v="Selected"/>
  </r>
  <r>
    <s v="SALE472"/>
    <d v="2024-10-26T00:00:00"/>
    <x v="11"/>
    <s v="CUST1197"/>
    <x v="1"/>
    <x v="46"/>
    <s v="PROD37"/>
    <s v="Men's Casual Sneakers"/>
    <x v="4"/>
    <n v="353"/>
    <s v="STORE0"/>
    <x v="3"/>
    <n v="3"/>
    <n v="416"/>
    <n v="0.02"/>
    <x v="0"/>
    <n v="1223"/>
    <n v="870"/>
    <s v="Selected"/>
  </r>
  <r>
    <s v="SALE473"/>
    <d v="2025-07-26T00:00:00"/>
    <x v="0"/>
    <s v="CUST1384"/>
    <x v="1"/>
    <x v="9"/>
    <s v="PROD74"/>
    <s v="Bluetooth Car Audio System"/>
    <x v="1"/>
    <n v="404"/>
    <s v="STORE10"/>
    <x v="0"/>
    <n v="1"/>
    <n v="31"/>
    <n v="0.21"/>
    <x v="2"/>
    <n v="24"/>
    <n v="-380"/>
    <s v="Not Selected"/>
  </r>
  <r>
    <s v="SALE475"/>
    <d v="2025-05-20T00:00:00"/>
    <x v="5"/>
    <s v="CUST1166"/>
    <x v="1"/>
    <x v="20"/>
    <s v="PROD81"/>
    <s v="Badminton Racket Set"/>
    <x v="0"/>
    <n v="286"/>
    <s v="STORE10"/>
    <x v="0"/>
    <n v="2"/>
    <n v="145"/>
    <n v="0.19"/>
    <x v="1"/>
    <n v="235"/>
    <n v="-51"/>
    <s v="Not Selected"/>
  </r>
  <r>
    <s v="SALE490"/>
    <d v="2024-03-20T00:00:00"/>
    <x v="9"/>
    <s v="CUST1418"/>
    <x v="1"/>
    <x v="21"/>
    <s v="PROD89"/>
    <s v="Face Foundation Kit"/>
    <x v="2"/>
    <n v="183"/>
    <s v="STORE18"/>
    <x v="0"/>
    <n v="1"/>
    <n v="170"/>
    <n v="0.03"/>
    <x v="0"/>
    <n v="165"/>
    <n v="-18"/>
    <s v="Not Selected"/>
  </r>
  <r>
    <s v="SALE491"/>
    <d v="2024-06-19T00:00:00"/>
    <x v="2"/>
    <s v="CUST1223"/>
    <x v="0"/>
    <x v="9"/>
    <s v="PROD72"/>
    <s v="Professional Jump Rope"/>
    <x v="0"/>
    <n v="478"/>
    <s v="STORE2"/>
    <x v="2"/>
    <n v="3"/>
    <n v="481"/>
    <n v="0.03"/>
    <x v="0"/>
    <n v="1398"/>
    <n v="920"/>
    <s v="Selected"/>
  </r>
  <r>
    <s v="SALE492"/>
    <d v="2024-12-06T00:00:00"/>
    <x v="1"/>
    <s v="CUST1156"/>
    <x v="0"/>
    <x v="16"/>
    <s v="PROD49"/>
    <s v="Men's Roll-On Perfume"/>
    <x v="2"/>
    <n v="43"/>
    <s v="STORE7"/>
    <x v="2"/>
    <n v="2"/>
    <n v="956"/>
    <n v="0.28999999999999998"/>
    <x v="2"/>
    <n v="1357"/>
    <n v="1314"/>
    <s v="Selected"/>
  </r>
  <r>
    <s v="SALE496"/>
    <d v="2023-11-08T00:00:00"/>
    <x v="3"/>
    <s v="CUST1232"/>
    <x v="1"/>
    <x v="19"/>
    <s v="PROD95"/>
    <s v="Sports Stopwatch Basic"/>
    <x v="0"/>
    <n v="61"/>
    <s v="STORE0"/>
    <x v="3"/>
    <n v="2"/>
    <n v="264"/>
    <n v="0.11"/>
    <x v="2"/>
    <n v="471"/>
    <n v="410"/>
    <s v="Not Selected"/>
  </r>
  <r>
    <s v="SALE498"/>
    <d v="2023-12-20T00:00:00"/>
    <x v="1"/>
    <s v="CUST1146"/>
    <x v="1"/>
    <x v="42"/>
    <s v="PROD25"/>
    <s v="Women's Scarf Set"/>
    <x v="4"/>
    <n v="174"/>
    <s v="STORE12"/>
    <x v="0"/>
    <n v="2"/>
    <n v="584"/>
    <n v="0.2"/>
    <x v="2"/>
    <n v="934"/>
    <n v="760"/>
    <s v="Not Selected"/>
  </r>
  <r>
    <s v="SALE499"/>
    <d v="2025-09-11T00:00:00"/>
    <x v="8"/>
    <s v="CUST1011"/>
    <x v="1"/>
    <x v="14"/>
    <s v="PROD31"/>
    <s v="Basketball"/>
    <x v="0"/>
    <n v="204"/>
    <s v="STORE17"/>
    <x v="0"/>
    <n v="1"/>
    <n v="659"/>
    <n v="0.15"/>
    <x v="1"/>
    <n v="560"/>
    <n v="356"/>
    <s v="Not Selected"/>
  </r>
  <r>
    <s v="SALE500"/>
    <d v="2024-12-01T00:00:00"/>
    <x v="1"/>
    <s v="CUST1445"/>
    <x v="1"/>
    <x v="45"/>
    <s v="PROD2"/>
    <s v="Knee Support Brace"/>
    <x v="0"/>
    <n v="21"/>
    <s v="STORE4"/>
    <x v="2"/>
    <n v="4"/>
    <n v="107"/>
    <n v="0.2"/>
    <x v="2"/>
    <n v="341"/>
    <n v="320"/>
    <s v="Not Selected"/>
  </r>
  <r>
    <s v="SALE504"/>
    <d v="2025-10-13T00:00:00"/>
    <x v="11"/>
    <s v="CUST1167"/>
    <x v="1"/>
    <x v="3"/>
    <s v="PROD47"/>
    <s v="Makeup Brush Set"/>
    <x v="2"/>
    <n v="254"/>
    <s v="STORE2"/>
    <x v="2"/>
    <n v="3"/>
    <n v="843"/>
    <n v="0.22"/>
    <x v="0"/>
    <n v="1974"/>
    <n v="1720"/>
    <s v="Selected"/>
  </r>
  <r>
    <s v="SALE507"/>
    <d v="2024-02-24T00:00:00"/>
    <x v="6"/>
    <s v="CUST1212"/>
    <x v="1"/>
    <x v="7"/>
    <s v="PROD13"/>
    <s v="USB-C Fast Charger"/>
    <x v="1"/>
    <n v="242"/>
    <s v="STORE2"/>
    <x v="2"/>
    <n v="4"/>
    <n v="284"/>
    <n v="0.09"/>
    <x v="0"/>
    <n v="1035"/>
    <n v="793"/>
    <s v="Selected"/>
  </r>
  <r>
    <s v="SALE509"/>
    <d v="2025-04-15T00:00:00"/>
    <x v="10"/>
    <s v="CUST1311"/>
    <x v="0"/>
    <x v="47"/>
    <s v="PROD78"/>
    <s v="Essential Oil Diffuser"/>
    <x v="3"/>
    <n v="325"/>
    <s v="STORE12"/>
    <x v="0"/>
    <n v="2"/>
    <n v="617"/>
    <n v="0.22"/>
    <x v="0"/>
    <n v="962"/>
    <n v="637"/>
    <s v="Not Selected"/>
  </r>
  <r>
    <s v="SALE511"/>
    <d v="2025-01-19T00:00:00"/>
    <x v="4"/>
    <s v="CUST1352"/>
    <x v="1"/>
    <x v="18"/>
    <s v="PROD43"/>
    <s v="USB External Hard Drive"/>
    <x v="1"/>
    <n v="253"/>
    <s v="STORE4"/>
    <x v="2"/>
    <n v="3"/>
    <n v="307"/>
    <n v="0.24"/>
    <x v="0"/>
    <n v="701"/>
    <n v="448"/>
    <s v="Not Selected"/>
  </r>
  <r>
    <s v="SALE513"/>
    <d v="2025-03-19T00:00:00"/>
    <x v="9"/>
    <s v="CUST1365"/>
    <x v="1"/>
    <x v="41"/>
    <s v="PROD45"/>
    <s v="High-Grip Football"/>
    <x v="0"/>
    <n v="319"/>
    <s v="STORE16"/>
    <x v="0"/>
    <n v="1"/>
    <n v="853"/>
    <n v="0.19"/>
    <x v="2"/>
    <n v="691"/>
    <n v="372"/>
    <s v="Not Selected"/>
  </r>
  <r>
    <s v="SALE515"/>
    <d v="2023-12-26T00:00:00"/>
    <x v="1"/>
    <s v="CUST1160"/>
    <x v="1"/>
    <x v="29"/>
    <s v="PROD47"/>
    <s v="Makeup Brush Set"/>
    <x v="2"/>
    <n v="254"/>
    <s v="STORE3"/>
    <x v="0"/>
    <n v="1"/>
    <n v="170"/>
    <n v="0.22"/>
    <x v="0"/>
    <n v="132"/>
    <n v="-122"/>
    <s v="Not Selected"/>
  </r>
  <r>
    <s v="SALE518"/>
    <d v="2024-11-02T00:00:00"/>
    <x v="3"/>
    <s v="CUST1362"/>
    <x v="0"/>
    <x v="41"/>
    <s v="PROD95"/>
    <s v="Sports Stopwatch Basic"/>
    <x v="0"/>
    <n v="61"/>
    <s v="STORE7"/>
    <x v="2"/>
    <n v="3"/>
    <n v="269"/>
    <n v="0.01"/>
    <x v="1"/>
    <n v="798"/>
    <n v="737"/>
    <s v="Not Selected"/>
  </r>
  <r>
    <s v="SALE519"/>
    <d v="2024-07-22T00:00:00"/>
    <x v="0"/>
    <s v="CUST1233"/>
    <x v="0"/>
    <x v="35"/>
    <s v="PROD88"/>
    <s v="Sports Wrist Sweatbands"/>
    <x v="0"/>
    <n v="131"/>
    <s v="STORE0"/>
    <x v="3"/>
    <n v="4"/>
    <n v="370"/>
    <n v="0.22"/>
    <x v="2"/>
    <n v="1155"/>
    <n v="1024"/>
    <s v="Selected"/>
  </r>
  <r>
    <s v="SALE522"/>
    <d v="2025-04-19T00:00:00"/>
    <x v="10"/>
    <s v="CUST1261"/>
    <x v="1"/>
    <x v="47"/>
    <s v="PROD42"/>
    <s v="Smart Home WiFi Camera"/>
    <x v="1"/>
    <n v="451"/>
    <s v="STORE2"/>
    <x v="2"/>
    <n v="2"/>
    <n v="43"/>
    <n v="0.18"/>
    <x v="1"/>
    <n v="70"/>
    <n v="-381"/>
    <s v="Not Selected"/>
  </r>
  <r>
    <s v="SALE523"/>
    <d v="2024-12-13T00:00:00"/>
    <x v="1"/>
    <s v="CUST1286"/>
    <x v="0"/>
    <x v="34"/>
    <s v="PROD82"/>
    <s v="Fitness Resistance Bands"/>
    <x v="0"/>
    <n v="153"/>
    <s v="STORE0"/>
    <x v="3"/>
    <n v="4"/>
    <n v="854"/>
    <n v="7.0000000000000007E-2"/>
    <x v="1"/>
    <n v="3178"/>
    <n v="3025"/>
    <s v="Selected"/>
  </r>
  <r>
    <s v="SALE524"/>
    <d v="2025-04-27T00:00:00"/>
    <x v="10"/>
    <s v="CUST1100"/>
    <x v="1"/>
    <x v="11"/>
    <s v="PROD24"/>
    <s v="Foldable Camping Chair"/>
    <x v="0"/>
    <n v="166"/>
    <s v="STORE16"/>
    <x v="0"/>
    <n v="2"/>
    <n v="410"/>
    <n v="0.06"/>
    <x v="2"/>
    <n v="770"/>
    <n v="604"/>
    <s v="Not Selected"/>
  </r>
  <r>
    <s v="SALE526"/>
    <d v="2025-07-18T00:00:00"/>
    <x v="0"/>
    <s v="CUST1228"/>
    <x v="1"/>
    <x v="39"/>
    <s v="PROD4"/>
    <s v="Portable Power Bank"/>
    <x v="1"/>
    <n v="326"/>
    <s v="STORE8"/>
    <x v="1"/>
    <n v="1"/>
    <n v="729"/>
    <n v="0.28000000000000003"/>
    <x v="1"/>
    <n v="525"/>
    <n v="199"/>
    <s v="Not Selected"/>
  </r>
  <r>
    <s v="SALE528"/>
    <d v="2024-06-14T00:00:00"/>
    <x v="2"/>
    <s v="CUST1092"/>
    <x v="1"/>
    <x v="3"/>
    <s v="PROD10"/>
    <s v="Men's Graphic T-Shirt"/>
    <x v="4"/>
    <n v="343"/>
    <s v="STORE11"/>
    <x v="0"/>
    <n v="1"/>
    <n v="58"/>
    <n v="0.13"/>
    <x v="1"/>
    <n v="50"/>
    <n v="-293"/>
    <s v="Not Selected"/>
  </r>
  <r>
    <s v="SALE535"/>
    <d v="2023-12-21T00:00:00"/>
    <x v="1"/>
    <s v="CUST1032"/>
    <x v="1"/>
    <x v="28"/>
    <s v="PROD16"/>
    <s v="Beard Grooming Kit"/>
    <x v="2"/>
    <n v="337"/>
    <s v="STORE0"/>
    <x v="3"/>
    <n v="1"/>
    <n v="791"/>
    <n v="0.06"/>
    <x v="1"/>
    <n v="744"/>
    <n v="407"/>
    <s v="Not Selected"/>
  </r>
  <r>
    <s v="SALE538"/>
    <d v="2025-08-12T00:00:00"/>
    <x v="7"/>
    <s v="CUST1388"/>
    <x v="0"/>
    <x v="6"/>
    <s v="PROD82"/>
    <s v="Fitness Resistance Bands"/>
    <x v="0"/>
    <n v="153"/>
    <s v="STORE8"/>
    <x v="1"/>
    <n v="3"/>
    <n v="788"/>
    <n v="0.06"/>
    <x v="1"/>
    <n v="2222"/>
    <n v="2069"/>
    <s v="Selected"/>
  </r>
  <r>
    <s v="SALE540"/>
    <d v="2023-11-21T00:00:00"/>
    <x v="3"/>
    <s v="CUST1235"/>
    <x v="1"/>
    <x v="37"/>
    <s v="PROD91"/>
    <s v="Women's High Heels"/>
    <x v="4"/>
    <n v="438"/>
    <s v="STORE7"/>
    <x v="2"/>
    <n v="2"/>
    <n v="534"/>
    <n v="0.13"/>
    <x v="0"/>
    <n v="929"/>
    <n v="491"/>
    <s v="Not Selected"/>
  </r>
  <r>
    <s v="SALE542"/>
    <d v="2023-12-27T00:00:00"/>
    <x v="1"/>
    <s v="CUST1204"/>
    <x v="0"/>
    <x v="45"/>
    <s v="PROD44"/>
    <s v="Adjustable Jump Rope"/>
    <x v="0"/>
    <n v="167"/>
    <s v="STORE16"/>
    <x v="0"/>
    <n v="1"/>
    <n v="442"/>
    <n v="0.14000000000000001"/>
    <x v="0"/>
    <n v="380"/>
    <n v="213"/>
    <s v="Not Selected"/>
  </r>
  <r>
    <s v="SALE547"/>
    <d v="2023-12-21T00:00:00"/>
    <x v="1"/>
    <s v="CUST1046"/>
    <x v="1"/>
    <x v="31"/>
    <s v="PROD23"/>
    <s v="Men's Formal Shirt"/>
    <x v="4"/>
    <n v="254"/>
    <s v="STORE15"/>
    <x v="0"/>
    <n v="1"/>
    <n v="352"/>
    <n v="0.14000000000000001"/>
    <x v="1"/>
    <n v="303"/>
    <n v="49"/>
    <s v="Not Selected"/>
  </r>
  <r>
    <s v="SALE548"/>
    <d v="2024-01-04T00:00:00"/>
    <x v="4"/>
    <s v="CUST1123"/>
    <x v="0"/>
    <x v="9"/>
    <s v="PROD12"/>
    <s v="Hair Strengthening Shampoo"/>
    <x v="2"/>
    <n v="116"/>
    <s v="STORE15"/>
    <x v="0"/>
    <n v="2"/>
    <n v="563"/>
    <n v="0.2"/>
    <x v="0"/>
    <n v="901"/>
    <n v="785"/>
    <s v="Not Selected"/>
  </r>
  <r>
    <s v="SALE549"/>
    <d v="2023-11-30T00:00:00"/>
    <x v="3"/>
    <s v="CUST1157"/>
    <x v="0"/>
    <x v="16"/>
    <s v="PROD55"/>
    <s v="Ceramic Plant Pot"/>
    <x v="3"/>
    <n v="82"/>
    <s v="STORE7"/>
    <x v="2"/>
    <n v="1"/>
    <n v="523"/>
    <n v="0.12"/>
    <x v="1"/>
    <n v="460"/>
    <n v="378"/>
    <s v="Not Selected"/>
  </r>
  <r>
    <s v="SALE553"/>
    <d v="2025-06-14T00:00:00"/>
    <x v="2"/>
    <s v="CUST1057"/>
    <x v="1"/>
    <x v="5"/>
    <s v="PROD38"/>
    <s v="Sports Water Hydration Pack"/>
    <x v="0"/>
    <n v="136"/>
    <s v="STORE14"/>
    <x v="0"/>
    <n v="2"/>
    <n v="834"/>
    <n v="0.24"/>
    <x v="1"/>
    <n v="1267"/>
    <n v="1131"/>
    <s v="Selected"/>
  </r>
  <r>
    <s v="SALE554"/>
    <d v="2025-04-05T00:00:00"/>
    <x v="10"/>
    <s v="CUST1270"/>
    <x v="1"/>
    <x v="38"/>
    <s v="PROD19"/>
    <s v="Knee Support Brace"/>
    <x v="0"/>
    <n v="21"/>
    <s v="STORE15"/>
    <x v="0"/>
    <n v="3"/>
    <n v="543"/>
    <n v="0.05"/>
    <x v="2"/>
    <n v="1548"/>
    <n v="1527"/>
    <s v="Selected"/>
  </r>
  <r>
    <s v="SALE555"/>
    <d v="2025-01-20T00:00:00"/>
    <x v="4"/>
    <s v="CUST1278"/>
    <x v="1"/>
    <x v="5"/>
    <s v="PROD88"/>
    <s v="Sports Wrist Sweatbands"/>
    <x v="0"/>
    <n v="131"/>
    <s v="STORE2"/>
    <x v="2"/>
    <n v="3"/>
    <n v="691"/>
    <n v="0.12"/>
    <x v="2"/>
    <n v="1824"/>
    <n v="1693"/>
    <s v="Selected"/>
  </r>
  <r>
    <s v="SALE557"/>
    <d v="2024-04-07T00:00:00"/>
    <x v="10"/>
    <s v="CUST1062"/>
    <x v="0"/>
    <x v="23"/>
    <s v="PROD84"/>
    <s v="Wooden Bookshelf"/>
    <x v="3"/>
    <n v="388"/>
    <s v="STORE16"/>
    <x v="0"/>
    <n v="3"/>
    <n v="366"/>
    <n v="0.05"/>
    <x v="0"/>
    <n v="1043"/>
    <n v="655"/>
    <s v="Selected"/>
  </r>
  <r>
    <s v="SALE559"/>
    <d v="2023-11-26T00:00:00"/>
    <x v="3"/>
    <s v="CUST1389"/>
    <x v="0"/>
    <x v="48"/>
    <s v="PROD91"/>
    <s v="Women's High Heels"/>
    <x v="4"/>
    <n v="438"/>
    <s v="STORE16"/>
    <x v="0"/>
    <n v="1"/>
    <n v="500"/>
    <n v="0.03"/>
    <x v="2"/>
    <n v="485"/>
    <n v="47"/>
    <s v="Not Selected"/>
  </r>
  <r>
    <s v="SALE560"/>
    <d v="2024-02-04T00:00:00"/>
    <x v="6"/>
    <s v="CUST1188"/>
    <x v="0"/>
    <x v="23"/>
    <s v="PROD30"/>
    <s v="Stainless Steel Cutlery Set"/>
    <x v="3"/>
    <n v="20"/>
    <s v="STORE8"/>
    <x v="1"/>
    <n v="3"/>
    <n v="330"/>
    <n v="0.2"/>
    <x v="0"/>
    <n v="792"/>
    <n v="772"/>
    <s v="Not Selected"/>
  </r>
  <r>
    <s v="SALE562"/>
    <d v="2025-02-27T00:00:00"/>
    <x v="6"/>
    <s v="CUST1026"/>
    <x v="1"/>
    <x v="6"/>
    <s v="PROD1"/>
    <s v="Men's Graphic T-Shirt"/>
    <x v="4"/>
    <n v="343"/>
    <s v="STORE2"/>
    <x v="2"/>
    <n v="4"/>
    <n v="205"/>
    <n v="0.03"/>
    <x v="1"/>
    <n v="795"/>
    <n v="452"/>
    <s v="Not Selected"/>
  </r>
  <r>
    <s v="SALE564"/>
    <d v="2024-08-03T00:00:00"/>
    <x v="7"/>
    <s v="CUST1452"/>
    <x v="1"/>
    <x v="25"/>
    <s v="PROD59"/>
    <s v="Men's Hair Styling Gel"/>
    <x v="2"/>
    <n v="17"/>
    <s v="STORE7"/>
    <x v="2"/>
    <n v="3"/>
    <n v="836"/>
    <n v="0"/>
    <x v="0"/>
    <n v="2509"/>
    <n v="2492"/>
    <s v="Selected"/>
  </r>
  <r>
    <s v="SALE565"/>
    <d v="2025-07-05T00:00:00"/>
    <x v="0"/>
    <s v="CUST1149"/>
    <x v="0"/>
    <x v="26"/>
    <s v="PROD90"/>
    <s v="Gaming Mouse Pad XL"/>
    <x v="1"/>
    <n v="340"/>
    <s v="STORE12"/>
    <x v="0"/>
    <n v="1"/>
    <n v="780"/>
    <n v="0.02"/>
    <x v="2"/>
    <n v="765"/>
    <n v="425"/>
    <s v="Not Selected"/>
  </r>
  <r>
    <s v="SALE568"/>
    <d v="2024-06-03T00:00:00"/>
    <x v="2"/>
    <s v="CUST1328"/>
    <x v="0"/>
    <x v="46"/>
    <s v="PROD20"/>
    <s v="Outdoor Sports Water Bottle"/>
    <x v="0"/>
    <n v="132"/>
    <s v="STORE6"/>
    <x v="3"/>
    <n v="2"/>
    <n v="741"/>
    <n v="0.02"/>
    <x v="1"/>
    <n v="1452"/>
    <n v="1320"/>
    <s v="Selected"/>
  </r>
  <r>
    <s v="SALE570"/>
    <d v="2024-02-26T00:00:00"/>
    <x v="6"/>
    <s v="CUST1461"/>
    <x v="1"/>
    <x v="32"/>
    <s v="PROD65"/>
    <s v="Adjustable Dumbbells 20kg"/>
    <x v="0"/>
    <n v="241"/>
    <s v="STORE3"/>
    <x v="0"/>
    <n v="3"/>
    <n v="346"/>
    <n v="0.22"/>
    <x v="0"/>
    <n v="809"/>
    <n v="568"/>
    <s v="Not Selected"/>
  </r>
  <r>
    <s v="SALE571"/>
    <d v="2025-01-31T00:00:00"/>
    <x v="4"/>
    <s v="CUST1284"/>
    <x v="0"/>
    <x v="40"/>
    <s v="PROD18"/>
    <s v="Women's Denim Jeans"/>
    <x v="4"/>
    <n v="254"/>
    <s v="STORE11"/>
    <x v="0"/>
    <n v="1"/>
    <n v="975"/>
    <n v="0.01"/>
    <x v="1"/>
    <n v="965"/>
    <n v="711"/>
    <s v="Not Selected"/>
  </r>
  <r>
    <s v="SALE572"/>
    <d v="2023-11-19T00:00:00"/>
    <x v="3"/>
    <s v="CUST1040"/>
    <x v="0"/>
    <x v="32"/>
    <s v="PROD17"/>
    <s v="Soccer Training Cone Set"/>
    <x v="0"/>
    <n v="145"/>
    <s v="STORE1"/>
    <x v="0"/>
    <n v="3"/>
    <n v="282"/>
    <n v="7.0000000000000007E-2"/>
    <x v="0"/>
    <n v="788"/>
    <n v="643"/>
    <s v="Not Selected"/>
  </r>
  <r>
    <s v="SALE580"/>
    <d v="2023-12-13T00:00:00"/>
    <x v="1"/>
    <s v="CUST1242"/>
    <x v="1"/>
    <x v="40"/>
    <s v="PROD81"/>
    <s v="Badminton Racket Set"/>
    <x v="0"/>
    <n v="286"/>
    <s v="STORE4"/>
    <x v="2"/>
    <n v="4"/>
    <n v="968"/>
    <n v="0.03"/>
    <x v="1"/>
    <n v="3757"/>
    <n v="3471"/>
    <s v="Selected"/>
  </r>
  <r>
    <s v="SALE587"/>
    <d v="2024-03-03T00:00:00"/>
    <x v="9"/>
    <s v="CUST1147"/>
    <x v="1"/>
    <x v="41"/>
    <s v="PROD52"/>
    <s v="Rugby Ball"/>
    <x v="0"/>
    <n v="212"/>
    <s v="STORE7"/>
    <x v="2"/>
    <n v="4"/>
    <n v="915"/>
    <n v="0.19"/>
    <x v="2"/>
    <n v="2965"/>
    <n v="2753"/>
    <s v="Selected"/>
  </r>
  <r>
    <s v="SALE595"/>
    <d v="2025-08-22T00:00:00"/>
    <x v="7"/>
    <s v="CUST1173"/>
    <x v="1"/>
    <x v="9"/>
    <s v="PROD20"/>
    <s v="Outdoor Sports Water Bottle"/>
    <x v="0"/>
    <n v="132"/>
    <s v="STORE7"/>
    <x v="2"/>
    <n v="4"/>
    <n v="895"/>
    <n v="0.05"/>
    <x v="2"/>
    <n v="3401"/>
    <n v="3269"/>
    <s v="Selected"/>
  </r>
  <r>
    <s v="SALE596"/>
    <d v="2025-07-04T00:00:00"/>
    <x v="0"/>
    <s v="CUST1202"/>
    <x v="1"/>
    <x v="32"/>
    <s v="PROD78"/>
    <s v="Essential Oil Diffuser"/>
    <x v="3"/>
    <n v="325"/>
    <s v="STORE8"/>
    <x v="1"/>
    <n v="4"/>
    <n v="870"/>
    <n v="0.13"/>
    <x v="2"/>
    <n v="3028"/>
    <n v="2703"/>
    <s v="Selected"/>
  </r>
  <r>
    <s v="SALE599"/>
    <d v="2025-05-29T00:00:00"/>
    <x v="5"/>
    <s v="CUST1339"/>
    <x v="1"/>
    <x v="28"/>
    <s v="PROD9"/>
    <s v="Face Foundation Kit"/>
    <x v="2"/>
    <n v="183"/>
    <s v="STORE2"/>
    <x v="2"/>
    <n v="2"/>
    <n v="823"/>
    <n v="0.18"/>
    <x v="1"/>
    <n v="1350"/>
    <n v="1167"/>
    <s v="Selected"/>
  </r>
  <r>
    <s v="SALE607"/>
    <d v="2024-10-18T00:00:00"/>
    <x v="11"/>
    <s v="CUST1430"/>
    <x v="1"/>
    <x v="19"/>
    <s v="PROD87"/>
    <s v="LED Bedside Lamp"/>
    <x v="3"/>
    <n v="371"/>
    <s v="STORE13"/>
    <x v="0"/>
    <n v="3"/>
    <n v="927"/>
    <n v="0.18"/>
    <x v="2"/>
    <n v="2280"/>
    <n v="1909"/>
    <s v="Selected"/>
  </r>
  <r>
    <s v="SALE608"/>
    <d v="2025-01-05T00:00:00"/>
    <x v="4"/>
    <s v="CUST1317"/>
    <x v="1"/>
    <x v="21"/>
    <s v="PROD10"/>
    <s v="Men's Graphic T-Shirt"/>
    <x v="4"/>
    <n v="343"/>
    <s v="STORE14"/>
    <x v="0"/>
    <n v="1"/>
    <n v="875"/>
    <n v="0.28999999999999998"/>
    <x v="1"/>
    <n v="621"/>
    <n v="278"/>
    <s v="Not Selected"/>
  </r>
  <r>
    <s v="SALE613"/>
    <d v="2025-04-25T00:00:00"/>
    <x v="10"/>
    <s v="CUST1425"/>
    <x v="0"/>
    <x v="39"/>
    <s v="PROD75"/>
    <s v="Women's Ankle Boots"/>
    <x v="4"/>
    <n v="158"/>
    <s v="STORE10"/>
    <x v="0"/>
    <n v="4"/>
    <n v="659"/>
    <n v="0.15"/>
    <x v="0"/>
    <n v="2241"/>
    <n v="2083"/>
    <s v="Selected"/>
  </r>
  <r>
    <s v="SALE614"/>
    <d v="2024-02-16T00:00:00"/>
    <x v="6"/>
    <s v="CUST1491"/>
    <x v="1"/>
    <x v="34"/>
    <s v="PROD9"/>
    <s v="Face Foundation Kit"/>
    <x v="2"/>
    <n v="183"/>
    <s v="STORE2"/>
    <x v="2"/>
    <n v="1"/>
    <n v="313"/>
    <n v="0.12"/>
    <x v="1"/>
    <n v="275"/>
    <n v="92"/>
    <s v="Not Selected"/>
  </r>
  <r>
    <s v="SALE620"/>
    <d v="2025-08-13T00:00:00"/>
    <x v="7"/>
    <s v="CUST1117"/>
    <x v="1"/>
    <x v="7"/>
    <s v="PROD97"/>
    <s v="Cricket Bat"/>
    <x v="0"/>
    <n v="246"/>
    <s v="STORE7"/>
    <x v="2"/>
    <n v="3"/>
    <n v="411"/>
    <n v="0.05"/>
    <x v="0"/>
    <n v="1172"/>
    <n v="926"/>
    <s v="Selected"/>
  </r>
  <r>
    <s v="SALE621"/>
    <d v="2025-09-23T00:00:00"/>
    <x v="8"/>
    <s v="CUST1353"/>
    <x v="1"/>
    <x v="47"/>
    <s v="PROD48"/>
    <s v="Car Dashboard Phone Holder"/>
    <x v="1"/>
    <n v="178"/>
    <s v="STORE2"/>
    <x v="2"/>
    <n v="4"/>
    <n v="395"/>
    <n v="0.01"/>
    <x v="0"/>
    <n v="1566"/>
    <n v="1388"/>
    <s v="Selected"/>
  </r>
  <r>
    <s v="SALE622"/>
    <d v="2024-05-09T00:00:00"/>
    <x v="5"/>
    <s v="CUST1036"/>
    <x v="1"/>
    <x v="36"/>
    <s v="PROD90"/>
    <s v="Gaming Mouse Pad XL"/>
    <x v="1"/>
    <n v="340"/>
    <s v="STORE5"/>
    <x v="0"/>
    <n v="2"/>
    <n v="679"/>
    <n v="0.23"/>
    <x v="0"/>
    <n v="1046"/>
    <n v="706"/>
    <s v="Selected"/>
  </r>
  <r>
    <s v="SALE624"/>
    <d v="2024-12-18T00:00:00"/>
    <x v="1"/>
    <s v="CUST1059"/>
    <x v="0"/>
    <x v="10"/>
    <s v="PROD94"/>
    <s v="Vitamin E Body Lotion"/>
    <x v="2"/>
    <n v="358"/>
    <s v="STORE4"/>
    <x v="2"/>
    <n v="1"/>
    <n v="648"/>
    <n v="0.05"/>
    <x v="2"/>
    <n v="615"/>
    <n v="257"/>
    <s v="Not Selected"/>
  </r>
  <r>
    <s v="SALE635"/>
    <d v="2025-02-05T00:00:00"/>
    <x v="6"/>
    <s v="CUST1411"/>
    <x v="0"/>
    <x v="31"/>
    <s v="PROD18"/>
    <s v="Women's Denim Jeans"/>
    <x v="4"/>
    <n v="254"/>
    <s v="STORE15"/>
    <x v="0"/>
    <n v="1"/>
    <n v="125"/>
    <n v="7.0000000000000007E-2"/>
    <x v="2"/>
    <n v="116"/>
    <n v="-138"/>
    <s v="Not Selected"/>
  </r>
  <r>
    <s v="SALE638"/>
    <d v="2024-02-16T00:00:00"/>
    <x v="6"/>
    <s v="CUST1390"/>
    <x v="0"/>
    <x v="13"/>
    <s v="PROD11"/>
    <s v="HD Smart TV Stick"/>
    <x v="1"/>
    <n v="449"/>
    <s v="STORE0"/>
    <x v="3"/>
    <n v="1"/>
    <n v="363"/>
    <n v="0.27"/>
    <x v="0"/>
    <n v="265"/>
    <n v="-184"/>
    <s v="Not Selected"/>
  </r>
  <r>
    <s v="SALE639"/>
    <d v="2024-03-22T00:00:00"/>
    <x v="9"/>
    <s v="CUST1336"/>
    <x v="1"/>
    <x v="47"/>
    <s v="PROD11"/>
    <s v="HD Smart TV Stick"/>
    <x v="1"/>
    <n v="449"/>
    <s v="STORE15"/>
    <x v="0"/>
    <n v="4"/>
    <n v="369"/>
    <n v="0.18"/>
    <x v="2"/>
    <n v="1211"/>
    <n v="762"/>
    <s v="Selected"/>
  </r>
  <r>
    <s v="SALE640"/>
    <d v="2024-10-25T00:00:00"/>
    <x v="11"/>
    <s v="CUST1410"/>
    <x v="1"/>
    <x v="19"/>
    <s v="PROD96"/>
    <s v="Women's Formal Blazer"/>
    <x v="4"/>
    <n v="358"/>
    <s v="STORE14"/>
    <x v="0"/>
    <n v="3"/>
    <n v="951"/>
    <n v="0.06"/>
    <x v="1"/>
    <n v="2681"/>
    <n v="2323"/>
    <s v="Selected"/>
  </r>
  <r>
    <s v="SALE649"/>
    <d v="2025-05-24T00:00:00"/>
    <x v="5"/>
    <s v="CUST1402"/>
    <x v="0"/>
    <x v="25"/>
    <s v="PROD21"/>
    <s v="Multi-Purpose Storage Box"/>
    <x v="3"/>
    <n v="123"/>
    <s v="STORE0"/>
    <x v="3"/>
    <n v="2"/>
    <n v="348"/>
    <n v="0.13"/>
    <x v="2"/>
    <n v="605"/>
    <n v="482"/>
    <s v="Not Selected"/>
  </r>
  <r>
    <s v="SALE653"/>
    <d v="2024-02-10T00:00:00"/>
    <x v="6"/>
    <s v="CUST1440"/>
    <x v="0"/>
    <x v="16"/>
    <s v="PROD64"/>
    <s v="Matte Lipstick Set"/>
    <x v="2"/>
    <n v="299"/>
    <s v="STORE3"/>
    <x v="0"/>
    <n v="2"/>
    <n v="493"/>
    <n v="0.26"/>
    <x v="2"/>
    <n v="729"/>
    <n v="430"/>
    <s v="Not Selected"/>
  </r>
  <r>
    <s v="SALE654"/>
    <d v="2024-02-22T00:00:00"/>
    <x v="6"/>
    <s v="CUST1376"/>
    <x v="0"/>
    <x v="40"/>
    <s v="PROD85"/>
    <s v="Women's Beanie Hat"/>
    <x v="4"/>
    <n v="120"/>
    <s v="STORE3"/>
    <x v="0"/>
    <n v="4"/>
    <n v="987"/>
    <n v="0.01"/>
    <x v="0"/>
    <n v="3908"/>
    <n v="3788"/>
    <s v="Selected"/>
  </r>
  <r>
    <s v="SALE658"/>
    <d v="2024-12-03T00:00:00"/>
    <x v="1"/>
    <s v="CUST1055"/>
    <x v="1"/>
    <x v="46"/>
    <s v="PROD15"/>
    <s v="4K Home Projector"/>
    <x v="1"/>
    <n v="465"/>
    <s v="STORE6"/>
    <x v="3"/>
    <n v="2"/>
    <n v="884"/>
    <n v="0"/>
    <x v="2"/>
    <n v="1769"/>
    <n v="1304"/>
    <s v="Selected"/>
  </r>
  <r>
    <s v="SALE660"/>
    <d v="2025-09-14T00:00:00"/>
    <x v="8"/>
    <s v="CUST1180"/>
    <x v="0"/>
    <x v="17"/>
    <s v="PROD90"/>
    <s v="Gaming Mouse Pad XL"/>
    <x v="1"/>
    <n v="340"/>
    <s v="STORE18"/>
    <x v="0"/>
    <n v="3"/>
    <n v="107"/>
    <n v="0.27"/>
    <x v="1"/>
    <n v="235"/>
    <n v="-105"/>
    <s v="Not Selected"/>
  </r>
  <r>
    <s v="SALE662"/>
    <d v="2025-02-01T00:00:00"/>
    <x v="6"/>
    <s v="CUST1354"/>
    <x v="0"/>
    <x v="40"/>
    <s v="PROD61"/>
    <s v="Tennis Ball 3-Pack"/>
    <x v="0"/>
    <n v="103"/>
    <s v="STORE6"/>
    <x v="3"/>
    <n v="3"/>
    <n v="260"/>
    <n v="0.09"/>
    <x v="0"/>
    <n v="711"/>
    <n v="608"/>
    <s v="Not Selected"/>
  </r>
  <r>
    <s v="SALE665"/>
    <d v="2025-05-04T00:00:00"/>
    <x v="5"/>
    <s v="CUST1048"/>
    <x v="0"/>
    <x v="29"/>
    <s v="PROD95"/>
    <s v="Sports Stopwatch Basic"/>
    <x v="0"/>
    <n v="61"/>
    <s v="STORE14"/>
    <x v="0"/>
    <n v="4"/>
    <n v="20"/>
    <n v="0.16"/>
    <x v="1"/>
    <n v="68"/>
    <n v="7"/>
    <s v="Not Selected"/>
  </r>
  <r>
    <s v="SALE667"/>
    <d v="2024-10-29T00:00:00"/>
    <x v="11"/>
    <s v="CUST1051"/>
    <x v="1"/>
    <x v="35"/>
    <s v="PROD21"/>
    <s v="Multi-Purpose Storage Box"/>
    <x v="3"/>
    <n v="123"/>
    <s v="STORE0"/>
    <x v="3"/>
    <n v="1"/>
    <n v="242"/>
    <n v="0.18"/>
    <x v="1"/>
    <n v="199"/>
    <n v="76"/>
    <s v="Not Selected"/>
  </r>
  <r>
    <s v="SALE672"/>
    <d v="2024-08-06T00:00:00"/>
    <x v="7"/>
    <s v="CUST1486"/>
    <x v="1"/>
    <x v="1"/>
    <s v="PROD40"/>
    <s v="Noise-Canceling Headphones"/>
    <x v="1"/>
    <n v="39"/>
    <s v="STORE17"/>
    <x v="0"/>
    <n v="4"/>
    <n v="503"/>
    <n v="0.14000000000000001"/>
    <x v="2"/>
    <n v="1730"/>
    <n v="1691"/>
    <s v="Selected"/>
  </r>
  <r>
    <s v="SALE677"/>
    <d v="2025-07-04T00:00:00"/>
    <x v="0"/>
    <s v="CUST1177"/>
    <x v="0"/>
    <x v="27"/>
    <s v="PROD59"/>
    <s v="Men's Hair Styling Gel"/>
    <x v="2"/>
    <n v="17"/>
    <s v="STORE14"/>
    <x v="0"/>
    <n v="2"/>
    <n v="37"/>
    <n v="0.19"/>
    <x v="0"/>
    <n v="60"/>
    <n v="43"/>
    <s v="Not Selected"/>
  </r>
  <r>
    <s v="SALE682"/>
    <d v="2023-12-18T00:00:00"/>
    <x v="1"/>
    <s v="CUST1281"/>
    <x v="0"/>
    <x v="40"/>
    <s v="PROD55"/>
    <s v="Ceramic Plant Pot"/>
    <x v="3"/>
    <n v="82"/>
    <s v="STORE6"/>
    <x v="3"/>
    <n v="3"/>
    <n v="599"/>
    <n v="0.22"/>
    <x v="1"/>
    <n v="1403"/>
    <n v="1321"/>
    <s v="Selected"/>
  </r>
  <r>
    <s v="SALE683"/>
    <d v="2023-11-02T00:00:00"/>
    <x v="3"/>
    <s v="CUST1357"/>
    <x v="0"/>
    <x v="3"/>
    <s v="PROD17"/>
    <s v="Soccer Training Cone Set"/>
    <x v="0"/>
    <n v="145"/>
    <s v="STORE1"/>
    <x v="0"/>
    <n v="3"/>
    <n v="401"/>
    <n v="0.01"/>
    <x v="2"/>
    <n v="1192"/>
    <n v="1047"/>
    <s v="Selected"/>
  </r>
  <r>
    <s v="SALE684"/>
    <d v="2025-09-07T00:00:00"/>
    <x v="8"/>
    <s v="CUST1192"/>
    <x v="0"/>
    <x v="12"/>
    <s v="PROD46"/>
    <s v="Men's Winter Jacket"/>
    <x v="4"/>
    <n v="167"/>
    <s v="STORE8"/>
    <x v="1"/>
    <n v="4"/>
    <n v="443"/>
    <n v="0.06"/>
    <x v="0"/>
    <n v="1664"/>
    <n v="1497"/>
    <s v="Selected"/>
  </r>
  <r>
    <s v="SALE685"/>
    <d v="2023-12-10T00:00:00"/>
    <x v="1"/>
    <s v="CUST1456"/>
    <x v="1"/>
    <x v="13"/>
    <s v="PROD88"/>
    <s v="Sports Wrist Sweatbands"/>
    <x v="0"/>
    <n v="131"/>
    <s v="STORE13"/>
    <x v="0"/>
    <n v="4"/>
    <n v="451"/>
    <n v="0.06"/>
    <x v="1"/>
    <n v="1697"/>
    <n v="1566"/>
    <s v="Selected"/>
  </r>
  <r>
    <s v="SALE691"/>
    <d v="2025-07-19T00:00:00"/>
    <x v="0"/>
    <s v="CUST1124"/>
    <x v="0"/>
    <x v="49"/>
    <s v="PROD22"/>
    <s v="Carbon Fiber Tennis Racket"/>
    <x v="0"/>
    <n v="485"/>
    <s v="STORE2"/>
    <x v="2"/>
    <n v="2"/>
    <n v="419"/>
    <n v="0.17"/>
    <x v="1"/>
    <n v="696"/>
    <n v="211"/>
    <s v="Not Selected"/>
  </r>
  <r>
    <s v="SALE695"/>
    <d v="2024-11-19T00:00:00"/>
    <x v="3"/>
    <s v="CUST1351"/>
    <x v="1"/>
    <x v="48"/>
    <s v="PROD26"/>
    <s v="Wireless Bluetooth Speaker"/>
    <x v="1"/>
    <n v="322"/>
    <s v="STORE10"/>
    <x v="0"/>
    <n v="4"/>
    <n v="413"/>
    <n v="0.02"/>
    <x v="1"/>
    <n v="1621"/>
    <n v="1299"/>
    <s v="Selected"/>
  </r>
  <r>
    <s v="SALE697"/>
    <d v="2025-06-24T00:00:00"/>
    <x v="2"/>
    <s v="CUST1139"/>
    <x v="0"/>
    <x v="39"/>
    <s v="PROD15"/>
    <s v="4K Home Projector"/>
    <x v="1"/>
    <n v="465"/>
    <s v="STORE18"/>
    <x v="0"/>
    <n v="2"/>
    <n v="669"/>
    <n v="0.22"/>
    <x v="0"/>
    <n v="1044"/>
    <n v="579"/>
    <s v="Selected"/>
  </r>
  <r>
    <s v="SALE700"/>
    <d v="2024-04-19T00:00:00"/>
    <x v="10"/>
    <s v="CUST1285"/>
    <x v="1"/>
    <x v="43"/>
    <s v="PROD6"/>
    <s v="Men's Hair Styling Gel"/>
    <x v="2"/>
    <n v="17"/>
    <s v="STORE2"/>
    <x v="2"/>
    <n v="4"/>
    <n v="255"/>
    <n v="0.06"/>
    <x v="1"/>
    <n v="959"/>
    <n v="942"/>
    <s v="Not Selected"/>
  </r>
  <r>
    <s v="SALE703"/>
    <d v="2024-05-17T00:00:00"/>
    <x v="5"/>
    <s v="CUST1196"/>
    <x v="1"/>
    <x v="41"/>
    <s v="PROD15"/>
    <s v="4K Home Projector"/>
    <x v="1"/>
    <n v="465"/>
    <s v="STORE16"/>
    <x v="0"/>
    <n v="3"/>
    <n v="263"/>
    <n v="0.04"/>
    <x v="1"/>
    <n v="757"/>
    <n v="292"/>
    <s v="Not Selected"/>
  </r>
  <r>
    <s v="SALE704"/>
    <d v="2024-04-04T00:00:00"/>
    <x v="10"/>
    <s v="CUST1482"/>
    <x v="0"/>
    <x v="27"/>
    <s v="PROD68"/>
    <s v="Wooden Nightstand"/>
    <x v="3"/>
    <n v="244"/>
    <s v="STORE2"/>
    <x v="2"/>
    <n v="3"/>
    <n v="213"/>
    <n v="0.22"/>
    <x v="1"/>
    <n v="498"/>
    <n v="254"/>
    <s v="Not Selected"/>
  </r>
  <r>
    <s v="SALE705"/>
    <d v="2025-05-26T00:00:00"/>
    <x v="5"/>
    <s v="CUST1151"/>
    <x v="1"/>
    <x v="47"/>
    <s v="PROD24"/>
    <s v="Foldable Camping Chair"/>
    <x v="0"/>
    <n v="166"/>
    <s v="STORE18"/>
    <x v="0"/>
    <n v="4"/>
    <n v="758"/>
    <n v="0.22"/>
    <x v="1"/>
    <n v="2365"/>
    <n v="2199"/>
    <s v="Selected"/>
  </r>
  <r>
    <s v="SALE708"/>
    <d v="2024-10-07T00:00:00"/>
    <x v="11"/>
    <s v="CUST1446"/>
    <x v="0"/>
    <x v="15"/>
    <s v="PROD31"/>
    <s v="Basketball"/>
    <x v="0"/>
    <n v="204"/>
    <s v="STORE4"/>
    <x v="2"/>
    <n v="4"/>
    <n v="681"/>
    <n v="0"/>
    <x v="1"/>
    <n v="2724"/>
    <n v="2520"/>
    <s v="Selected"/>
  </r>
  <r>
    <s v="SALE713"/>
    <d v="2024-02-11T00:00:00"/>
    <x v="6"/>
    <s v="CUST1024"/>
    <x v="0"/>
    <x v="12"/>
    <s v="PROD3"/>
    <s v="Fabric Sofa Throw Blanket"/>
    <x v="3"/>
    <n v="218"/>
    <s v="STORE6"/>
    <x v="3"/>
    <n v="2"/>
    <n v="635"/>
    <n v="0.1"/>
    <x v="2"/>
    <n v="1143"/>
    <n v="925"/>
    <s v="Selected"/>
  </r>
  <r>
    <s v="SALE714"/>
    <d v="2025-04-05T00:00:00"/>
    <x v="10"/>
    <s v="CUST1380"/>
    <x v="0"/>
    <x v="5"/>
    <s v="PROD98"/>
    <s v="Portable Bluetooth Speaker"/>
    <x v="1"/>
    <n v="432"/>
    <s v="STORE14"/>
    <x v="0"/>
    <n v="4"/>
    <n v="913"/>
    <n v="0.14000000000000001"/>
    <x v="0"/>
    <n v="3139"/>
    <n v="2707"/>
    <s v="Selected"/>
  </r>
  <r>
    <s v="SALE715"/>
    <d v="2025-05-18T00:00:00"/>
    <x v="5"/>
    <s v="CUST1274"/>
    <x v="0"/>
    <x v="1"/>
    <s v="PROD47"/>
    <s v="Makeup Brush Set"/>
    <x v="2"/>
    <n v="254"/>
    <s v="STORE7"/>
    <x v="2"/>
    <n v="3"/>
    <n v="80"/>
    <n v="0.09"/>
    <x v="0"/>
    <n v="218"/>
    <n v="-36"/>
    <s v="Not Selected"/>
  </r>
  <r>
    <s v="SALE718"/>
    <d v="2024-12-30T00:00:00"/>
    <x v="1"/>
    <s v="CUST1497"/>
    <x v="1"/>
    <x v="14"/>
    <s v="PROD33"/>
    <s v="Modern Wall Clock"/>
    <x v="3"/>
    <n v="180"/>
    <s v="STORE9"/>
    <x v="2"/>
    <n v="2"/>
    <n v="974"/>
    <n v="0.15"/>
    <x v="0"/>
    <n v="1656"/>
    <n v="1476"/>
    <s v="Selected"/>
  </r>
  <r>
    <s v="SALE723"/>
    <d v="2025-01-17T00:00:00"/>
    <x v="4"/>
    <s v="CUST1341"/>
    <x v="1"/>
    <x v="49"/>
    <s v="PROD41"/>
    <s v="Yoga Exercise Mat"/>
    <x v="0"/>
    <n v="313"/>
    <s v="STORE13"/>
    <x v="0"/>
    <n v="2"/>
    <n v="556"/>
    <n v="0.14000000000000001"/>
    <x v="0"/>
    <n v="956"/>
    <n v="643"/>
    <s v="Not Selected"/>
  </r>
  <r>
    <s v="SALE726"/>
    <d v="2024-12-14T00:00:00"/>
    <x v="1"/>
    <s v="CUST1130"/>
    <x v="0"/>
    <x v="40"/>
    <s v="PROD41"/>
    <s v="Yoga Exercise Mat"/>
    <x v="0"/>
    <n v="313"/>
    <s v="STORE11"/>
    <x v="0"/>
    <n v="3"/>
    <n v="29"/>
    <n v="0.02"/>
    <x v="0"/>
    <n v="84"/>
    <n v="-229"/>
    <s v="Not Selected"/>
  </r>
  <r>
    <s v="SALE727"/>
    <d v="2023-11-23T00:00:00"/>
    <x v="3"/>
    <s v="CUST1387"/>
    <x v="1"/>
    <x v="19"/>
    <s v="PROD76"/>
    <s v="Wireless Mouse"/>
    <x v="1"/>
    <n v="393"/>
    <s v="STORE4"/>
    <x v="2"/>
    <n v="1"/>
    <n v="106"/>
    <n v="0.23"/>
    <x v="2"/>
    <n v="82"/>
    <n v="-311"/>
    <s v="Not Selected"/>
  </r>
  <r>
    <s v="SALE730"/>
    <d v="2024-09-19T00:00:00"/>
    <x v="8"/>
    <s v="CUST1385"/>
    <x v="0"/>
    <x v="42"/>
    <s v="PROD68"/>
    <s v="Wooden Nightstand"/>
    <x v="3"/>
    <n v="244"/>
    <s v="STORE14"/>
    <x v="0"/>
    <n v="1"/>
    <n v="523"/>
    <n v="0.25"/>
    <x v="1"/>
    <n v="392"/>
    <n v="148"/>
    <s v="Not Selected"/>
  </r>
  <r>
    <s v="SALE733"/>
    <d v="2025-05-06T00:00:00"/>
    <x v="5"/>
    <s v="CUST1330"/>
    <x v="0"/>
    <x v="49"/>
    <s v="PROD42"/>
    <s v="Smart Home WiFi Camera"/>
    <x v="1"/>
    <n v="451"/>
    <s v="STORE6"/>
    <x v="3"/>
    <n v="4"/>
    <n v="758"/>
    <n v="0.05"/>
    <x v="1"/>
    <n v="2881"/>
    <n v="2430"/>
    <s v="Selected"/>
  </r>
  <r>
    <s v="SALE735"/>
    <d v="2024-06-10T00:00:00"/>
    <x v="2"/>
    <s v="CUST1355"/>
    <x v="0"/>
    <x v="7"/>
    <s v="PROD91"/>
    <s v="Women's High Heels"/>
    <x v="4"/>
    <n v="438"/>
    <s v="STORE17"/>
    <x v="0"/>
    <n v="1"/>
    <n v="230"/>
    <n v="0.05"/>
    <x v="2"/>
    <n v="219"/>
    <n v="-219"/>
    <s v="Not Selected"/>
  </r>
  <r>
    <s v="SALE736"/>
    <d v="2024-08-22T00:00:00"/>
    <x v="7"/>
    <s v="CUST1342"/>
    <x v="1"/>
    <x v="40"/>
    <s v="PROD61"/>
    <s v="Tennis Ball 3-Pack"/>
    <x v="0"/>
    <n v="103"/>
    <s v="STORE6"/>
    <x v="3"/>
    <n v="2"/>
    <n v="985"/>
    <n v="0.28000000000000003"/>
    <x v="2"/>
    <n v="1419"/>
    <n v="1316"/>
    <s v="Selected"/>
  </r>
  <r>
    <s v="SALE743"/>
    <d v="2024-04-02T00:00:00"/>
    <x v="10"/>
    <s v="CUST1172"/>
    <x v="1"/>
    <x v="35"/>
    <s v="PROD79"/>
    <s v="Decorative Lamp Shade"/>
    <x v="3"/>
    <n v="229"/>
    <s v="STORE3"/>
    <x v="0"/>
    <n v="3"/>
    <n v="339"/>
    <n v="0.26"/>
    <x v="0"/>
    <n v="753"/>
    <n v="524"/>
    <s v="Not Selected"/>
  </r>
  <r>
    <s v="SALE747"/>
    <d v="2025-09-16T00:00:00"/>
    <x v="8"/>
    <s v="CUST1122"/>
    <x v="0"/>
    <x v="29"/>
    <s v="PROD94"/>
    <s v="Vitamin E Body Lotion"/>
    <x v="2"/>
    <n v="358"/>
    <s v="STORE1"/>
    <x v="0"/>
    <n v="1"/>
    <n v="126"/>
    <n v="0.05"/>
    <x v="2"/>
    <n v="120"/>
    <n v="-238"/>
    <s v="Not Selected"/>
  </r>
  <r>
    <s v="SALE759"/>
    <d v="2023-11-13T00:00:00"/>
    <x v="3"/>
    <s v="CUST1271"/>
    <x v="0"/>
    <x v="48"/>
    <s v="PROD74"/>
    <s v="Bluetooth Car Audio System"/>
    <x v="1"/>
    <n v="404"/>
    <s v="STORE5"/>
    <x v="0"/>
    <n v="1"/>
    <n v="371"/>
    <n v="0.01"/>
    <x v="1"/>
    <n v="367"/>
    <n v="-37"/>
    <s v="Not Selected"/>
  </r>
  <r>
    <s v="SALE760"/>
    <d v="2024-02-19T00:00:00"/>
    <x v="6"/>
    <s v="CUST1005"/>
    <x v="0"/>
    <x v="47"/>
    <s v="PROD61"/>
    <s v="Tennis Ball 3-Pack"/>
    <x v="0"/>
    <n v="103"/>
    <s v="STORE12"/>
    <x v="0"/>
    <n v="4"/>
    <n v="732"/>
    <n v="0.12"/>
    <x v="0"/>
    <n v="2575"/>
    <n v="2472"/>
    <s v="Selected"/>
  </r>
  <r>
    <s v="SALE771"/>
    <d v="2025-04-05T00:00:00"/>
    <x v="10"/>
    <s v="CUST1247"/>
    <x v="0"/>
    <x v="21"/>
    <s v="PROD10"/>
    <s v="Men's Graphic T-Shirt"/>
    <x v="4"/>
    <n v="343"/>
    <s v="STORE4"/>
    <x v="2"/>
    <n v="1"/>
    <n v="768"/>
    <n v="0.18"/>
    <x v="0"/>
    <n v="630"/>
    <n v="287"/>
    <s v="Not Selected"/>
  </r>
  <r>
    <s v="SALE772"/>
    <d v="2023-11-24T00:00:00"/>
    <x v="3"/>
    <s v="CUST1350"/>
    <x v="0"/>
    <x v="9"/>
    <s v="PROD92"/>
    <s v="Microwave Oven"/>
    <x v="3"/>
    <n v="447"/>
    <s v="STORE19"/>
    <x v="0"/>
    <n v="2"/>
    <n v="319"/>
    <n v="0.02"/>
    <x v="2"/>
    <n v="624"/>
    <n v="177"/>
    <s v="Not Selected"/>
  </r>
  <r>
    <s v="SALE777"/>
    <d v="2024-02-09T00:00:00"/>
    <x v="6"/>
    <s v="CUST1363"/>
    <x v="0"/>
    <x v="31"/>
    <s v="PROD91"/>
    <s v="Women's High Heels"/>
    <x v="4"/>
    <n v="438"/>
    <s v="STORE12"/>
    <x v="0"/>
    <n v="2"/>
    <n v="230"/>
    <n v="0.21"/>
    <x v="2"/>
    <n v="363"/>
    <n v="-75"/>
    <s v="Not Selected"/>
  </r>
  <r>
    <s v="SALE783"/>
    <d v="2025-05-17T00:00:00"/>
    <x v="5"/>
    <s v="CUST1474"/>
    <x v="1"/>
    <x v="34"/>
    <s v="PROD99"/>
    <s v="Stainless Steel Cookware Set"/>
    <x v="3"/>
    <n v="201"/>
    <s v="STORE18"/>
    <x v="0"/>
    <n v="1"/>
    <n v="873"/>
    <n v="0.03"/>
    <x v="2"/>
    <n v="847"/>
    <n v="646"/>
    <s v="Not Selected"/>
  </r>
  <r>
    <s v="SALE786"/>
    <d v="2024-11-06T00:00:00"/>
    <x v="3"/>
    <s v="CUST1292"/>
    <x v="0"/>
    <x v="46"/>
    <s v="PROD99"/>
    <s v="Stainless Steel Cookware Set"/>
    <x v="3"/>
    <n v="201"/>
    <s v="STORE3"/>
    <x v="0"/>
    <n v="3"/>
    <n v="762"/>
    <n v="0.23"/>
    <x v="1"/>
    <n v="1760"/>
    <n v="1559"/>
    <s v="Selected"/>
  </r>
  <r>
    <s v="SALE788"/>
    <d v="2025-05-01T00:00:00"/>
    <x v="5"/>
    <s v="CUST1475"/>
    <x v="1"/>
    <x v="1"/>
    <s v="PROD73"/>
    <s v="Shin Guards – Adult"/>
    <x v="0"/>
    <n v="107"/>
    <s v="STORE4"/>
    <x v="2"/>
    <n v="4"/>
    <n v="753"/>
    <n v="0.28000000000000003"/>
    <x v="2"/>
    <n v="2169"/>
    <n v="2062"/>
    <s v="Selected"/>
  </r>
  <r>
    <s v="SALE796"/>
    <d v="2024-01-08T00:00:00"/>
    <x v="4"/>
    <s v="CUST1052"/>
    <x v="0"/>
    <x v="46"/>
    <s v="PROD51"/>
    <s v="HDMI Cable – 2m"/>
    <x v="1"/>
    <n v="88"/>
    <s v="STORE16"/>
    <x v="0"/>
    <n v="1"/>
    <n v="409"/>
    <n v="0.13"/>
    <x v="2"/>
    <n v="356"/>
    <n v="268"/>
    <s v="Not Selected"/>
  </r>
  <r>
    <s v="SALE797"/>
    <d v="2024-06-04T00:00:00"/>
    <x v="2"/>
    <s v="CUST1110"/>
    <x v="1"/>
    <x v="33"/>
    <s v="PROD8"/>
    <s v="Decorative Lamp Shade"/>
    <x v="3"/>
    <n v="229"/>
    <s v="STORE17"/>
    <x v="0"/>
    <n v="3"/>
    <n v="170"/>
    <n v="0.06"/>
    <x v="2"/>
    <n v="481"/>
    <n v="252"/>
    <s v="Not Selected"/>
  </r>
  <r>
    <s v="SALE804"/>
    <d v="2025-05-01T00:00:00"/>
    <x v="5"/>
    <s v="CUST1306"/>
    <x v="0"/>
    <x v="3"/>
    <s v="PROD5"/>
    <s v="Men's Roll-On Perfume"/>
    <x v="2"/>
    <n v="43"/>
    <s v="STORE10"/>
    <x v="0"/>
    <n v="2"/>
    <n v="516"/>
    <n v="0.19"/>
    <x v="2"/>
    <n v="836"/>
    <n v="793"/>
    <s v="Not Selected"/>
  </r>
  <r>
    <s v="SALE812"/>
    <d v="2024-07-13T00:00:00"/>
    <x v="0"/>
    <s v="CUST1230"/>
    <x v="0"/>
    <x v="26"/>
    <s v="PROD68"/>
    <s v="Wooden Nightstand"/>
    <x v="3"/>
    <n v="244"/>
    <s v="STORE13"/>
    <x v="0"/>
    <n v="1"/>
    <n v="290"/>
    <n v="0.18"/>
    <x v="2"/>
    <n v="238"/>
    <n v="-6"/>
    <s v="Not Selected"/>
  </r>
  <r>
    <s v="SALE817"/>
    <d v="2024-04-24T00:00:00"/>
    <x v="10"/>
    <s v="CUST1190"/>
    <x v="0"/>
    <x v="14"/>
    <s v="PROD27"/>
    <s v="Decorative Floor Vase"/>
    <x v="3"/>
    <n v="254"/>
    <s v="STORE19"/>
    <x v="0"/>
    <n v="3"/>
    <n v="871"/>
    <n v="0.11"/>
    <x v="2"/>
    <n v="2326"/>
    <n v="2072"/>
    <s v="Selected"/>
  </r>
  <r>
    <s v="SALE823"/>
    <d v="2025-10-03T00:00:00"/>
    <x v="11"/>
    <s v="CUST1441"/>
    <x v="0"/>
    <x v="18"/>
    <s v="PROD44"/>
    <s v="Adjustable Jump Rope"/>
    <x v="0"/>
    <n v="167"/>
    <s v="STORE1"/>
    <x v="0"/>
    <n v="4"/>
    <n v="415"/>
    <n v="0.01"/>
    <x v="1"/>
    <n v="1643"/>
    <n v="1476"/>
    <s v="Selected"/>
  </r>
  <r>
    <s v="SALE828"/>
    <d v="2025-06-01T00:00:00"/>
    <x v="2"/>
    <s v="CUST1356"/>
    <x v="0"/>
    <x v="45"/>
    <s v="PROD88"/>
    <s v="Sports Wrist Sweatbands"/>
    <x v="0"/>
    <n v="131"/>
    <s v="STORE6"/>
    <x v="3"/>
    <n v="1"/>
    <n v="539"/>
    <n v="0.14000000000000001"/>
    <x v="0"/>
    <n v="464"/>
    <n v="333"/>
    <s v="Not Selected"/>
  </r>
  <r>
    <s v="SALE830"/>
    <d v="2024-06-13T00:00:00"/>
    <x v="2"/>
    <s v="CUST1283"/>
    <x v="1"/>
    <x v="0"/>
    <s v="PROD70"/>
    <s v="Kitchen Storage Rack"/>
    <x v="3"/>
    <n v="138"/>
    <s v="STORE4"/>
    <x v="2"/>
    <n v="3"/>
    <n v="699"/>
    <n v="0.28000000000000003"/>
    <x v="2"/>
    <n v="1509"/>
    <n v="1371"/>
    <s v="Selected"/>
  </r>
  <r>
    <s v="SALE844"/>
    <d v="2024-08-23T00:00:00"/>
    <x v="7"/>
    <s v="CUST1457"/>
    <x v="0"/>
    <x v="27"/>
    <s v="PROD43"/>
    <s v="USB External Hard Drive"/>
    <x v="1"/>
    <n v="253"/>
    <s v="STORE15"/>
    <x v="0"/>
    <n v="3"/>
    <n v="792"/>
    <n v="0.28999999999999998"/>
    <x v="0"/>
    <n v="1686"/>
    <n v="1433"/>
    <s v="Selected"/>
  </r>
  <r>
    <s v="SALE852"/>
    <d v="2025-02-12T00:00:00"/>
    <x v="6"/>
    <s v="CUST1259"/>
    <x v="1"/>
    <x v="15"/>
    <s v="PROD13"/>
    <s v="USB-C Fast Charger"/>
    <x v="1"/>
    <n v="242"/>
    <s v="STORE18"/>
    <x v="0"/>
    <n v="4"/>
    <n v="267"/>
    <n v="0.16"/>
    <x v="0"/>
    <n v="897"/>
    <n v="655"/>
    <s v="Not Selected"/>
  </r>
  <r>
    <s v="SALE853"/>
    <d v="2025-08-04T00:00:00"/>
    <x v="7"/>
    <s v="CUST1407"/>
    <x v="0"/>
    <x v="33"/>
    <s v="PROD70"/>
    <s v="Kitchen Storage Rack"/>
    <x v="3"/>
    <n v="138"/>
    <s v="STORE15"/>
    <x v="0"/>
    <n v="3"/>
    <n v="360"/>
    <n v="0.03"/>
    <x v="0"/>
    <n v="1048"/>
    <n v="910"/>
    <s v="Selected"/>
  </r>
  <r>
    <s v="SALE855"/>
    <d v="2023-11-05T00:00:00"/>
    <x v="3"/>
    <s v="CUST1078"/>
    <x v="0"/>
    <x v="45"/>
    <s v="PROD45"/>
    <s v="High-Grip Football"/>
    <x v="0"/>
    <n v="319"/>
    <s v="STORE15"/>
    <x v="0"/>
    <n v="3"/>
    <n v="675"/>
    <n v="0.23"/>
    <x v="0"/>
    <n v="1558"/>
    <n v="1239"/>
    <s v="Selected"/>
  </r>
  <r>
    <s v="SALE867"/>
    <d v="2025-02-12T00:00:00"/>
    <x v="6"/>
    <s v="CUST1121"/>
    <x v="0"/>
    <x v="22"/>
    <s v="PROD33"/>
    <s v="Modern Wall Clock"/>
    <x v="3"/>
    <n v="180"/>
    <s v="STORE15"/>
    <x v="0"/>
    <n v="2"/>
    <n v="667"/>
    <n v="0.1"/>
    <x v="1"/>
    <n v="1201"/>
    <n v="1021"/>
    <s v="Selected"/>
  </r>
  <r>
    <s v="SALE869"/>
    <d v="2023-11-30T00:00:00"/>
    <x v="3"/>
    <s v="CUST1279"/>
    <x v="1"/>
    <x v="31"/>
    <s v="PROD13"/>
    <s v="USB-C Fast Charger"/>
    <x v="1"/>
    <n v="242"/>
    <s v="STORE8"/>
    <x v="1"/>
    <n v="1"/>
    <n v="139"/>
    <n v="0"/>
    <x v="0"/>
    <n v="139"/>
    <n v="-103"/>
    <s v="Not Selected"/>
  </r>
  <r>
    <s v="SALE874"/>
    <d v="2025-01-04T00:00:00"/>
    <x v="4"/>
    <s v="CUST1195"/>
    <x v="0"/>
    <x v="28"/>
    <s v="PROD19"/>
    <s v="Knee Support Brace"/>
    <x v="0"/>
    <n v="21"/>
    <s v="STORE3"/>
    <x v="0"/>
    <n v="1"/>
    <n v="270"/>
    <n v="0.15"/>
    <x v="2"/>
    <n v="230"/>
    <n v="209"/>
    <s v="Not Selected"/>
  </r>
  <r>
    <s v="SALE888"/>
    <d v="2025-05-24T00:00:00"/>
    <x v="5"/>
    <s v="CUST1465"/>
    <x v="1"/>
    <x v="29"/>
    <s v="PROD67"/>
    <s v="Smart LED Light Strip"/>
    <x v="1"/>
    <n v="349"/>
    <s v="STORE8"/>
    <x v="1"/>
    <n v="2"/>
    <n v="995"/>
    <n v="0.13"/>
    <x v="1"/>
    <n v="1731"/>
    <n v="1382"/>
    <s v="Selected"/>
  </r>
  <r>
    <s v="SALE905"/>
    <d v="2025-05-22T00:00:00"/>
    <x v="5"/>
    <s v="CUST1392"/>
    <x v="0"/>
    <x v="6"/>
    <s v="PROD52"/>
    <s v="Rugby Ball"/>
    <x v="0"/>
    <n v="212"/>
    <s v="STORE10"/>
    <x v="0"/>
    <n v="2"/>
    <n v="295"/>
    <n v="0.09"/>
    <x v="2"/>
    <n v="537"/>
    <n v="325"/>
    <s v="Not Selected"/>
  </r>
  <r>
    <s v="SALE906"/>
    <d v="2025-07-10T00:00:00"/>
    <x v="0"/>
    <s v="CUST1109"/>
    <x v="0"/>
    <x v="35"/>
    <s v="PROD34"/>
    <s v="Gaming Mechanical Keyboard"/>
    <x v="1"/>
    <n v="419"/>
    <s v="STORE11"/>
    <x v="0"/>
    <n v="2"/>
    <n v="414"/>
    <n v="0.25"/>
    <x v="1"/>
    <n v="621"/>
    <n v="202"/>
    <s v="Not Selected"/>
  </r>
  <r>
    <s v="SALE907"/>
    <d v="2025-09-18T00:00:00"/>
    <x v="8"/>
    <s v="CUST1268"/>
    <x v="1"/>
    <x v="46"/>
    <s v="PROD58"/>
    <s v="Womens Cotton Scarf"/>
    <x v="4"/>
    <n v="114"/>
    <s v="STORE8"/>
    <x v="1"/>
    <n v="2"/>
    <n v="434"/>
    <n v="0"/>
    <x v="0"/>
    <n v="868"/>
    <n v="754"/>
    <s v="Not Selected"/>
  </r>
  <r>
    <s v="SALE912"/>
    <d v="2024-11-29T00:00:00"/>
    <x v="3"/>
    <s v="CUST1193"/>
    <x v="0"/>
    <x v="36"/>
    <s v="PROD64"/>
    <s v="Matte Lipstick Set"/>
    <x v="2"/>
    <n v="299"/>
    <s v="STORE7"/>
    <x v="2"/>
    <n v="2"/>
    <n v="748"/>
    <n v="0.08"/>
    <x v="0"/>
    <n v="1376"/>
    <n v="1077"/>
    <s v="Selected"/>
  </r>
  <r>
    <s v="SALE933"/>
    <d v="2024-04-14T00:00:00"/>
    <x v="10"/>
    <s v="CUST1060"/>
    <x v="1"/>
    <x v="41"/>
    <s v="PROD38"/>
    <s v="Sports Water Hydration Pack"/>
    <x v="0"/>
    <n v="136"/>
    <s v="STORE11"/>
    <x v="0"/>
    <n v="3"/>
    <n v="650"/>
    <n v="0.1"/>
    <x v="1"/>
    <n v="1754"/>
    <n v="1618"/>
    <s v="Selected"/>
  </r>
  <r>
    <s v="SALE934"/>
    <d v="2024-01-26T00:00:00"/>
    <x v="4"/>
    <s v="CUST1245"/>
    <x v="1"/>
    <x v="20"/>
    <s v="PROD39"/>
    <s v="Portable Power Bank"/>
    <x v="1"/>
    <n v="326"/>
    <s v="STORE9"/>
    <x v="2"/>
    <n v="2"/>
    <n v="987"/>
    <n v="0.05"/>
    <x v="1"/>
    <n v="1875"/>
    <n v="1549"/>
    <s v="Selected"/>
  </r>
  <r>
    <s v="SALE939"/>
    <d v="2025-05-26T00:00:00"/>
    <x v="5"/>
    <s v="CUST1305"/>
    <x v="0"/>
    <x v="7"/>
    <s v="PROD28"/>
    <s v="Sports Stopwatch Timer"/>
    <x v="0"/>
    <n v="39"/>
    <s v="STORE1"/>
    <x v="0"/>
    <n v="1"/>
    <n v="182"/>
    <n v="0.15"/>
    <x v="2"/>
    <n v="155"/>
    <n v="116"/>
    <s v="Not Selected"/>
  </r>
  <r>
    <s v="SALE946"/>
    <d v="2024-11-04T00:00:00"/>
    <x v="3"/>
    <s v="CUST1140"/>
    <x v="1"/>
    <x v="2"/>
    <s v="PROD35"/>
    <s v="Bedroom Table Lamp"/>
    <x v="3"/>
    <n v="382"/>
    <s v="STORE1"/>
    <x v="0"/>
    <n v="2"/>
    <n v="157"/>
    <n v="0.15"/>
    <x v="0"/>
    <n v="267"/>
    <n v="-115"/>
    <s v="Not Selected"/>
  </r>
  <r>
    <s v="SALE950"/>
    <d v="2025-02-01T00:00:00"/>
    <x v="6"/>
    <s v="CUST1309"/>
    <x v="1"/>
    <x v="24"/>
    <s v="PROD61"/>
    <s v="Tennis Ball 3-Pack"/>
    <x v="0"/>
    <n v="103"/>
    <s v="STORE5"/>
    <x v="0"/>
    <n v="4"/>
    <n v="372"/>
    <n v="0.19"/>
    <x v="0"/>
    <n v="1207"/>
    <n v="1104"/>
    <s v="Selected"/>
  </r>
  <r>
    <s v="SALE951"/>
    <d v="2025-02-11T00:00:00"/>
    <x v="6"/>
    <s v="CUST1154"/>
    <x v="1"/>
    <x v="1"/>
    <s v="PROD63"/>
    <s v="Organic Sunscreen Lotion"/>
    <x v="2"/>
    <n v="267"/>
    <s v="STORE19"/>
    <x v="0"/>
    <n v="4"/>
    <n v="286"/>
    <n v="0.28000000000000003"/>
    <x v="1"/>
    <n v="824"/>
    <n v="557"/>
    <s v="Not Selected"/>
  </r>
  <r>
    <s v="SALE971"/>
    <d v="2024-08-26T00:00:00"/>
    <x v="7"/>
    <s v="CUST1280"/>
    <x v="0"/>
    <x v="22"/>
    <s v="PROD91"/>
    <s v="Women's High Heels"/>
    <x v="4"/>
    <n v="438"/>
    <s v="STORE13"/>
    <x v="0"/>
    <n v="4"/>
    <n v="853"/>
    <n v="0.24"/>
    <x v="2"/>
    <n v="2594"/>
    <n v="2156"/>
    <s v="Selected"/>
  </r>
  <r>
    <s v="SALE974"/>
    <d v="2025-01-10T00:00:00"/>
    <x v="4"/>
    <s v="CUST1444"/>
    <x v="0"/>
    <x v="0"/>
    <s v="PROD10"/>
    <s v="Men's Graphic T-Shirt"/>
    <x v="4"/>
    <n v="343"/>
    <s v="STORE6"/>
    <x v="3"/>
    <n v="4"/>
    <n v="600"/>
    <n v="0.25"/>
    <x v="0"/>
    <n v="1800"/>
    <n v="1457"/>
    <s v="Selected"/>
  </r>
  <r>
    <s v="SALE976"/>
    <d v="2025-02-05T00:00:00"/>
    <x v="6"/>
    <s v="CUST1249"/>
    <x v="1"/>
    <x v="14"/>
    <s v="PROD19"/>
    <s v="Knee Support Brace"/>
    <x v="0"/>
    <n v="21"/>
    <s v="STORE10"/>
    <x v="0"/>
    <n v="2"/>
    <n v="466"/>
    <n v="0.12"/>
    <x v="1"/>
    <n v="821"/>
    <n v="800"/>
    <s v="Not Selected"/>
  </r>
  <r>
    <s v="SALE988"/>
    <d v="2024-07-13T00:00:00"/>
    <x v="0"/>
    <s v="CUST1004"/>
    <x v="1"/>
    <x v="24"/>
    <s v="PROD47"/>
    <s v="Makeup Brush Set"/>
    <x v="2"/>
    <n v="254"/>
    <s v="STORE17"/>
    <x v="0"/>
    <n v="2"/>
    <n v="274"/>
    <n v="0.13"/>
    <x v="1"/>
    <n v="477"/>
    <n v="223"/>
    <s v="Not Selected"/>
  </r>
  <r>
    <s v="SALE999"/>
    <d v="2024-01-13T00:00:00"/>
    <x v="4"/>
    <s v="CUST1421"/>
    <x v="1"/>
    <x v="7"/>
    <s v="PROD81"/>
    <s v="Badminton Racket Set"/>
    <x v="0"/>
    <n v="286"/>
    <s v="STORE8"/>
    <x v="1"/>
    <n v="4"/>
    <n v="23"/>
    <n v="0.27"/>
    <x v="1"/>
    <n v="66"/>
    <n v="-220"/>
    <s v="Not Selected"/>
  </r>
  <r>
    <s v="SALE1005"/>
    <d v="2024-04-23T00:00:00"/>
    <x v="10"/>
    <s v="CUST1194"/>
    <x v="0"/>
    <x v="2"/>
    <s v="PROD54"/>
    <s v="Sports Stopwatch Pro"/>
    <x v="0"/>
    <n v="435"/>
    <s v="STORE3"/>
    <x v="0"/>
    <n v="3"/>
    <n v="261"/>
    <n v="0.12"/>
    <x v="1"/>
    <n v="689"/>
    <n v="254"/>
    <s v="Not Selected"/>
  </r>
  <r>
    <s v="SALE1008"/>
    <d v="2023-11-29T00:00:00"/>
    <x v="3"/>
    <s v="CUST1426"/>
    <x v="0"/>
    <x v="29"/>
    <s v="PROD63"/>
    <s v="Organic Sunscreen Lotion"/>
    <x v="2"/>
    <n v="267"/>
    <s v="STORE10"/>
    <x v="0"/>
    <n v="1"/>
    <n v="395"/>
    <n v="0.09"/>
    <x v="1"/>
    <n v="360"/>
    <n v="93"/>
    <s v="Not Selected"/>
  </r>
  <r>
    <s v="SALE1027"/>
    <d v="2024-05-10T00:00:00"/>
    <x v="5"/>
    <s v="CUST1436"/>
    <x v="0"/>
    <x v="34"/>
    <s v="PROD52"/>
    <s v="Rugby Ball"/>
    <x v="0"/>
    <n v="212"/>
    <s v="STORE18"/>
    <x v="0"/>
    <n v="1"/>
    <n v="74"/>
    <n v="0.04"/>
    <x v="0"/>
    <n v="71"/>
    <n v="-141"/>
    <s v="Not Selected"/>
  </r>
  <r>
    <s v="SALE1039"/>
    <d v="2024-08-16T00:00:00"/>
    <x v="7"/>
    <s v="CUST1155"/>
    <x v="1"/>
    <x v="9"/>
    <s v="PROD72"/>
    <s v="Professional Jump Rope"/>
    <x v="0"/>
    <n v="478"/>
    <s v="STORE14"/>
    <x v="0"/>
    <n v="3"/>
    <n v="336"/>
    <n v="0.01"/>
    <x v="1"/>
    <n v="998"/>
    <n v="520"/>
    <s v="Not Selected"/>
  </r>
  <r>
    <s v="SALE1041"/>
    <d v="2025-05-04T00:00:00"/>
    <x v="5"/>
    <s v="CUST1310"/>
    <x v="0"/>
    <x v="1"/>
    <s v="PROD17"/>
    <s v="Soccer Training Cone Set"/>
    <x v="0"/>
    <n v="145"/>
    <s v="STORE8"/>
    <x v="1"/>
    <n v="2"/>
    <n v="485"/>
    <n v="0.28000000000000003"/>
    <x v="0"/>
    <n v="699"/>
    <n v="554"/>
    <s v="Not Selected"/>
  </r>
  <r>
    <s v="SALE1059"/>
    <d v="2023-10-23T00:00:00"/>
    <x v="11"/>
    <s v="CUST1009"/>
    <x v="0"/>
    <x v="2"/>
    <s v="PROD78"/>
    <s v="Essential Oil Diffuser"/>
    <x v="3"/>
    <n v="325"/>
    <s v="STORE13"/>
    <x v="0"/>
    <n v="2"/>
    <n v="838"/>
    <n v="0.3"/>
    <x v="0"/>
    <n v="1174"/>
    <n v="849"/>
    <s v="Selected"/>
  </r>
  <r>
    <s v="SALE1075"/>
    <d v="2024-10-28T00:00:00"/>
    <x v="11"/>
    <s v="CUST1301"/>
    <x v="0"/>
    <x v="45"/>
    <s v="PROD84"/>
    <s v="Wooden Bookshelf"/>
    <x v="3"/>
    <n v="388"/>
    <s v="STORE17"/>
    <x v="0"/>
    <n v="4"/>
    <n v="605"/>
    <n v="0.28000000000000003"/>
    <x v="1"/>
    <n v="1742"/>
    <n v="1354"/>
    <s v="Selected"/>
  </r>
  <r>
    <s v="SALE1076"/>
    <d v="2024-03-19T00:00:00"/>
    <x v="9"/>
    <s v="CUST1045"/>
    <x v="0"/>
    <x v="28"/>
    <s v="PROD33"/>
    <s v="Modern Wall Clock"/>
    <x v="3"/>
    <n v="180"/>
    <s v="STORE17"/>
    <x v="0"/>
    <n v="3"/>
    <n v="624"/>
    <n v="0.13"/>
    <x v="2"/>
    <n v="1628"/>
    <n v="1448"/>
    <s v="Selected"/>
  </r>
  <r>
    <s v="SALE1078"/>
    <d v="2025-08-09T00:00:00"/>
    <x v="7"/>
    <s v="CUST1414"/>
    <x v="1"/>
    <x v="6"/>
    <s v="PROD4"/>
    <s v="Portable Power Bank"/>
    <x v="1"/>
    <n v="326"/>
    <s v="STORE11"/>
    <x v="0"/>
    <n v="1"/>
    <n v="769"/>
    <n v="0.16"/>
    <x v="0"/>
    <n v="646"/>
    <n v="320"/>
    <s v="Not Selected"/>
  </r>
  <r>
    <s v="SALE1103"/>
    <d v="2023-11-27T00:00:00"/>
    <x v="3"/>
    <s v="CUST1375"/>
    <x v="0"/>
    <x v="46"/>
    <s v="PROD28"/>
    <s v="Sports Stopwatch Timer"/>
    <x v="0"/>
    <n v="39"/>
    <s v="STORE13"/>
    <x v="0"/>
    <n v="1"/>
    <n v="664"/>
    <n v="0"/>
    <x v="0"/>
    <n v="664"/>
    <n v="625"/>
    <s v="Not Selected"/>
  </r>
  <r>
    <s v="SALE1124"/>
    <d v="2024-06-04T00:00:00"/>
    <x v="2"/>
    <s v="CUST1361"/>
    <x v="0"/>
    <x v="30"/>
    <s v="PROD76"/>
    <s v="Wireless Mouse"/>
    <x v="1"/>
    <n v="393"/>
    <s v="STORE14"/>
    <x v="0"/>
    <n v="3"/>
    <n v="291"/>
    <n v="0.3"/>
    <x v="0"/>
    <n v="611"/>
    <n v="218"/>
    <s v="Not Selected"/>
  </r>
  <r>
    <s v="SALE1136"/>
    <d v="2024-10-10T00:00:00"/>
    <x v="11"/>
    <s v="CUST1359"/>
    <x v="0"/>
    <x v="32"/>
    <s v="PROD59"/>
    <s v="Men's Hair Styling Gel"/>
    <x v="2"/>
    <n v="17"/>
    <s v="STORE6"/>
    <x v="3"/>
    <n v="3"/>
    <n v="181"/>
    <n v="0.03"/>
    <x v="1"/>
    <n v="526"/>
    <n v="509"/>
    <s v="Not Selected"/>
  </r>
  <r>
    <s v="SALE1140"/>
    <d v="2025-07-23T00:00:00"/>
    <x v="0"/>
    <s v="CUST1179"/>
    <x v="1"/>
    <x v="39"/>
    <s v="PROD34"/>
    <s v="Gaming Mechanical Keyboard"/>
    <x v="1"/>
    <n v="419"/>
    <s v="STORE15"/>
    <x v="0"/>
    <n v="2"/>
    <n v="697"/>
    <n v="0.17"/>
    <x v="1"/>
    <n v="1156"/>
    <n v="737"/>
    <s v="Selected"/>
  </r>
  <r>
    <s v="SALE1145"/>
    <d v="2025-06-13T00:00:00"/>
    <x v="2"/>
    <s v="CUST1432"/>
    <x v="0"/>
    <x v="19"/>
    <s v="PROD16"/>
    <s v="Beard Grooming Kit"/>
    <x v="2"/>
    <n v="337"/>
    <s v="STORE13"/>
    <x v="0"/>
    <n v="4"/>
    <n v="255"/>
    <n v="0.2"/>
    <x v="2"/>
    <n v="815"/>
    <n v="478"/>
    <s v="Not Selected"/>
  </r>
  <r>
    <s v="SALE1152"/>
    <d v="2025-09-24T00:00:00"/>
    <x v="8"/>
    <s v="CUST1480"/>
    <x v="0"/>
    <x v="26"/>
    <s v="PROD65"/>
    <s v="Adjustable Dumbbells 20kg"/>
    <x v="0"/>
    <n v="241"/>
    <s v="STORE3"/>
    <x v="0"/>
    <n v="3"/>
    <n v="258"/>
    <n v="0"/>
    <x v="1"/>
    <n v="774"/>
    <n v="533"/>
    <s v="Not Selected"/>
  </r>
  <r>
    <s v="SALE1155"/>
    <d v="2024-09-21T00:00:00"/>
    <x v="8"/>
    <s v="CUST1340"/>
    <x v="0"/>
    <x v="44"/>
    <s v="PROD41"/>
    <s v="Yoga Exercise Mat"/>
    <x v="0"/>
    <n v="313"/>
    <s v="STORE5"/>
    <x v="0"/>
    <n v="2"/>
    <n v="20"/>
    <n v="0.12"/>
    <x v="2"/>
    <n v="36"/>
    <n v="-277"/>
    <s v="Not Selected"/>
  </r>
  <r>
    <s v="SALE1205"/>
    <d v="2024-10-01T00:00:00"/>
    <x v="11"/>
    <s v="CUST1400"/>
    <x v="1"/>
    <x v="15"/>
    <s v="PROD39"/>
    <s v="Portable Power Bank"/>
    <x v="1"/>
    <n v="326"/>
    <s v="STORE4"/>
    <x v="2"/>
    <n v="4"/>
    <n v="983"/>
    <n v="0.25"/>
    <x v="2"/>
    <n v="2950"/>
    <n v="2624"/>
    <s v="Selected"/>
  </r>
  <r>
    <s v="SALE1219"/>
    <d v="2025-09-05T00:00:00"/>
    <x v="8"/>
    <s v="CUST1030"/>
    <x v="1"/>
    <x v="2"/>
    <s v="PROD35"/>
    <s v="Bedroom Table Lamp"/>
    <x v="3"/>
    <n v="382"/>
    <s v="STORE15"/>
    <x v="0"/>
    <n v="4"/>
    <n v="642"/>
    <n v="0.25"/>
    <x v="0"/>
    <n v="1926"/>
    <n v="1544"/>
    <s v="Selected"/>
  </r>
  <r>
    <s v="SALE1220"/>
    <d v="2024-08-27T00:00:00"/>
    <x v="7"/>
    <s v="CUST1313"/>
    <x v="0"/>
    <x v="33"/>
    <s v="PROD84"/>
    <s v="Wooden Bookshelf"/>
    <x v="3"/>
    <n v="388"/>
    <s v="STORE7"/>
    <x v="2"/>
    <n v="4"/>
    <n v="451"/>
    <n v="0.24"/>
    <x v="0"/>
    <n v="1371"/>
    <n v="983"/>
    <s v="Selected"/>
  </r>
  <r>
    <s v="SALE1230"/>
    <d v="2024-10-07T00:00:00"/>
    <x v="11"/>
    <s v="CUST1018"/>
    <x v="0"/>
    <x v="32"/>
    <s v="PROD80"/>
    <s v="Wall-Mounted Spice Rack"/>
    <x v="3"/>
    <n v="143"/>
    <s v="STORE15"/>
    <x v="0"/>
    <n v="2"/>
    <n v="949"/>
    <n v="0.08"/>
    <x v="2"/>
    <n v="1747"/>
    <n v="1604"/>
    <s v="Selected"/>
  </r>
  <r>
    <s v="SALE1256"/>
    <d v="2025-01-14T00:00:00"/>
    <x v="4"/>
    <s v="CUST1450"/>
    <x v="0"/>
    <x v="48"/>
    <s v="PROD63"/>
    <s v="Organic Sunscreen Lotion"/>
    <x v="2"/>
    <n v="267"/>
    <s v="STORE11"/>
    <x v="0"/>
    <n v="4"/>
    <n v="593"/>
    <n v="0.03"/>
    <x v="0"/>
    <n v="2300"/>
    <n v="2033"/>
    <s v="Selected"/>
  </r>
  <r>
    <s v="SALE1277"/>
    <d v="2024-08-20T00:00:00"/>
    <x v="7"/>
    <s v="CUST1003"/>
    <x v="1"/>
    <x v="31"/>
    <s v="PROD0"/>
    <s v="Brother Laser Printer"/>
    <x v="1"/>
    <n v="112"/>
    <s v="STORE14"/>
    <x v="0"/>
    <n v="1"/>
    <n v="450"/>
    <n v="0.01"/>
    <x v="1"/>
    <n v="445"/>
    <n v="333"/>
    <s v="Not Selected"/>
  </r>
  <r>
    <s v="SALE1292"/>
    <d v="2024-06-03T00:00:00"/>
    <x v="2"/>
    <s v="CUST1112"/>
    <x v="1"/>
    <x v="20"/>
    <s v="PROD40"/>
    <s v="Noise-Canceling Headphones"/>
    <x v="1"/>
    <n v="39"/>
    <s v="STORE0"/>
    <x v="3"/>
    <n v="1"/>
    <n v="71"/>
    <n v="0.08"/>
    <x v="2"/>
    <n v="65"/>
    <n v="26"/>
    <s v="Not Selected"/>
  </r>
  <r>
    <s v="SALE1313"/>
    <d v="2025-09-06T00:00:00"/>
    <x v="8"/>
    <s v="CUST1021"/>
    <x v="1"/>
    <x v="15"/>
    <s v="PROD26"/>
    <s v="Wireless Bluetooth Speaker"/>
    <x v="1"/>
    <n v="322"/>
    <s v="STORE18"/>
    <x v="0"/>
    <n v="1"/>
    <n v="180"/>
    <n v="0.23"/>
    <x v="2"/>
    <n v="138"/>
    <n v="-184"/>
    <s v="Not Selected"/>
  </r>
  <r>
    <s v="SALE1340"/>
    <d v="2025-07-17T00:00:00"/>
    <x v="0"/>
    <s v="CUST1439"/>
    <x v="0"/>
    <x v="20"/>
    <s v="PROD20"/>
    <s v="Outdoor Sports Water Bottle"/>
    <x v="0"/>
    <n v="132"/>
    <s v="STORE1"/>
    <x v="0"/>
    <n v="3"/>
    <n v="684"/>
    <n v="0.09"/>
    <x v="0"/>
    <n v="1868"/>
    <n v="1736"/>
    <s v="Selected"/>
  </r>
  <r>
    <s v="SALE1367"/>
    <d v="2025-09-14T00:00:00"/>
    <x v="8"/>
    <s v="CUST1299"/>
    <x v="1"/>
    <x v="38"/>
    <s v="PROD23"/>
    <s v="Men's Formal Shirt"/>
    <x v="4"/>
    <n v="254"/>
    <s v="STORE17"/>
    <x v="0"/>
    <n v="3"/>
    <n v="373"/>
    <n v="0.2"/>
    <x v="2"/>
    <n v="896"/>
    <n v="642"/>
    <s v="Not Selected"/>
  </r>
  <r>
    <s v="SALE1373"/>
    <d v="2023-12-12T00:00:00"/>
    <x v="1"/>
    <s v="CUST1254"/>
    <x v="0"/>
    <x v="41"/>
    <s v="PROD23"/>
    <s v="Men's Formal Shirt"/>
    <x v="4"/>
    <n v="254"/>
    <s v="STORE7"/>
    <x v="2"/>
    <n v="2"/>
    <n v="608"/>
    <n v="0.16"/>
    <x v="0"/>
    <n v="1022"/>
    <n v="768"/>
    <s v="Selected"/>
  </r>
  <r>
    <s v="SALE1378"/>
    <d v="2024-12-30T00:00:00"/>
    <x v="1"/>
    <s v="CUST1064"/>
    <x v="0"/>
    <x v="28"/>
    <s v="PROD47"/>
    <s v="Makeup Brush Set"/>
    <x v="2"/>
    <n v="254"/>
    <s v="STORE12"/>
    <x v="0"/>
    <n v="2"/>
    <n v="591"/>
    <n v="0.24"/>
    <x v="0"/>
    <n v="899"/>
    <n v="645"/>
    <s v="Not Selected"/>
  </r>
  <r>
    <s v="SALE1380"/>
    <d v="2024-09-14T00:00:00"/>
    <x v="8"/>
    <s v="CUST1090"/>
    <x v="1"/>
    <x v="38"/>
    <s v="PROD65"/>
    <s v="Adjustable Dumbbells 20kg"/>
    <x v="0"/>
    <n v="241"/>
    <s v="STORE14"/>
    <x v="0"/>
    <n v="2"/>
    <n v="546"/>
    <n v="0.08"/>
    <x v="2"/>
    <n v="1005"/>
    <n v="764"/>
    <s v="Selected"/>
  </r>
  <r>
    <s v="SALE1385"/>
    <d v="2024-06-04T00:00:00"/>
    <x v="2"/>
    <s v="CUST1227"/>
    <x v="1"/>
    <x v="32"/>
    <s v="PROD93"/>
    <s v="USB-C Laptop Charger"/>
    <x v="1"/>
    <n v="378"/>
    <s v="STORE7"/>
    <x v="2"/>
    <n v="2"/>
    <n v="225"/>
    <n v="0.2"/>
    <x v="2"/>
    <n v="360"/>
    <n v="-18"/>
    <s v="Not Selected"/>
  </r>
  <r>
    <s v="SALE1431"/>
    <d v="2025-09-06T00:00:00"/>
    <x v="8"/>
    <s v="CUST1447"/>
    <x v="0"/>
    <x v="29"/>
    <s v="PROD42"/>
    <s v="Smart Home WiFi Camera"/>
    <x v="1"/>
    <n v="451"/>
    <s v="STORE17"/>
    <x v="0"/>
    <n v="1"/>
    <n v="361"/>
    <n v="0.06"/>
    <x v="1"/>
    <n v="339"/>
    <n v="-112"/>
    <s v="Not Selected"/>
  </r>
  <r>
    <s v="SALE1436"/>
    <d v="2025-06-22T00:00:00"/>
    <x v="2"/>
    <s v="CUST1174"/>
    <x v="1"/>
    <x v="1"/>
    <s v="PROD86"/>
    <s v="Kitchen Cutting Board"/>
    <x v="3"/>
    <n v="176"/>
    <s v="STORE10"/>
    <x v="0"/>
    <n v="2"/>
    <n v="611"/>
    <n v="0.22"/>
    <x v="0"/>
    <n v="954"/>
    <n v="778"/>
    <s v="Not Selected"/>
  </r>
  <r>
    <s v="SALE1439"/>
    <d v="2024-01-31T00:00:00"/>
    <x v="4"/>
    <s v="CUST1291"/>
    <x v="1"/>
    <x v="6"/>
    <s v="PROD93"/>
    <s v="USB-C Laptop Charger"/>
    <x v="1"/>
    <n v="378"/>
    <s v="STORE7"/>
    <x v="2"/>
    <n v="2"/>
    <n v="846"/>
    <n v="0.1"/>
    <x v="2"/>
    <n v="1523"/>
    <n v="1145"/>
    <s v="Selected"/>
  </r>
  <r>
    <s v="SALE1441"/>
    <d v="2024-09-04T00:00:00"/>
    <x v="8"/>
    <s v="CUST1258"/>
    <x v="1"/>
    <x v="11"/>
    <s v="PROD88"/>
    <s v="Sports Wrist Sweatbands"/>
    <x v="0"/>
    <n v="131"/>
    <s v="STORE14"/>
    <x v="0"/>
    <n v="4"/>
    <n v="450"/>
    <n v="0.08"/>
    <x v="2"/>
    <n v="1658"/>
    <n v="1527"/>
    <s v="Selected"/>
  </r>
  <r>
    <s v="SALE1455"/>
    <d v="2025-04-16T00:00:00"/>
    <x v="10"/>
    <s v="CUST1236"/>
    <x v="1"/>
    <x v="45"/>
    <s v="PROD16"/>
    <s v="Beard Grooming Kit"/>
    <x v="2"/>
    <n v="337"/>
    <s v="STORE14"/>
    <x v="0"/>
    <n v="4"/>
    <n v="761"/>
    <n v="0.08"/>
    <x v="0"/>
    <n v="2802"/>
    <n v="2465"/>
    <s v="Selected"/>
  </r>
  <r>
    <s v="SALE1457"/>
    <d v="2025-10-13T00:00:00"/>
    <x v="11"/>
    <s v="CUST1238"/>
    <x v="0"/>
    <x v="35"/>
    <s v="PROD43"/>
    <s v="USB External Hard Drive"/>
    <x v="1"/>
    <n v="253"/>
    <s v="STORE18"/>
    <x v="0"/>
    <n v="4"/>
    <n v="975"/>
    <n v="0.04"/>
    <x v="0"/>
    <n v="3746"/>
    <n v="3493"/>
    <s v="Selected"/>
  </r>
  <r>
    <s v="SALE1466"/>
    <d v="2025-01-19T00:00:00"/>
    <x v="4"/>
    <s v="CUST1226"/>
    <x v="0"/>
    <x v="41"/>
    <s v="PROD49"/>
    <s v="Men's Roll-On Perfume"/>
    <x v="2"/>
    <n v="43"/>
    <s v="STORE8"/>
    <x v="1"/>
    <n v="3"/>
    <n v="512"/>
    <n v="0.12"/>
    <x v="0"/>
    <n v="1352"/>
    <n v="1309"/>
    <s v="Selected"/>
  </r>
  <r>
    <s v="SALE1496"/>
    <d v="2024-04-03T00:00:00"/>
    <x v="10"/>
    <s v="CUST1331"/>
    <x v="1"/>
    <x v="10"/>
    <s v="PROD4"/>
    <s v="Portable Power Bank"/>
    <x v="1"/>
    <n v="326"/>
    <s v="STORE3"/>
    <x v="0"/>
    <n v="3"/>
    <n v="698"/>
    <n v="0.04"/>
    <x v="1"/>
    <n v="2011"/>
    <n v="1685"/>
    <s v="Selected"/>
  </r>
  <r>
    <s v="SALE1511"/>
    <d v="2025-02-03T00:00:00"/>
    <x v="6"/>
    <s v="CUST1250"/>
    <x v="0"/>
    <x v="37"/>
    <s v="PROD55"/>
    <s v="Ceramic Plant Pot"/>
    <x v="3"/>
    <n v="82"/>
    <s v="STORE13"/>
    <x v="0"/>
    <n v="1"/>
    <n v="171"/>
    <n v="0.13"/>
    <x v="1"/>
    <n v="148"/>
    <n v="66"/>
    <s v="Not Selected"/>
  </r>
  <r>
    <s v="SALE1520"/>
    <d v="2025-10-06T00:00:00"/>
    <x v="11"/>
    <s v="CUST1106"/>
    <x v="1"/>
    <x v="5"/>
    <s v="PROD65"/>
    <s v="Adjustable Dumbbells 20kg"/>
    <x v="0"/>
    <n v="241"/>
    <s v="STORE16"/>
    <x v="0"/>
    <n v="3"/>
    <n v="578"/>
    <n v="0.06"/>
    <x v="2"/>
    <n v="1631"/>
    <n v="1390"/>
    <s v="Selected"/>
  </r>
  <r>
    <s v="SALE1545"/>
    <d v="2025-09-26T00:00:00"/>
    <x v="8"/>
    <s v="CUST1207"/>
    <x v="1"/>
    <x v="19"/>
    <s v="PROD96"/>
    <s v="Women's Formal Blazer"/>
    <x v="4"/>
    <n v="358"/>
    <s v="STORE3"/>
    <x v="0"/>
    <n v="2"/>
    <n v="645"/>
    <n v="0.24"/>
    <x v="2"/>
    <n v="980"/>
    <n v="622"/>
    <s v="Not Selected"/>
  </r>
  <r>
    <s v="SALE1547"/>
    <d v="2024-05-22T00:00:00"/>
    <x v="5"/>
    <s v="CUST1217"/>
    <x v="0"/>
    <x v="6"/>
    <s v="PROD43"/>
    <s v="USB External Hard Drive"/>
    <x v="1"/>
    <n v="253"/>
    <s v="STORE19"/>
    <x v="0"/>
    <n v="1"/>
    <n v="662"/>
    <n v="0.03"/>
    <x v="1"/>
    <n v="642"/>
    <n v="389"/>
    <s v="Not Selected"/>
  </r>
  <r>
    <s v="SALE1584"/>
    <d v="2025-09-02T00:00:00"/>
    <x v="8"/>
    <s v="CUST1318"/>
    <x v="0"/>
    <x v="32"/>
    <s v="PROD78"/>
    <s v="Essential Oil Diffuser"/>
    <x v="3"/>
    <n v="325"/>
    <s v="STORE5"/>
    <x v="0"/>
    <n v="2"/>
    <n v="480"/>
    <n v="0.21"/>
    <x v="1"/>
    <n v="758"/>
    <n v="433"/>
    <s v="Not Selected"/>
  </r>
  <r>
    <s v="SALE1591"/>
    <d v="2025-05-30T00:00:00"/>
    <x v="5"/>
    <s v="CUST1025"/>
    <x v="1"/>
    <x v="24"/>
    <s v="PROD95"/>
    <s v="Sports Stopwatch Basic"/>
    <x v="0"/>
    <n v="61"/>
    <s v="STORE10"/>
    <x v="0"/>
    <n v="1"/>
    <n v="750"/>
    <n v="0.03"/>
    <x v="0"/>
    <n v="727"/>
    <n v="666"/>
    <s v="Not Selected"/>
  </r>
  <r>
    <s v="SALE1619"/>
    <d v="2024-09-11T00:00:00"/>
    <x v="8"/>
    <s v="CUST1074"/>
    <x v="0"/>
    <x v="44"/>
    <s v="PROD83"/>
    <s v="Hydrating Face Cleanser"/>
    <x v="2"/>
    <n v="254"/>
    <s v="STORE4"/>
    <x v="2"/>
    <n v="2"/>
    <n v="899"/>
    <n v="0.25"/>
    <x v="0"/>
    <n v="1348"/>
    <n v="1094"/>
    <s v="Selected"/>
  </r>
  <r>
    <s v="SALE1642"/>
    <d v="2024-01-10T00:00:00"/>
    <x v="4"/>
    <s v="CUST1308"/>
    <x v="1"/>
    <x v="9"/>
    <s v="PROD14"/>
    <s v="Decorative Wall Mirror"/>
    <x v="3"/>
    <n v="48"/>
    <s v="STORE12"/>
    <x v="0"/>
    <n v="2"/>
    <n v="403"/>
    <n v="0.21"/>
    <x v="1"/>
    <n v="637"/>
    <n v="589"/>
    <s v="Not Selected"/>
  </r>
  <r>
    <s v="SALE1647"/>
    <d v="2025-01-12T00:00:00"/>
    <x v="4"/>
    <s v="CUST1132"/>
    <x v="1"/>
    <x v="31"/>
    <s v="PROD47"/>
    <s v="Makeup Brush Set"/>
    <x v="2"/>
    <n v="254"/>
    <s v="STORE0"/>
    <x v="3"/>
    <n v="4"/>
    <n v="92"/>
    <n v="0.15"/>
    <x v="0"/>
    <n v="314"/>
    <n v="60"/>
    <s v="Not Selected"/>
  </r>
  <r>
    <s v="SALE1656"/>
    <d v="2025-03-19T00:00:00"/>
    <x v="9"/>
    <s v="CUST1460"/>
    <x v="0"/>
    <x v="9"/>
    <s v="PROD15"/>
    <s v="4K Home Projector"/>
    <x v="1"/>
    <n v="465"/>
    <s v="STORE4"/>
    <x v="2"/>
    <n v="3"/>
    <n v="471"/>
    <n v="0.28000000000000003"/>
    <x v="2"/>
    <n v="1018"/>
    <n v="553"/>
    <s v="Selected"/>
  </r>
  <r>
    <s v="SALE1692"/>
    <d v="2025-09-16T00:00:00"/>
    <x v="8"/>
    <s v="CUST1393"/>
    <x v="0"/>
    <x v="39"/>
    <s v="PROD80"/>
    <s v="Wall-Mounted Spice Rack"/>
    <x v="3"/>
    <n v="143"/>
    <s v="STORE3"/>
    <x v="0"/>
    <n v="4"/>
    <n v="984"/>
    <n v="0.11"/>
    <x v="2"/>
    <n v="3503"/>
    <n v="3360"/>
    <s v="Selected"/>
  </r>
  <r>
    <s v="SALE1721"/>
    <d v="2025-03-20T00:00:00"/>
    <x v="9"/>
    <s v="CUST1289"/>
    <x v="0"/>
    <x v="31"/>
    <s v="PROD43"/>
    <s v="USB External Hard Drive"/>
    <x v="1"/>
    <n v="253"/>
    <s v="STORE7"/>
    <x v="2"/>
    <n v="2"/>
    <n v="537"/>
    <n v="0.14000000000000001"/>
    <x v="0"/>
    <n v="923"/>
    <n v="670"/>
    <s v="Not Selected"/>
  </r>
  <r>
    <s v="SALE1767"/>
    <d v="2024-09-09T00:00:00"/>
    <x v="8"/>
    <s v="CUST1252"/>
    <x v="0"/>
    <x v="34"/>
    <s v="PROD13"/>
    <s v="USB-C Fast Charger"/>
    <x v="1"/>
    <n v="242"/>
    <s v="STORE16"/>
    <x v="0"/>
    <n v="2"/>
    <n v="331"/>
    <n v="0.14000000000000001"/>
    <x v="0"/>
    <n v="569"/>
    <n v="327"/>
    <s v="Not Selected"/>
  </r>
  <r>
    <s v="SALE1818"/>
    <d v="2025-06-06T00:00:00"/>
    <x v="2"/>
    <s v="CUST1137"/>
    <x v="1"/>
    <x v="31"/>
    <s v="PROD26"/>
    <s v="Wireless Bluetooth Speaker"/>
    <x v="1"/>
    <n v="322"/>
    <s v="STORE5"/>
    <x v="0"/>
    <n v="4"/>
    <n v="282"/>
    <n v="0.13"/>
    <x v="2"/>
    <n v="982"/>
    <n v="660"/>
    <s v="Not Selected"/>
  </r>
  <r>
    <s v="SALE1845"/>
    <d v="2024-03-13T00:00:00"/>
    <x v="9"/>
    <s v="CUST1111"/>
    <x v="1"/>
    <x v="28"/>
    <s v="PROD17"/>
    <s v="Soccer Training Cone Set"/>
    <x v="0"/>
    <n v="145"/>
    <s v="STORE5"/>
    <x v="0"/>
    <n v="4"/>
    <n v="716"/>
    <n v="0.19"/>
    <x v="1"/>
    <n v="2319"/>
    <n v="2174"/>
    <s v="Selected"/>
  </r>
  <r>
    <s v="SALE1896"/>
    <d v="2025-05-03T00:00:00"/>
    <x v="5"/>
    <s v="CUST1434"/>
    <x v="1"/>
    <x v="30"/>
    <s v="PROD13"/>
    <s v="USB-C Fast Charger"/>
    <x v="1"/>
    <n v="242"/>
    <s v="STORE8"/>
    <x v="1"/>
    <n v="4"/>
    <n v="729"/>
    <n v="0.03"/>
    <x v="0"/>
    <n v="2830"/>
    <n v="2588"/>
    <s v="Selected"/>
  </r>
  <r>
    <s v="SALE1985"/>
    <d v="2023-10-30T00:00:00"/>
    <x v="11"/>
    <s v="CUST1454"/>
    <x v="0"/>
    <x v="15"/>
    <s v="PROD60"/>
    <s v="Luxury Perfume Spray"/>
    <x v="2"/>
    <n v="483"/>
    <s v="STORE18"/>
    <x v="0"/>
    <n v="3"/>
    <n v="345"/>
    <n v="0.08"/>
    <x v="2"/>
    <n v="953"/>
    <n v="470"/>
    <s v="Not Selected"/>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47005F4-D5EA-4FD9-80CF-9D6C74C51D49}" name="Month wise report"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A70:G84" firstHeaderRow="1" firstDataRow="2" firstDataCol="1"/>
  <pivotFields count="19">
    <pivotField showAll="0"/>
    <pivotField numFmtId="14" showAll="0"/>
    <pivotField axis="axisRow" showAll="0">
      <items count="13">
        <item x="4"/>
        <item x="6"/>
        <item x="9"/>
        <item x="10"/>
        <item x="5"/>
        <item x="2"/>
        <item x="0"/>
        <item x="7"/>
        <item x="8"/>
        <item x="11"/>
        <item x="3"/>
        <item x="1"/>
        <item t="default"/>
      </items>
    </pivotField>
    <pivotField showAll="0"/>
    <pivotField showAll="0"/>
    <pivotField showAll="0"/>
    <pivotField showAll="0"/>
    <pivotField showAll="0"/>
    <pivotField axis="axisCol" showAll="0">
      <items count="6">
        <item x="2"/>
        <item x="4"/>
        <item x="1"/>
        <item x="3"/>
        <item x="0"/>
        <item t="default"/>
      </items>
    </pivotField>
    <pivotField showAll="0"/>
    <pivotField showAll="0"/>
    <pivotField showAll="0"/>
    <pivotField dataField="1" showAll="0"/>
    <pivotField showAll="0"/>
    <pivotField numFmtId="2" showAll="0"/>
    <pivotField showAll="0">
      <items count="4">
        <item x="2"/>
        <item x="0"/>
        <item x="1"/>
        <item t="default"/>
      </items>
    </pivotField>
    <pivotField showAll="0"/>
    <pivotField showAll="0"/>
    <pivotField showAll="0"/>
  </pivotFields>
  <rowFields count="1">
    <field x="2"/>
  </rowFields>
  <rowItems count="13">
    <i>
      <x/>
    </i>
    <i>
      <x v="1"/>
    </i>
    <i>
      <x v="2"/>
    </i>
    <i>
      <x v="3"/>
    </i>
    <i>
      <x v="4"/>
    </i>
    <i>
      <x v="5"/>
    </i>
    <i>
      <x v="6"/>
    </i>
    <i>
      <x v="7"/>
    </i>
    <i>
      <x v="8"/>
    </i>
    <i>
      <x v="9"/>
    </i>
    <i>
      <x v="10"/>
    </i>
    <i>
      <x v="11"/>
    </i>
    <i t="grand">
      <x/>
    </i>
  </rowItems>
  <colFields count="1">
    <field x="8"/>
  </colFields>
  <colItems count="6">
    <i>
      <x/>
    </i>
    <i>
      <x v="1"/>
    </i>
    <i>
      <x v="2"/>
    </i>
    <i>
      <x v="3"/>
    </i>
    <i>
      <x v="4"/>
    </i>
    <i t="grand">
      <x/>
    </i>
  </colItems>
  <dataFields count="1">
    <dataField name="Count of Final Quantity" fld="12" subtotal="count" baseField="2" baseItem="3"/>
  </dataFields>
  <chartFormats count="10">
    <chartFormat chart="4" format="0" series="1">
      <pivotArea type="data" outline="0" fieldPosition="0">
        <references count="2">
          <reference field="4294967294" count="1" selected="0">
            <x v="0"/>
          </reference>
          <reference field="8" count="1" selected="0">
            <x v="0"/>
          </reference>
        </references>
      </pivotArea>
    </chartFormat>
    <chartFormat chart="4" format="1" series="1">
      <pivotArea type="data" outline="0" fieldPosition="0">
        <references count="2">
          <reference field="4294967294" count="1" selected="0">
            <x v="0"/>
          </reference>
          <reference field="8" count="1" selected="0">
            <x v="1"/>
          </reference>
        </references>
      </pivotArea>
    </chartFormat>
    <chartFormat chart="4" format="2" series="1">
      <pivotArea type="data" outline="0" fieldPosition="0">
        <references count="2">
          <reference field="4294967294" count="1" selected="0">
            <x v="0"/>
          </reference>
          <reference field="8" count="1" selected="0">
            <x v="2"/>
          </reference>
        </references>
      </pivotArea>
    </chartFormat>
    <chartFormat chart="4" format="3" series="1">
      <pivotArea type="data" outline="0" fieldPosition="0">
        <references count="2">
          <reference field="4294967294" count="1" selected="0">
            <x v="0"/>
          </reference>
          <reference field="8" count="1" selected="0">
            <x v="3"/>
          </reference>
        </references>
      </pivotArea>
    </chartFormat>
    <chartFormat chart="4" format="4" series="1">
      <pivotArea type="data" outline="0" fieldPosition="0">
        <references count="2">
          <reference field="4294967294" count="1" selected="0">
            <x v="0"/>
          </reference>
          <reference field="8" count="1" selected="0">
            <x v="4"/>
          </reference>
        </references>
      </pivotArea>
    </chartFormat>
    <chartFormat chart="9" format="10" series="1">
      <pivotArea type="data" outline="0" fieldPosition="0">
        <references count="2">
          <reference field="4294967294" count="1" selected="0">
            <x v="0"/>
          </reference>
          <reference field="8" count="1" selected="0">
            <x v="0"/>
          </reference>
        </references>
      </pivotArea>
    </chartFormat>
    <chartFormat chart="9" format="11" series="1">
      <pivotArea type="data" outline="0" fieldPosition="0">
        <references count="2">
          <reference field="4294967294" count="1" selected="0">
            <x v="0"/>
          </reference>
          <reference field="8" count="1" selected="0">
            <x v="1"/>
          </reference>
        </references>
      </pivotArea>
    </chartFormat>
    <chartFormat chart="9" format="12" series="1">
      <pivotArea type="data" outline="0" fieldPosition="0">
        <references count="2">
          <reference field="4294967294" count="1" selected="0">
            <x v="0"/>
          </reference>
          <reference field="8" count="1" selected="0">
            <x v="2"/>
          </reference>
        </references>
      </pivotArea>
    </chartFormat>
    <chartFormat chart="9" format="13" series="1">
      <pivotArea type="data" outline="0" fieldPosition="0">
        <references count="2">
          <reference field="4294967294" count="1" selected="0">
            <x v="0"/>
          </reference>
          <reference field="8" count="1" selected="0">
            <x v="3"/>
          </reference>
        </references>
      </pivotArea>
    </chartFormat>
    <chartFormat chart="9" format="14" series="1">
      <pivotArea type="data" outline="0" fieldPosition="0">
        <references count="2">
          <reference field="4294967294" count="1" selected="0">
            <x v="0"/>
          </reference>
          <reference field="8"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C05B894-A9AC-421A-BCF7-CCC245BA061C}" name="State wise gender report"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A3:G55" firstHeaderRow="1" firstDataRow="2" firstDataCol="1"/>
  <pivotFields count="19">
    <pivotField showAll="0"/>
    <pivotField numFmtId="14" showAll="0"/>
    <pivotField showAll="0"/>
    <pivotField showAll="0"/>
    <pivotField showAll="0"/>
    <pivotField axis="axisRow" showAll="0">
      <items count="51">
        <item x="4"/>
        <item x="41"/>
        <item x="28"/>
        <item x="13"/>
        <item x="24"/>
        <item x="44"/>
        <item x="40"/>
        <item x="37"/>
        <item x="26"/>
        <item x="36"/>
        <item x="22"/>
        <item x="12"/>
        <item x="49"/>
        <item x="30"/>
        <item x="9"/>
        <item x="32"/>
        <item x="27"/>
        <item x="38"/>
        <item x="17"/>
        <item x="33"/>
        <item x="43"/>
        <item x="20"/>
        <item x="46"/>
        <item x="25"/>
        <item x="6"/>
        <item x="10"/>
        <item x="48"/>
        <item x="8"/>
        <item x="21"/>
        <item x="19"/>
        <item x="23"/>
        <item x="14"/>
        <item x="29"/>
        <item x="16"/>
        <item x="31"/>
        <item x="15"/>
        <item x="47"/>
        <item x="2"/>
        <item x="5"/>
        <item x="42"/>
        <item x="34"/>
        <item x="3"/>
        <item x="11"/>
        <item x="39"/>
        <item x="1"/>
        <item x="45"/>
        <item x="7"/>
        <item x="35"/>
        <item x="18"/>
        <item x="0"/>
        <item t="default"/>
      </items>
    </pivotField>
    <pivotField showAll="0"/>
    <pivotField showAll="0"/>
    <pivotField axis="axisCol" showAll="0">
      <items count="6">
        <item x="2"/>
        <item x="4"/>
        <item x="1"/>
        <item x="3"/>
        <item x="0"/>
        <item t="default"/>
      </items>
    </pivotField>
    <pivotField showAll="0"/>
    <pivotField showAll="0"/>
    <pivotField showAll="0"/>
    <pivotField dataField="1" showAll="0"/>
    <pivotField showAll="0"/>
    <pivotField numFmtId="2" showAll="0"/>
    <pivotField showAll="0"/>
    <pivotField showAll="0"/>
    <pivotField showAll="0"/>
    <pivotField showAll="0"/>
  </pivotFields>
  <rowFields count="1">
    <field x="5"/>
  </rowFields>
  <rowItems count="5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t="grand">
      <x/>
    </i>
  </rowItems>
  <colFields count="1">
    <field x="8"/>
  </colFields>
  <colItems count="6">
    <i>
      <x/>
    </i>
    <i>
      <x v="1"/>
    </i>
    <i>
      <x v="2"/>
    </i>
    <i>
      <x v="3"/>
    </i>
    <i>
      <x v="4"/>
    </i>
    <i t="grand">
      <x/>
    </i>
  </colItems>
  <dataFields count="1">
    <dataField name="Count of Final Quantity" fld="12" subtotal="count" baseField="5" baseItem="0"/>
  </dataFields>
  <formats count="1">
    <format dxfId="2">
      <pivotArea outline="0" collapsedLevelsAreSubtotals="1" fieldPosition="0"/>
    </format>
  </formats>
  <chartFormats count="6">
    <chartFormat chart="7" format="13" series="1">
      <pivotArea type="data" outline="0" fieldPosition="0">
        <references count="1">
          <reference field="4294967294" count="1" selected="0">
            <x v="0"/>
          </reference>
        </references>
      </pivotArea>
    </chartFormat>
    <chartFormat chart="7" format="64" series="1">
      <pivotArea type="data" outline="0" fieldPosition="0">
        <references count="2">
          <reference field="4294967294" count="1" selected="0">
            <x v="0"/>
          </reference>
          <reference field="8" count="1" selected="0">
            <x v="1"/>
          </reference>
        </references>
      </pivotArea>
    </chartFormat>
    <chartFormat chart="7" format="65" series="1">
      <pivotArea type="data" outline="0" fieldPosition="0">
        <references count="2">
          <reference field="4294967294" count="1" selected="0">
            <x v="0"/>
          </reference>
          <reference field="8" count="1" selected="0">
            <x v="2"/>
          </reference>
        </references>
      </pivotArea>
    </chartFormat>
    <chartFormat chart="7" format="66" series="1">
      <pivotArea type="data" outline="0" fieldPosition="0">
        <references count="2">
          <reference field="4294967294" count="1" selected="0">
            <x v="0"/>
          </reference>
          <reference field="8" count="1" selected="0">
            <x v="3"/>
          </reference>
        </references>
      </pivotArea>
    </chartFormat>
    <chartFormat chart="7" format="67" series="1">
      <pivotArea type="data" outline="0" fieldPosition="0">
        <references count="2">
          <reference field="4294967294" count="1" selected="0">
            <x v="0"/>
          </reference>
          <reference field="8" count="1" selected="0">
            <x v="4"/>
          </reference>
        </references>
      </pivotArea>
    </chartFormat>
    <chartFormat chart="7" format="68" series="1">
      <pivotArea type="data" outline="0" fieldPosition="0">
        <references count="2">
          <reference field="4294967294" count="1" selected="0">
            <x v="0"/>
          </reference>
          <reference field="8"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54BBEFF-1747-4934-800D-4B4EC3643920}" name="Region wise report"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59:F66" firstHeaderRow="1" firstDataRow="2" firstDataCol="1"/>
  <pivotFields count="19">
    <pivotField showAll="0"/>
    <pivotField numFmtId="14" showAll="0"/>
    <pivotField showAll="0">
      <items count="13">
        <item x="4"/>
        <item x="6"/>
        <item x="9"/>
        <item x="10"/>
        <item x="5"/>
        <item x="2"/>
        <item x="0"/>
        <item x="7"/>
        <item x="8"/>
        <item x="11"/>
        <item x="3"/>
        <item x="1"/>
        <item t="default"/>
      </items>
    </pivotField>
    <pivotField showAll="0"/>
    <pivotField showAll="0"/>
    <pivotField showAll="0"/>
    <pivotField showAll="0"/>
    <pivotField showAll="0"/>
    <pivotField axis="axisRow" showAll="0">
      <items count="6">
        <item x="2"/>
        <item x="4"/>
        <item x="1"/>
        <item x="3"/>
        <item x="0"/>
        <item t="default"/>
      </items>
    </pivotField>
    <pivotField showAll="0"/>
    <pivotField showAll="0"/>
    <pivotField axis="axisCol" showAll="0">
      <items count="5">
        <item x="3"/>
        <item x="0"/>
        <item x="2"/>
        <item x="1"/>
        <item t="default"/>
      </items>
    </pivotField>
    <pivotField showAll="0"/>
    <pivotField showAll="0"/>
    <pivotField numFmtId="2" showAll="0"/>
    <pivotField showAll="0">
      <items count="4">
        <item x="2"/>
        <item x="0"/>
        <item x="1"/>
        <item t="default"/>
      </items>
    </pivotField>
    <pivotField dataField="1" showAll="0"/>
    <pivotField showAll="0"/>
    <pivotField showAll="0"/>
  </pivotFields>
  <rowFields count="1">
    <field x="8"/>
  </rowFields>
  <rowItems count="6">
    <i>
      <x/>
    </i>
    <i>
      <x v="1"/>
    </i>
    <i>
      <x v="2"/>
    </i>
    <i>
      <x v="3"/>
    </i>
    <i>
      <x v="4"/>
    </i>
    <i t="grand">
      <x/>
    </i>
  </rowItems>
  <colFields count="1">
    <field x="11"/>
  </colFields>
  <colItems count="5">
    <i>
      <x/>
    </i>
    <i>
      <x v="1"/>
    </i>
    <i>
      <x v="2"/>
    </i>
    <i>
      <x v="3"/>
    </i>
    <i t="grand">
      <x/>
    </i>
  </colItems>
  <dataFields count="1">
    <dataField name="Sum of Final Revenue" fld="16" baseField="0" baseItem="0"/>
  </dataFields>
  <chartFormats count="48">
    <chartFormat chart="0" format="0" series="1">
      <pivotArea type="data" outline="0" fieldPosition="0">
        <references count="2">
          <reference field="4294967294" count="1" selected="0">
            <x v="0"/>
          </reference>
          <reference field="11" count="1" selected="0">
            <x v="0"/>
          </reference>
        </references>
      </pivotArea>
    </chartFormat>
    <chartFormat chart="0" format="1" series="1">
      <pivotArea type="data" outline="0" fieldPosition="0">
        <references count="2">
          <reference field="4294967294" count="1" selected="0">
            <x v="0"/>
          </reference>
          <reference field="11" count="1" selected="0">
            <x v="1"/>
          </reference>
        </references>
      </pivotArea>
    </chartFormat>
    <chartFormat chart="0" format="2" series="1">
      <pivotArea type="data" outline="0" fieldPosition="0">
        <references count="2">
          <reference field="4294967294" count="1" selected="0">
            <x v="0"/>
          </reference>
          <reference field="11" count="1" selected="0">
            <x v="2"/>
          </reference>
        </references>
      </pivotArea>
    </chartFormat>
    <chartFormat chart="0" format="3" series="1">
      <pivotArea type="data" outline="0" fieldPosition="0">
        <references count="2">
          <reference field="4294967294" count="1" selected="0">
            <x v="0"/>
          </reference>
          <reference field="11" count="1" selected="0">
            <x v="3"/>
          </reference>
        </references>
      </pivotArea>
    </chartFormat>
    <chartFormat chart="6" format="28" series="1">
      <pivotArea type="data" outline="0" fieldPosition="0">
        <references count="2">
          <reference field="4294967294" count="1" selected="0">
            <x v="0"/>
          </reference>
          <reference field="11" count="1" selected="0">
            <x v="0"/>
          </reference>
        </references>
      </pivotArea>
    </chartFormat>
    <chartFormat chart="6" format="29">
      <pivotArea type="data" outline="0" fieldPosition="0">
        <references count="3">
          <reference field="4294967294" count="1" selected="0">
            <x v="0"/>
          </reference>
          <reference field="8" count="1" selected="0">
            <x v="0"/>
          </reference>
          <reference field="11" count="1" selected="0">
            <x v="0"/>
          </reference>
        </references>
      </pivotArea>
    </chartFormat>
    <chartFormat chart="6" format="30">
      <pivotArea type="data" outline="0" fieldPosition="0">
        <references count="3">
          <reference field="4294967294" count="1" selected="0">
            <x v="0"/>
          </reference>
          <reference field="8" count="1" selected="0">
            <x v="1"/>
          </reference>
          <reference field="11" count="1" selected="0">
            <x v="0"/>
          </reference>
        </references>
      </pivotArea>
    </chartFormat>
    <chartFormat chart="6" format="31">
      <pivotArea type="data" outline="0" fieldPosition="0">
        <references count="3">
          <reference field="4294967294" count="1" selected="0">
            <x v="0"/>
          </reference>
          <reference field="8" count="1" selected="0">
            <x v="2"/>
          </reference>
          <reference field="11" count="1" selected="0">
            <x v="0"/>
          </reference>
        </references>
      </pivotArea>
    </chartFormat>
    <chartFormat chart="6" format="32">
      <pivotArea type="data" outline="0" fieldPosition="0">
        <references count="3">
          <reference field="4294967294" count="1" selected="0">
            <x v="0"/>
          </reference>
          <reference field="8" count="1" selected="0">
            <x v="3"/>
          </reference>
          <reference field="11" count="1" selected="0">
            <x v="0"/>
          </reference>
        </references>
      </pivotArea>
    </chartFormat>
    <chartFormat chart="6" format="33">
      <pivotArea type="data" outline="0" fieldPosition="0">
        <references count="3">
          <reference field="4294967294" count="1" selected="0">
            <x v="0"/>
          </reference>
          <reference field="8" count="1" selected="0">
            <x v="4"/>
          </reference>
          <reference field="11" count="1" selected="0">
            <x v="0"/>
          </reference>
        </references>
      </pivotArea>
    </chartFormat>
    <chartFormat chart="6" format="34" series="1">
      <pivotArea type="data" outline="0" fieldPosition="0">
        <references count="2">
          <reference field="4294967294" count="1" selected="0">
            <x v="0"/>
          </reference>
          <reference field="11" count="1" selected="0">
            <x v="1"/>
          </reference>
        </references>
      </pivotArea>
    </chartFormat>
    <chartFormat chart="6" format="35">
      <pivotArea type="data" outline="0" fieldPosition="0">
        <references count="3">
          <reference field="4294967294" count="1" selected="0">
            <x v="0"/>
          </reference>
          <reference field="8" count="1" selected="0">
            <x v="0"/>
          </reference>
          <reference field="11" count="1" selected="0">
            <x v="1"/>
          </reference>
        </references>
      </pivotArea>
    </chartFormat>
    <chartFormat chart="6" format="36">
      <pivotArea type="data" outline="0" fieldPosition="0">
        <references count="3">
          <reference field="4294967294" count="1" selected="0">
            <x v="0"/>
          </reference>
          <reference field="8" count="1" selected="0">
            <x v="1"/>
          </reference>
          <reference field="11" count="1" selected="0">
            <x v="1"/>
          </reference>
        </references>
      </pivotArea>
    </chartFormat>
    <chartFormat chart="6" format="37">
      <pivotArea type="data" outline="0" fieldPosition="0">
        <references count="3">
          <reference field="4294967294" count="1" selected="0">
            <x v="0"/>
          </reference>
          <reference field="8" count="1" selected="0">
            <x v="2"/>
          </reference>
          <reference field="11" count="1" selected="0">
            <x v="1"/>
          </reference>
        </references>
      </pivotArea>
    </chartFormat>
    <chartFormat chart="6" format="38">
      <pivotArea type="data" outline="0" fieldPosition="0">
        <references count="3">
          <reference field="4294967294" count="1" selected="0">
            <x v="0"/>
          </reference>
          <reference field="8" count="1" selected="0">
            <x v="3"/>
          </reference>
          <reference field="11" count="1" selected="0">
            <x v="1"/>
          </reference>
        </references>
      </pivotArea>
    </chartFormat>
    <chartFormat chart="6" format="39">
      <pivotArea type="data" outline="0" fieldPosition="0">
        <references count="3">
          <reference field="4294967294" count="1" selected="0">
            <x v="0"/>
          </reference>
          <reference field="8" count="1" selected="0">
            <x v="4"/>
          </reference>
          <reference field="11" count="1" selected="0">
            <x v="1"/>
          </reference>
        </references>
      </pivotArea>
    </chartFormat>
    <chartFormat chart="6" format="40" series="1">
      <pivotArea type="data" outline="0" fieldPosition="0">
        <references count="2">
          <reference field="4294967294" count="1" selected="0">
            <x v="0"/>
          </reference>
          <reference field="11" count="1" selected="0">
            <x v="2"/>
          </reference>
        </references>
      </pivotArea>
    </chartFormat>
    <chartFormat chart="6" format="41">
      <pivotArea type="data" outline="0" fieldPosition="0">
        <references count="3">
          <reference field="4294967294" count="1" selected="0">
            <x v="0"/>
          </reference>
          <reference field="8" count="1" selected="0">
            <x v="0"/>
          </reference>
          <reference field="11" count="1" selected="0">
            <x v="2"/>
          </reference>
        </references>
      </pivotArea>
    </chartFormat>
    <chartFormat chart="6" format="42">
      <pivotArea type="data" outline="0" fieldPosition="0">
        <references count="3">
          <reference field="4294967294" count="1" selected="0">
            <x v="0"/>
          </reference>
          <reference field="8" count="1" selected="0">
            <x v="1"/>
          </reference>
          <reference field="11" count="1" selected="0">
            <x v="2"/>
          </reference>
        </references>
      </pivotArea>
    </chartFormat>
    <chartFormat chart="6" format="43">
      <pivotArea type="data" outline="0" fieldPosition="0">
        <references count="3">
          <reference field="4294967294" count="1" selected="0">
            <x v="0"/>
          </reference>
          <reference field="8" count="1" selected="0">
            <x v="2"/>
          </reference>
          <reference field="11" count="1" selected="0">
            <x v="2"/>
          </reference>
        </references>
      </pivotArea>
    </chartFormat>
    <chartFormat chart="6" format="44">
      <pivotArea type="data" outline="0" fieldPosition="0">
        <references count="3">
          <reference field="4294967294" count="1" selected="0">
            <x v="0"/>
          </reference>
          <reference field="8" count="1" selected="0">
            <x v="3"/>
          </reference>
          <reference field="11" count="1" selected="0">
            <x v="2"/>
          </reference>
        </references>
      </pivotArea>
    </chartFormat>
    <chartFormat chart="6" format="45">
      <pivotArea type="data" outline="0" fieldPosition="0">
        <references count="3">
          <reference field="4294967294" count="1" selected="0">
            <x v="0"/>
          </reference>
          <reference field="8" count="1" selected="0">
            <x v="4"/>
          </reference>
          <reference field="11" count="1" selected="0">
            <x v="2"/>
          </reference>
        </references>
      </pivotArea>
    </chartFormat>
    <chartFormat chart="6" format="46" series="1">
      <pivotArea type="data" outline="0" fieldPosition="0">
        <references count="2">
          <reference field="4294967294" count="1" selected="0">
            <x v="0"/>
          </reference>
          <reference field="11" count="1" selected="0">
            <x v="3"/>
          </reference>
        </references>
      </pivotArea>
    </chartFormat>
    <chartFormat chart="6" format="47">
      <pivotArea type="data" outline="0" fieldPosition="0">
        <references count="3">
          <reference field="4294967294" count="1" selected="0">
            <x v="0"/>
          </reference>
          <reference field="8" count="1" selected="0">
            <x v="0"/>
          </reference>
          <reference field="11" count="1" selected="0">
            <x v="3"/>
          </reference>
        </references>
      </pivotArea>
    </chartFormat>
    <chartFormat chart="6" format="48">
      <pivotArea type="data" outline="0" fieldPosition="0">
        <references count="3">
          <reference field="4294967294" count="1" selected="0">
            <x v="0"/>
          </reference>
          <reference field="8" count="1" selected="0">
            <x v="1"/>
          </reference>
          <reference field="11" count="1" selected="0">
            <x v="3"/>
          </reference>
        </references>
      </pivotArea>
    </chartFormat>
    <chartFormat chart="6" format="49">
      <pivotArea type="data" outline="0" fieldPosition="0">
        <references count="3">
          <reference field="4294967294" count="1" selected="0">
            <x v="0"/>
          </reference>
          <reference field="8" count="1" selected="0">
            <x v="2"/>
          </reference>
          <reference field="11" count="1" selected="0">
            <x v="3"/>
          </reference>
        </references>
      </pivotArea>
    </chartFormat>
    <chartFormat chart="6" format="50">
      <pivotArea type="data" outline="0" fieldPosition="0">
        <references count="3">
          <reference field="4294967294" count="1" selected="0">
            <x v="0"/>
          </reference>
          <reference field="8" count="1" selected="0">
            <x v="3"/>
          </reference>
          <reference field="11" count="1" selected="0">
            <x v="3"/>
          </reference>
        </references>
      </pivotArea>
    </chartFormat>
    <chartFormat chart="6" format="51">
      <pivotArea type="data" outline="0" fieldPosition="0">
        <references count="3">
          <reference field="4294967294" count="1" selected="0">
            <x v="0"/>
          </reference>
          <reference field="8" count="1" selected="0">
            <x v="4"/>
          </reference>
          <reference field="11" count="1" selected="0">
            <x v="3"/>
          </reference>
        </references>
      </pivotArea>
    </chartFormat>
    <chartFormat chart="0" format="4">
      <pivotArea type="data" outline="0" fieldPosition="0">
        <references count="3">
          <reference field="4294967294" count="1" selected="0">
            <x v="0"/>
          </reference>
          <reference field="8" count="1" selected="0">
            <x v="0"/>
          </reference>
          <reference field="11" count="1" selected="0">
            <x v="0"/>
          </reference>
        </references>
      </pivotArea>
    </chartFormat>
    <chartFormat chart="0" format="5">
      <pivotArea type="data" outline="0" fieldPosition="0">
        <references count="3">
          <reference field="4294967294" count="1" selected="0">
            <x v="0"/>
          </reference>
          <reference field="8" count="1" selected="0">
            <x v="1"/>
          </reference>
          <reference field="11" count="1" selected="0">
            <x v="0"/>
          </reference>
        </references>
      </pivotArea>
    </chartFormat>
    <chartFormat chart="0" format="6">
      <pivotArea type="data" outline="0" fieldPosition="0">
        <references count="3">
          <reference field="4294967294" count="1" selected="0">
            <x v="0"/>
          </reference>
          <reference field="8" count="1" selected="0">
            <x v="2"/>
          </reference>
          <reference field="11" count="1" selected="0">
            <x v="0"/>
          </reference>
        </references>
      </pivotArea>
    </chartFormat>
    <chartFormat chart="0" format="7">
      <pivotArea type="data" outline="0" fieldPosition="0">
        <references count="3">
          <reference field="4294967294" count="1" selected="0">
            <x v="0"/>
          </reference>
          <reference field="8" count="1" selected="0">
            <x v="3"/>
          </reference>
          <reference field="11" count="1" selected="0">
            <x v="0"/>
          </reference>
        </references>
      </pivotArea>
    </chartFormat>
    <chartFormat chart="0" format="8">
      <pivotArea type="data" outline="0" fieldPosition="0">
        <references count="3">
          <reference field="4294967294" count="1" selected="0">
            <x v="0"/>
          </reference>
          <reference field="8" count="1" selected="0">
            <x v="4"/>
          </reference>
          <reference field="11" count="1" selected="0">
            <x v="0"/>
          </reference>
        </references>
      </pivotArea>
    </chartFormat>
    <chartFormat chart="0" format="9">
      <pivotArea type="data" outline="0" fieldPosition="0">
        <references count="3">
          <reference field="4294967294" count="1" selected="0">
            <x v="0"/>
          </reference>
          <reference field="8" count="1" selected="0">
            <x v="0"/>
          </reference>
          <reference field="11" count="1" selected="0">
            <x v="1"/>
          </reference>
        </references>
      </pivotArea>
    </chartFormat>
    <chartFormat chart="0" format="10">
      <pivotArea type="data" outline="0" fieldPosition="0">
        <references count="3">
          <reference field="4294967294" count="1" selected="0">
            <x v="0"/>
          </reference>
          <reference field="8" count="1" selected="0">
            <x v="1"/>
          </reference>
          <reference field="11" count="1" selected="0">
            <x v="1"/>
          </reference>
        </references>
      </pivotArea>
    </chartFormat>
    <chartFormat chart="0" format="11">
      <pivotArea type="data" outline="0" fieldPosition="0">
        <references count="3">
          <reference field="4294967294" count="1" selected="0">
            <x v="0"/>
          </reference>
          <reference field="8" count="1" selected="0">
            <x v="2"/>
          </reference>
          <reference field="11" count="1" selected="0">
            <x v="1"/>
          </reference>
        </references>
      </pivotArea>
    </chartFormat>
    <chartFormat chart="0" format="12">
      <pivotArea type="data" outline="0" fieldPosition="0">
        <references count="3">
          <reference field="4294967294" count="1" selected="0">
            <x v="0"/>
          </reference>
          <reference field="8" count="1" selected="0">
            <x v="3"/>
          </reference>
          <reference field="11" count="1" selected="0">
            <x v="1"/>
          </reference>
        </references>
      </pivotArea>
    </chartFormat>
    <chartFormat chart="0" format="13">
      <pivotArea type="data" outline="0" fieldPosition="0">
        <references count="3">
          <reference field="4294967294" count="1" selected="0">
            <x v="0"/>
          </reference>
          <reference field="8" count="1" selected="0">
            <x v="4"/>
          </reference>
          <reference field="11" count="1" selected="0">
            <x v="1"/>
          </reference>
        </references>
      </pivotArea>
    </chartFormat>
    <chartFormat chart="0" format="14">
      <pivotArea type="data" outline="0" fieldPosition="0">
        <references count="3">
          <reference field="4294967294" count="1" selected="0">
            <x v="0"/>
          </reference>
          <reference field="8" count="1" selected="0">
            <x v="0"/>
          </reference>
          <reference field="11" count="1" selected="0">
            <x v="2"/>
          </reference>
        </references>
      </pivotArea>
    </chartFormat>
    <chartFormat chart="0" format="15">
      <pivotArea type="data" outline="0" fieldPosition="0">
        <references count="3">
          <reference field="4294967294" count="1" selected="0">
            <x v="0"/>
          </reference>
          <reference field="8" count="1" selected="0">
            <x v="1"/>
          </reference>
          <reference field="11" count="1" selected="0">
            <x v="2"/>
          </reference>
        </references>
      </pivotArea>
    </chartFormat>
    <chartFormat chart="0" format="16">
      <pivotArea type="data" outline="0" fieldPosition="0">
        <references count="3">
          <reference field="4294967294" count="1" selected="0">
            <x v="0"/>
          </reference>
          <reference field="8" count="1" selected="0">
            <x v="2"/>
          </reference>
          <reference field="11" count="1" selected="0">
            <x v="2"/>
          </reference>
        </references>
      </pivotArea>
    </chartFormat>
    <chartFormat chart="0" format="17">
      <pivotArea type="data" outline="0" fieldPosition="0">
        <references count="3">
          <reference field="4294967294" count="1" selected="0">
            <x v="0"/>
          </reference>
          <reference field="8" count="1" selected="0">
            <x v="3"/>
          </reference>
          <reference field="11" count="1" selected="0">
            <x v="2"/>
          </reference>
        </references>
      </pivotArea>
    </chartFormat>
    <chartFormat chart="0" format="18">
      <pivotArea type="data" outline="0" fieldPosition="0">
        <references count="3">
          <reference field="4294967294" count="1" selected="0">
            <x v="0"/>
          </reference>
          <reference field="8" count="1" selected="0">
            <x v="4"/>
          </reference>
          <reference field="11" count="1" selected="0">
            <x v="2"/>
          </reference>
        </references>
      </pivotArea>
    </chartFormat>
    <chartFormat chart="0" format="19">
      <pivotArea type="data" outline="0" fieldPosition="0">
        <references count="3">
          <reference field="4294967294" count="1" selected="0">
            <x v="0"/>
          </reference>
          <reference field="8" count="1" selected="0">
            <x v="0"/>
          </reference>
          <reference field="11" count="1" selected="0">
            <x v="3"/>
          </reference>
        </references>
      </pivotArea>
    </chartFormat>
    <chartFormat chart="0" format="20">
      <pivotArea type="data" outline="0" fieldPosition="0">
        <references count="3">
          <reference field="4294967294" count="1" selected="0">
            <x v="0"/>
          </reference>
          <reference field="8" count="1" selected="0">
            <x v="1"/>
          </reference>
          <reference field="11" count="1" selected="0">
            <x v="3"/>
          </reference>
        </references>
      </pivotArea>
    </chartFormat>
    <chartFormat chart="0" format="21">
      <pivotArea type="data" outline="0" fieldPosition="0">
        <references count="3">
          <reference field="4294967294" count="1" selected="0">
            <x v="0"/>
          </reference>
          <reference field="8" count="1" selected="0">
            <x v="2"/>
          </reference>
          <reference field="11" count="1" selected="0">
            <x v="3"/>
          </reference>
        </references>
      </pivotArea>
    </chartFormat>
    <chartFormat chart="0" format="22">
      <pivotArea type="data" outline="0" fieldPosition="0">
        <references count="3">
          <reference field="4294967294" count="1" selected="0">
            <x v="0"/>
          </reference>
          <reference field="8" count="1" selected="0">
            <x v="3"/>
          </reference>
          <reference field="11" count="1" selected="0">
            <x v="3"/>
          </reference>
        </references>
      </pivotArea>
    </chartFormat>
    <chartFormat chart="0" format="23">
      <pivotArea type="data" outline="0" fieldPosition="0">
        <references count="3">
          <reference field="4294967294" count="1" selected="0">
            <x v="0"/>
          </reference>
          <reference field="8" count="1" selected="0">
            <x v="4"/>
          </reference>
          <reference field="11"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F88FC56-004B-4758-A58C-5F1EF947CBC7}" name="Mode of Payment"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119:E133" firstHeaderRow="1" firstDataRow="2" firstDataCol="1" rowPageCount="1" colPageCount="1"/>
  <pivotFields count="19">
    <pivotField showAll="0"/>
    <pivotField numFmtId="14" showAll="0"/>
    <pivotField axis="axisRow" showAll="0">
      <items count="13">
        <item x="4"/>
        <item x="6"/>
        <item x="9"/>
        <item x="10"/>
        <item x="5"/>
        <item x="2"/>
        <item x="0"/>
        <item x="7"/>
        <item x="8"/>
        <item x="11"/>
        <item x="3"/>
        <item x="1"/>
        <item t="default"/>
      </items>
    </pivotField>
    <pivotField showAll="0"/>
    <pivotField showAll="0"/>
    <pivotField showAll="0"/>
    <pivotField showAll="0"/>
    <pivotField showAll="0"/>
    <pivotField axis="axisPage" showAll="0">
      <items count="6">
        <item x="2"/>
        <item x="4"/>
        <item x="1"/>
        <item x="3"/>
        <item x="0"/>
        <item t="default"/>
      </items>
    </pivotField>
    <pivotField showAll="0"/>
    <pivotField showAll="0"/>
    <pivotField showAll="0"/>
    <pivotField showAll="0"/>
    <pivotField showAll="0"/>
    <pivotField numFmtId="2" showAll="0"/>
    <pivotField axis="axisCol" showAll="0">
      <items count="4">
        <item x="2"/>
        <item x="0"/>
        <item x="1"/>
        <item t="default"/>
      </items>
    </pivotField>
    <pivotField dataField="1" showAll="0"/>
    <pivotField showAll="0"/>
    <pivotField showAll="0"/>
  </pivotFields>
  <rowFields count="1">
    <field x="2"/>
  </rowFields>
  <rowItems count="13">
    <i>
      <x/>
    </i>
    <i>
      <x v="1"/>
    </i>
    <i>
      <x v="2"/>
    </i>
    <i>
      <x v="3"/>
    </i>
    <i>
      <x v="4"/>
    </i>
    <i>
      <x v="5"/>
    </i>
    <i>
      <x v="6"/>
    </i>
    <i>
      <x v="7"/>
    </i>
    <i>
      <x v="8"/>
    </i>
    <i>
      <x v="9"/>
    </i>
    <i>
      <x v="10"/>
    </i>
    <i>
      <x v="11"/>
    </i>
    <i t="grand">
      <x/>
    </i>
  </rowItems>
  <colFields count="1">
    <field x="15"/>
  </colFields>
  <colItems count="4">
    <i>
      <x/>
    </i>
    <i>
      <x v="1"/>
    </i>
    <i>
      <x v="2"/>
    </i>
    <i t="grand">
      <x/>
    </i>
  </colItems>
  <pageFields count="1">
    <pageField fld="8" hier="-1"/>
  </pageFields>
  <dataFields count="1">
    <dataField name="Sum of Final Revenue" fld="16" baseField="0" baseItem="0"/>
  </dataFields>
  <chartFormats count="6">
    <chartFormat chart="4" format="0" series="1">
      <pivotArea type="data" outline="0" fieldPosition="0">
        <references count="2">
          <reference field="4294967294" count="1" selected="0">
            <x v="0"/>
          </reference>
          <reference field="15" count="1" selected="0">
            <x v="0"/>
          </reference>
        </references>
      </pivotArea>
    </chartFormat>
    <chartFormat chart="4" format="1" series="1">
      <pivotArea type="data" outline="0" fieldPosition="0">
        <references count="2">
          <reference field="4294967294" count="1" selected="0">
            <x v="0"/>
          </reference>
          <reference field="15" count="1" selected="0">
            <x v="1"/>
          </reference>
        </references>
      </pivotArea>
    </chartFormat>
    <chartFormat chart="4" format="2" series="1">
      <pivotArea type="data" outline="0" fieldPosition="0">
        <references count="2">
          <reference field="4294967294" count="1" selected="0">
            <x v="0"/>
          </reference>
          <reference field="15" count="1" selected="0">
            <x v="2"/>
          </reference>
        </references>
      </pivotArea>
    </chartFormat>
    <chartFormat chart="9" format="6" series="1">
      <pivotArea type="data" outline="0" fieldPosition="0">
        <references count="2">
          <reference field="4294967294" count="1" selected="0">
            <x v="0"/>
          </reference>
          <reference field="15" count="1" selected="0">
            <x v="0"/>
          </reference>
        </references>
      </pivotArea>
    </chartFormat>
    <chartFormat chart="9" format="7" series="1">
      <pivotArea type="data" outline="0" fieldPosition="0">
        <references count="2">
          <reference field="4294967294" count="1" selected="0">
            <x v="0"/>
          </reference>
          <reference field="15" count="1" selected="0">
            <x v="1"/>
          </reference>
        </references>
      </pivotArea>
    </chartFormat>
    <chartFormat chart="9" format="8" series="1">
      <pivotArea type="data" outline="0" fieldPosition="0">
        <references count="2">
          <reference field="4294967294" count="1" selected="0">
            <x v="0"/>
          </reference>
          <reference field="1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D28A0DC-0AAE-423F-9662-7FFC5249DAE4}" name="Region wise gender report"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106:D112" firstHeaderRow="1" firstDataRow="2" firstDataCol="1" rowPageCount="1" colPageCount="1"/>
  <pivotFields count="19">
    <pivotField showAll="0"/>
    <pivotField numFmtId="14" showAll="0"/>
    <pivotField showAll="0">
      <items count="13">
        <item x="4"/>
        <item x="6"/>
        <item x="9"/>
        <item x="10"/>
        <item x="5"/>
        <item x="2"/>
        <item x="0"/>
        <item x="7"/>
        <item x="8"/>
        <item x="11"/>
        <item x="3"/>
        <item x="1"/>
        <item t="default"/>
      </items>
    </pivotField>
    <pivotField showAll="0"/>
    <pivotField axis="axisCol" showAll="0">
      <items count="3">
        <item x="1"/>
        <item x="0"/>
        <item t="default"/>
      </items>
    </pivotField>
    <pivotField axis="axisPage" showAll="0">
      <items count="51">
        <item x="4"/>
        <item x="41"/>
        <item x="28"/>
        <item x="13"/>
        <item x="24"/>
        <item x="44"/>
        <item x="40"/>
        <item x="37"/>
        <item x="26"/>
        <item x="36"/>
        <item x="22"/>
        <item x="12"/>
        <item x="49"/>
        <item x="30"/>
        <item x="9"/>
        <item x="32"/>
        <item x="27"/>
        <item x="38"/>
        <item x="17"/>
        <item x="33"/>
        <item x="43"/>
        <item x="20"/>
        <item x="46"/>
        <item x="25"/>
        <item x="6"/>
        <item x="10"/>
        <item x="48"/>
        <item x="8"/>
        <item x="21"/>
        <item x="19"/>
        <item x="23"/>
        <item x="14"/>
        <item x="29"/>
        <item x="16"/>
        <item x="31"/>
        <item x="15"/>
        <item x="47"/>
        <item x="2"/>
        <item x="5"/>
        <item x="42"/>
        <item x="34"/>
        <item x="3"/>
        <item x="11"/>
        <item x="39"/>
        <item x="1"/>
        <item x="45"/>
        <item x="7"/>
        <item x="35"/>
        <item x="18"/>
        <item x="0"/>
        <item t="default"/>
      </items>
    </pivotField>
    <pivotField showAll="0"/>
    <pivotField showAll="0"/>
    <pivotField showAll="0">
      <items count="6">
        <item x="2"/>
        <item x="4"/>
        <item x="1"/>
        <item x="3"/>
        <item x="0"/>
        <item t="default"/>
      </items>
    </pivotField>
    <pivotField showAll="0"/>
    <pivotField showAll="0"/>
    <pivotField axis="axisRow" showAll="0">
      <items count="5">
        <item x="3"/>
        <item x="0"/>
        <item x="2"/>
        <item x="1"/>
        <item t="default"/>
      </items>
    </pivotField>
    <pivotField showAll="0"/>
    <pivotField showAll="0"/>
    <pivotField numFmtId="2" showAll="0"/>
    <pivotField showAll="0">
      <items count="4">
        <item x="2"/>
        <item x="0"/>
        <item x="1"/>
        <item t="default"/>
      </items>
    </pivotField>
    <pivotField dataField="1" showAll="0"/>
    <pivotField showAll="0"/>
    <pivotField showAll="0"/>
  </pivotFields>
  <rowFields count="1">
    <field x="11"/>
  </rowFields>
  <rowItems count="5">
    <i>
      <x/>
    </i>
    <i>
      <x v="1"/>
    </i>
    <i>
      <x v="2"/>
    </i>
    <i>
      <x v="3"/>
    </i>
    <i t="grand">
      <x/>
    </i>
  </rowItems>
  <colFields count="1">
    <field x="4"/>
  </colFields>
  <colItems count="3">
    <i>
      <x/>
    </i>
    <i>
      <x v="1"/>
    </i>
    <i t="grand">
      <x/>
    </i>
  </colItems>
  <pageFields count="1">
    <pageField fld="5" hier="-1"/>
  </pageFields>
  <dataFields count="1">
    <dataField name="Average of Final Revenue" fld="16" subtotal="average" baseField="11" baseItem="1" numFmtId="2"/>
  </dataFields>
  <formats count="1">
    <format dxfId="3">
      <pivotArea outline="0" collapsedLevelsAreSubtotals="1" fieldPosition="0"/>
    </format>
  </formats>
  <chartFormats count="4">
    <chartFormat chart="0" format="0" series="1">
      <pivotArea type="data" outline="0" fieldPosition="0">
        <references count="2">
          <reference field="4294967294" count="1" selected="0">
            <x v="0"/>
          </reference>
          <reference field="4" count="1" selected="0">
            <x v="0"/>
          </reference>
        </references>
      </pivotArea>
    </chartFormat>
    <chartFormat chart="0" format="1" series="1">
      <pivotArea type="data" outline="0" fieldPosition="0">
        <references count="2">
          <reference field="4294967294" count="1" selected="0">
            <x v="0"/>
          </reference>
          <reference field="4" count="1" selected="0">
            <x v="1"/>
          </reference>
        </references>
      </pivotArea>
    </chartFormat>
    <chartFormat chart="5" format="4" series="1">
      <pivotArea type="data" outline="0" fieldPosition="0">
        <references count="2">
          <reference field="4294967294" count="1" selected="0">
            <x v="0"/>
          </reference>
          <reference field="4" count="1" selected="0">
            <x v="0"/>
          </reference>
        </references>
      </pivotArea>
    </chartFormat>
    <chartFormat chart="5" format="5" series="1">
      <pivotArea type="data" outline="0" fieldPosition="0">
        <references count="2">
          <reference field="4294967294" count="1" selected="0">
            <x v="0"/>
          </reference>
          <reference field="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52AE1DF0-0CB0-4DDF-8191-38259357D519}" sourceName="Month">
  <pivotTables>
    <pivotTable tabId="14" name="Month wise report"/>
    <pivotTable tabId="14" name="Mode of Payment"/>
    <pivotTable tabId="14" name="Region wise gender report"/>
    <pivotTable tabId="14" name="Region wise report"/>
  </pivotTables>
  <data>
    <tabular pivotCacheId="364285408">
      <items count="12">
        <i x="4" s="1"/>
        <i x="6" s="1"/>
        <i x="9" s="1"/>
        <i x="10" s="1"/>
        <i x="5" s="1"/>
        <i x="2" s="1"/>
        <i x="0" s="1"/>
        <i x="7" s="1"/>
        <i x="8" s="1"/>
        <i x="11" s="1"/>
        <i x="3"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A7195BFE-DB04-4EDE-97A9-97046088E168}" sourceName="Category">
  <pivotTables>
    <pivotTable tabId="14" name="Region wise report"/>
    <pivotTable tabId="14" name="Mode of Payment"/>
    <pivotTable tabId="14" name="Month wise report"/>
    <pivotTable tabId="14" name="Region wise gender report"/>
    <pivotTable tabId="14" name="State wise gender report"/>
  </pivotTables>
  <data>
    <tabular pivotCacheId="364285408">
      <items count="5">
        <i x="2" s="1"/>
        <i x="4" s="1"/>
        <i x="1" s="1"/>
        <i x="3"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Type" xr10:uid="{F42A0A17-7DE5-4FF0-96BD-EB45AD1F4613}" sourceName="Payment_Type">
  <pivotTables>
    <pivotTable tabId="14" name="Region wise gender report"/>
    <pivotTable tabId="14" name="Mode of Payment"/>
    <pivotTable tabId="14" name="Month wise report"/>
    <pivotTable tabId="14" name="Region wise report"/>
  </pivotTables>
  <data>
    <tabular pivotCacheId="364285408">
      <items count="3">
        <i x="2"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xr10:uid="{31FD1E04-1138-495A-AC35-1CC16F7B4C6E}" cache="Slicer_Month" caption="Month"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1" xr10:uid="{755E468B-DD4F-41D2-AECA-4C7135FCB79D}" cache="Slicer_Month" caption="Month" rowHeight="241300"/>
  <slicer name="Category" xr10:uid="{F634D64F-1A58-4A56-977A-B287A57AD23D}" cache="Slicer_Category" caption="Category" rowHeight="241300"/>
  <slicer name="Payment_Type" xr10:uid="{C5A88439-E089-4D9B-9BB0-30AED3640C40}" cache="Slicer_Payment_Type" caption="Payment_Type"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60A3F1A6-8C58-4519-8EE1-CBAFDF669ACD}" name="Customer_Data_" displayName="Customer_Data_" ref="A1:J501" totalsRowShown="0" headerRowDxfId="68" headerRowBorderDxfId="67" tableBorderDxfId="66" totalsRowBorderDxfId="65">
  <autoFilter ref="A1:J501" xr:uid="{60A3F1A6-8C58-4519-8EE1-CBAFDF669ACD}"/>
  <tableColumns count="10">
    <tableColumn id="1" xr3:uid="{E52F3529-42C1-4D8B-86F7-3B9ABEACF504}" name="Customer_ID" dataDxfId="64"/>
    <tableColumn id="2" xr3:uid="{609E634A-DD99-4828-A5D6-F5DDCE2C00DF}" name="Name" dataDxfId="63"/>
    <tableColumn id="10" xr3:uid="{A7352454-76F3-4E8F-9B70-963168A64527}" name="Name 1" dataDxfId="62">
      <calculatedColumnFormula>TRIM(Customer_Data_[[#This Row],[Name]])</calculatedColumnFormula>
    </tableColumn>
    <tableColumn id="11" xr3:uid="{6C30DAE7-E64D-40E5-A432-6B408029B47D}" name="Name Final" dataDxfId="61">
      <calculatedColumnFormula>PROPER(Customer_Data_[[#This Row],[Name 1]])</calculatedColumnFormula>
    </tableColumn>
    <tableColumn id="3" xr3:uid="{2DD3B074-0ECA-4941-908F-1AC4E2270B5F}" name="Age" dataDxfId="60"/>
    <tableColumn id="4" xr3:uid="{D561410E-E8F5-409A-9BDF-9F4724941443}" name="Gender" dataDxfId="59"/>
    <tableColumn id="5" xr3:uid="{09FAA7CC-8D47-45DF-85EB-9A7331F188A5}" name="City" dataDxfId="58"/>
    <tableColumn id="6" xr3:uid="{2C9C9D60-43EA-4EC8-B604-96EEED065D05}" name="State" dataDxfId="57"/>
    <tableColumn id="7" xr3:uid="{E874DC36-E1CC-4002-8C6A-38C1B7133CCF}" name="Loyalty_Level" dataDxfId="56"/>
    <tableColumn id="12" xr3:uid="{E9A42585-4B0A-4075-8BC4-72D6969E6F19}" name="Loyal Catogory " dataDxfId="55">
      <calculatedColumnFormula>IF(ISBLANK(Customer_Data_[[#This Row],[Loyalty_Level]]),"Silver",Customer_Data_[[#This Row],[Loyalty_Level]])</calculatedColumnFormula>
    </tableColumn>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234F9948-A080-4E29-BB8B-A7858E90E79B}" name="Product_Data_1" displayName="Product_Data_1" ref="A1:I102" totalsRowCount="1" headerRowDxfId="54" headerRowBorderDxfId="53" tableBorderDxfId="52">
  <autoFilter ref="A1:I101" xr:uid="{234F9948-A080-4E29-BB8B-A7858E90E79B}"/>
  <tableColumns count="9">
    <tableColumn id="1" xr3:uid="{4F85D520-4777-406A-9ACC-E848751E67DC}" name="Product_ID" dataDxfId="51" totalsRowDxfId="50"/>
    <tableColumn id="2" xr3:uid="{889D8C44-B642-49DE-894E-56D79C4C52DB}" name="Product_Name" dataDxfId="49" totalsRowDxfId="48"/>
    <tableColumn id="3" xr3:uid="{0B85765D-8D0D-462E-9066-919FAC9C181E}" name="Category" dataDxfId="47" totalsRowDxfId="46"/>
    <tableColumn id="4" xr3:uid="{1FAAB6FA-3951-4871-B6B0-DE03ECEF256C}" name="Sub_Category" dataDxfId="45" totalsRowDxfId="44"/>
    <tableColumn id="5" xr3:uid="{FB41BCFE-40C9-43B3-9542-3CBB2F590C2D}" name="Brand" dataDxfId="43" totalsRowDxfId="42"/>
    <tableColumn id="6" xr3:uid="{4F4766B6-8900-492E-86B6-259B63F9CED9}" name="Cost" dataDxfId="41"/>
    <tableColumn id="8" xr3:uid="{1FD3012E-726B-49AB-A049-1A9C5505D4E4}" name="Final Cost" totalsRowFunction="custom" dataDxfId="40" totalsRowDxfId="39">
      <calculatedColumnFormula>ROUND(IF(ISBLANK(Product_Data_1[[#This Row],[Cost]]),AVERAGE(Product_Data_1[Cost]),Product_Data_1[[#This Row],[Cost]]),0)</calculatedColumnFormula>
      <totalsRowFormula>SUM(Product_Data_1[Final Cost])</totalsRowFormula>
    </tableColumn>
    <tableColumn id="7" xr3:uid="{168F1D26-77F8-4DE0-BA87-47FC7D2CB41D}" name="Stock" dataDxfId="38"/>
    <tableColumn id="9" xr3:uid="{42EA740A-A436-4ADC-91E2-5251535356BA}" name="Final Stock" totalsRowFunction="custom" dataDxfId="37" totalsRowDxfId="36">
      <calculatedColumnFormula>ROUND(IF(ISBLANK(Product_Data_1[[#This Row],[Stock]]),AVERAGE(Product_Data_1[Stock]),Product_Data_1[[#This Row],[Stock]]),0)</calculatedColumnFormula>
      <totalsRowFormula>SUM(Product_Data_1[Final Stock])</totalsRowFormula>
    </tableColumn>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2203B796-932E-463F-A824-DA6999BDC402}" name="Store_Data_1" displayName="Store_Data_1" ref="A1:E21" totalsRowShown="0" headerRowDxfId="35" headerRowBorderDxfId="34" tableBorderDxfId="33" totalsRowBorderDxfId="32">
  <autoFilter ref="A1:E21" xr:uid="{2203B796-932E-463F-A824-DA6999BDC402}"/>
  <tableColumns count="5">
    <tableColumn id="1" xr3:uid="{0DADEEBB-85E1-453F-B062-9A41339966B9}" name="Store_ID" dataDxfId="31"/>
    <tableColumn id="2" xr3:uid="{3BC46192-4B5F-4259-82B1-DC3B04B16B72}" name="Store_Name" dataDxfId="30"/>
    <tableColumn id="3" xr3:uid="{8540ED14-B353-4EF5-8567-6167AD6AF05B}" name="Region" dataDxfId="29"/>
    <tableColumn id="4" xr3:uid="{8BA3EFC6-C5ED-4D7D-A8B3-299D962164CF}" name="City" dataDxfId="28"/>
    <tableColumn id="5" xr3:uid="{BC532727-390B-4940-9187-07838BF2A2CE}" name="Store_Type" dataDxfId="27"/>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6FD3B1E9-54D0-47D2-9428-F7AF48832173}" name="Salesdta" displayName="Salesdta" ref="A1:S493" totalsRowShown="0" headerRowDxfId="26" headerRowBorderDxfId="25" tableBorderDxfId="24" totalsRowBorderDxfId="23">
  <autoFilter ref="A1:S493" xr:uid="{6FD3B1E9-54D0-47D2-9428-F7AF48832173}"/>
  <tableColumns count="19">
    <tableColumn id="1" xr3:uid="{D98C54F2-2B14-46BD-97AE-1155565A1895}" name="Sales_ID" dataDxfId="22"/>
    <tableColumn id="2" xr3:uid="{418DCAF8-7416-4A8A-B220-E3189CCB83F9}" name="Order_Date" dataDxfId="21"/>
    <tableColumn id="28" xr3:uid="{4B123E46-DCD0-4808-8B06-AAE40548B629}" name="Month" dataDxfId="20">
      <calculatedColumnFormula>TEXT(Salesdta[[#This Row],[Order_Date]],"mmmm")</calculatedColumnFormula>
    </tableColumn>
    <tableColumn id="3" xr3:uid="{CA57246A-9D30-4661-9E44-BFC4543E5766}" name="Customer_ID" dataDxfId="19"/>
    <tableColumn id="18" xr3:uid="{4DB05913-14F2-414C-A7BE-18E5B675E5F4}" name="Gender" dataDxfId="18">
      <calculatedColumnFormula>VLOOKUP(Salesdta[[#This Row],[Customer_ID]],Customer_Data_[],6,TRUE)</calculatedColumnFormula>
    </tableColumn>
    <tableColumn id="19" xr3:uid="{FB395E57-DA04-476C-A67D-B8CE6AB00BAE}" name="State" dataDxfId="17">
      <calculatedColumnFormula>VLOOKUP(Salesdta[[#This Row],[Customer_ID]],Customer_Data_[],8,TRUE)</calculatedColumnFormula>
    </tableColumn>
    <tableColumn id="4" xr3:uid="{8CB69F6A-93E9-4D05-99DC-9B707543FE20}" name="Product_ID" dataDxfId="16"/>
    <tableColumn id="14" xr3:uid="{6D286414-E235-4B57-97C1-D5D74609BACB}" name="Product Names" dataDxfId="15">
      <calculatedColumnFormula>VLOOKUP(Salesdta[[#This Row],[Product_ID]],Product_Data_1[],2,TRUE)</calculatedColumnFormula>
    </tableColumn>
    <tableColumn id="20" xr3:uid="{6848F21C-1E52-4F1F-A1BD-B5DCDF85981F}" name="Category" dataDxfId="14">
      <calculatedColumnFormula>VLOOKUP(Salesdta[[#This Row],[Product_ID]],Product_Data_1[],3,TRUE)</calculatedColumnFormula>
    </tableColumn>
    <tableColumn id="21" xr3:uid="{6BF3C345-A344-4FE2-9354-555CA64D4FD8}" name="Product cost" dataDxfId="13">
      <calculatedColumnFormula>VLOOKUP(Salesdta[[#This Row],[Product_ID]],Product_Data_1[],7,TRUE)</calculatedColumnFormula>
    </tableColumn>
    <tableColumn id="5" xr3:uid="{333E01B0-0BD9-4AB7-8732-3B17279050F6}" name="Store_ID" dataDxfId="12"/>
    <tableColumn id="22" xr3:uid="{EF1D0238-14C7-4747-A66F-2C1D679C947E}" name="Region" dataDxfId="11">
      <calculatedColumnFormula>VLOOKUP(Salesdta[[#This Row],[Store_ID]],Store_Data_1[],3,TRUE)</calculatedColumnFormula>
    </tableColumn>
    <tableColumn id="6" xr3:uid="{EB1683F8-5E2F-41CF-A902-C3D7B672B3FE}" name="Final Quantity" dataDxfId="10"/>
    <tableColumn id="7" xr3:uid="{16884578-4413-476A-BA20-6AA6975434D2}" name="Final Unit_Price" dataDxfId="9"/>
    <tableColumn id="8" xr3:uid="{13D599E0-CEDC-4677-B1FC-7FCFF20A8328}" name="Discount" dataDxfId="8"/>
    <tableColumn id="9" xr3:uid="{2CC6256C-A581-4ED9-B6CC-1A5F1DB6BC78}" name="Payment_Type" dataDxfId="7"/>
    <tableColumn id="10" xr3:uid="{85FAF453-B75D-4D20-852A-894664B14928}" name="Final Revenue" dataDxfId="6"/>
    <tableColumn id="16" xr3:uid="{59AD7813-D8B1-44A7-B43F-BB0B25F2F178}" name="Profit estimate" dataDxfId="5">
      <calculatedColumnFormula>Salesdta[[#This Row],[Final Revenue]]-Salesdta[[#This Row],[Product cost]]</calculatedColumnFormula>
    </tableColumn>
    <tableColumn id="25" xr3:uid="{D49F8930-A8EA-47C5-AA86-8679737D8080}" name="Picknik" dataDxfId="4">
      <calculatedColumnFormula>IF(Salesdta[[#This Row],[Final Revenue]]&gt;1000,"Selected","Not Selected")</calculatedColumnFormula>
    </tableColumn>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3.xml"/><Relationship Id="rId7"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1B1E82-5261-4D78-AA28-1B6B7123D403}">
  <dimension ref="A1:J501"/>
  <sheetViews>
    <sheetView topLeftCell="B1" workbookViewId="0">
      <selection activeCell="D4" sqref="D4"/>
    </sheetView>
  </sheetViews>
  <sheetFormatPr defaultRowHeight="14.5" x14ac:dyDescent="0.35"/>
  <cols>
    <col min="1" max="1" width="14.08984375" bestFit="1" customWidth="1"/>
    <col min="2" max="2" width="20.453125" bestFit="1" customWidth="1"/>
    <col min="3" max="4" width="20.453125" customWidth="1"/>
    <col min="5" max="5" width="9.26953125" bestFit="1" customWidth="1"/>
    <col min="6" max="7" width="21.08984375" bestFit="1" customWidth="1"/>
    <col min="8" max="9" width="14.1796875" bestFit="1" customWidth="1"/>
    <col min="10" max="10" width="14.1796875" customWidth="1"/>
  </cols>
  <sheetData>
    <row r="1" spans="1:10" x14ac:dyDescent="0.35">
      <c r="A1" s="4" t="s">
        <v>0</v>
      </c>
      <c r="B1" s="5" t="s">
        <v>1</v>
      </c>
      <c r="C1" s="5" t="s">
        <v>2446</v>
      </c>
      <c r="D1" s="5" t="s">
        <v>2444</v>
      </c>
      <c r="E1" s="5" t="s">
        <v>2</v>
      </c>
      <c r="F1" s="5" t="s">
        <v>3</v>
      </c>
      <c r="G1" s="5" t="s">
        <v>4</v>
      </c>
      <c r="H1" s="5" t="s">
        <v>5</v>
      </c>
      <c r="I1" s="3" t="s">
        <v>6</v>
      </c>
      <c r="J1" s="5" t="s">
        <v>2448</v>
      </c>
    </row>
    <row r="2" spans="1:10" x14ac:dyDescent="0.35">
      <c r="A2" s="6" t="s">
        <v>7</v>
      </c>
      <c r="B2" s="1" t="s">
        <v>2318</v>
      </c>
      <c r="C2" s="1" t="str">
        <f>TRIM(Customer_Data_[[#This Row],[Name]])</f>
        <v>sheena bonilla</v>
      </c>
      <c r="D2" s="1" t="str">
        <f>PROPER(Customer_Data_[[#This Row],[Name 1]])</f>
        <v>Sheena Bonilla</v>
      </c>
      <c r="E2" s="1">
        <v>55</v>
      </c>
      <c r="F2" s="1" t="s">
        <v>8</v>
      </c>
      <c r="G2" s="1" t="s">
        <v>9</v>
      </c>
      <c r="H2" s="1" t="s">
        <v>10</v>
      </c>
      <c r="I2" s="7"/>
      <c r="J2" s="5" t="str">
        <f>IF(ISBLANK(Customer_Data_[[#This Row],[Loyalty_Level]]),"Silver",Customer_Data_[[#This Row],[Loyalty_Level]])</f>
        <v>Silver</v>
      </c>
    </row>
    <row r="3" spans="1:10" x14ac:dyDescent="0.35">
      <c r="A3" s="6" t="s">
        <v>12</v>
      </c>
      <c r="B3" s="1" t="s">
        <v>13</v>
      </c>
      <c r="C3" s="1" t="str">
        <f>TRIM(Customer_Data_[[#This Row],[Name]])</f>
        <v>Eugene Nelson</v>
      </c>
      <c r="D3" s="1" t="str">
        <f>PROPER(Customer_Data_[[#This Row],[Name 1]])</f>
        <v>Eugene Nelson</v>
      </c>
      <c r="E3" s="1">
        <v>26</v>
      </c>
      <c r="F3" s="1" t="s">
        <v>14</v>
      </c>
      <c r="G3" s="1" t="s">
        <v>15</v>
      </c>
      <c r="H3" s="1" t="s">
        <v>16</v>
      </c>
      <c r="I3" s="7" t="s">
        <v>17</v>
      </c>
      <c r="J3" s="1" t="str">
        <f>IF(ISBLANK(Customer_Data_[[#This Row],[Loyalty_Level]]),"Silver",Customer_Data_[[#This Row],[Loyalty_Level]])</f>
        <v>Platinum</v>
      </c>
    </row>
    <row r="4" spans="1:10" x14ac:dyDescent="0.35">
      <c r="A4" s="6" t="s">
        <v>18</v>
      </c>
      <c r="B4" s="1" t="s">
        <v>2317</v>
      </c>
      <c r="C4" s="1" t="str">
        <f>TRIM(Customer_Data_[[#This Row],[Name]])</f>
        <v>dr. Benjamin Price</v>
      </c>
      <c r="D4" s="1" t="str">
        <f>PROPER(Customer_Data_[[#This Row],[Name 1]])</f>
        <v>Dr. Benjamin Price</v>
      </c>
      <c r="E4" s="1">
        <v>29</v>
      </c>
      <c r="F4" s="1" t="s">
        <v>14</v>
      </c>
      <c r="G4" s="1" t="s">
        <v>19</v>
      </c>
      <c r="H4" s="1" t="s">
        <v>20</v>
      </c>
      <c r="I4" s="7" t="s">
        <v>17</v>
      </c>
      <c r="J4" s="1" t="str">
        <f>IF(ISBLANK(Customer_Data_[[#This Row],[Loyalty_Level]]),"Silver",Customer_Data_[[#This Row],[Loyalty_Level]])</f>
        <v>Platinum</v>
      </c>
    </row>
    <row r="5" spans="1:10" x14ac:dyDescent="0.35">
      <c r="A5" s="6" t="s">
        <v>21</v>
      </c>
      <c r="B5" s="1" t="s">
        <v>2319</v>
      </c>
      <c r="C5" s="1" t="str">
        <f>TRIM(Customer_Data_[[#This Row],[Name]])</f>
        <v>jeremy harris</v>
      </c>
      <c r="D5" s="1" t="str">
        <f>PROPER(Customer_Data_[[#This Row],[Name 1]])</f>
        <v>Jeremy Harris</v>
      </c>
      <c r="E5" s="1">
        <v>59</v>
      </c>
      <c r="F5" s="1" t="s">
        <v>14</v>
      </c>
      <c r="G5" s="1" t="s">
        <v>22</v>
      </c>
      <c r="H5" s="1" t="s">
        <v>23</v>
      </c>
      <c r="I5" s="7" t="s">
        <v>24</v>
      </c>
      <c r="J5" s="1" t="str">
        <f>IF(ISBLANK(Customer_Data_[[#This Row],[Loyalty_Level]]),"Silver",Customer_Data_[[#This Row],[Loyalty_Level]])</f>
        <v>Bronze</v>
      </c>
    </row>
    <row r="6" spans="1:10" x14ac:dyDescent="0.35">
      <c r="A6" s="6" t="s">
        <v>25</v>
      </c>
      <c r="B6" s="1" t="s">
        <v>26</v>
      </c>
      <c r="C6" s="1" t="str">
        <f>TRIM(Customer_Data_[[#This Row],[Name]])</f>
        <v>Caroline Collins</v>
      </c>
      <c r="D6" s="1" t="str">
        <f>PROPER(Customer_Data_[[#This Row],[Name 1]])</f>
        <v>Caroline Collins</v>
      </c>
      <c r="E6" s="1">
        <v>64</v>
      </c>
      <c r="F6" s="1" t="s">
        <v>14</v>
      </c>
      <c r="G6" s="1" t="s">
        <v>27</v>
      </c>
      <c r="H6" s="1" t="s">
        <v>28</v>
      </c>
      <c r="I6" s="7" t="s">
        <v>29</v>
      </c>
      <c r="J6" s="1" t="str">
        <f>IF(ISBLANK(Customer_Data_[[#This Row],[Loyalty_Level]]),"Silver",Customer_Data_[[#This Row],[Loyalty_Level]])</f>
        <v>Silver</v>
      </c>
    </row>
    <row r="7" spans="1:10" x14ac:dyDescent="0.35">
      <c r="A7" s="6" t="s">
        <v>30</v>
      </c>
      <c r="B7" s="1" t="s">
        <v>31</v>
      </c>
      <c r="C7" s="1" t="str">
        <f>TRIM(Customer_Data_[[#This Row],[Name]])</f>
        <v>Christine Vaughn</v>
      </c>
      <c r="D7" s="1" t="str">
        <f>PROPER(Customer_Data_[[#This Row],[Name 1]])</f>
        <v>Christine Vaughn</v>
      </c>
      <c r="E7" s="1">
        <v>24</v>
      </c>
      <c r="F7" s="1" t="s">
        <v>8</v>
      </c>
      <c r="G7" s="1" t="s">
        <v>32</v>
      </c>
      <c r="H7" s="1" t="s">
        <v>33</v>
      </c>
      <c r="I7" s="7" t="s">
        <v>24</v>
      </c>
      <c r="J7" s="1" t="str">
        <f>IF(ISBLANK(Customer_Data_[[#This Row],[Loyalty_Level]]),"Silver",Customer_Data_[[#This Row],[Loyalty_Level]])</f>
        <v>Bronze</v>
      </c>
    </row>
    <row r="8" spans="1:10" x14ac:dyDescent="0.35">
      <c r="A8" s="6" t="s">
        <v>34</v>
      </c>
      <c r="B8" s="1" t="s">
        <v>35</v>
      </c>
      <c r="C8" s="1" t="str">
        <f>TRIM(Customer_Data_[[#This Row],[Name]])</f>
        <v>Amber Jackson</v>
      </c>
      <c r="D8" s="1" t="str">
        <f>PROPER(Customer_Data_[[#This Row],[Name 1]])</f>
        <v>Amber Jackson</v>
      </c>
      <c r="E8" s="1">
        <v>29</v>
      </c>
      <c r="F8" s="1" t="s">
        <v>14</v>
      </c>
      <c r="G8" s="1" t="s">
        <v>36</v>
      </c>
      <c r="H8" s="1" t="s">
        <v>37</v>
      </c>
      <c r="I8" s="7" t="s">
        <v>17</v>
      </c>
      <c r="J8" s="1" t="str">
        <f>IF(ISBLANK(Customer_Data_[[#This Row],[Loyalty_Level]]),"Silver",Customer_Data_[[#This Row],[Loyalty_Level]])</f>
        <v>Platinum</v>
      </c>
    </row>
    <row r="9" spans="1:10" x14ac:dyDescent="0.35">
      <c r="A9" s="6" t="s">
        <v>38</v>
      </c>
      <c r="B9" s="1" t="s">
        <v>39</v>
      </c>
      <c r="C9" s="1" t="str">
        <f>TRIM(Customer_Data_[[#This Row],[Name]])</f>
        <v>Daniel Boyd</v>
      </c>
      <c r="D9" s="1" t="str">
        <f>PROPER(Customer_Data_[[#This Row],[Name 1]])</f>
        <v>Daniel Boyd</v>
      </c>
      <c r="E9" s="1">
        <v>29</v>
      </c>
      <c r="F9" s="1" t="s">
        <v>14</v>
      </c>
      <c r="G9" s="1" t="s">
        <v>40</v>
      </c>
      <c r="H9" s="1" t="s">
        <v>41</v>
      </c>
      <c r="I9" s="7" t="s">
        <v>24</v>
      </c>
      <c r="J9" s="1" t="str">
        <f>IF(ISBLANK(Customer_Data_[[#This Row],[Loyalty_Level]]),"Silver",Customer_Data_[[#This Row],[Loyalty_Level]])</f>
        <v>Bronze</v>
      </c>
    </row>
    <row r="10" spans="1:10" x14ac:dyDescent="0.35">
      <c r="A10" s="6" t="s">
        <v>42</v>
      </c>
      <c r="B10" s="1" t="s">
        <v>43</v>
      </c>
      <c r="C10" s="1" t="str">
        <f>TRIM(Customer_Data_[[#This Row],[Name]])</f>
        <v>Melissa Howard</v>
      </c>
      <c r="D10" s="1" t="str">
        <f>PROPER(Customer_Data_[[#This Row],[Name 1]])</f>
        <v>Melissa Howard</v>
      </c>
      <c r="E10" s="1">
        <v>53</v>
      </c>
      <c r="F10" s="1" t="s">
        <v>14</v>
      </c>
      <c r="G10" s="1" t="s">
        <v>44</v>
      </c>
      <c r="H10" s="1" t="s">
        <v>45</v>
      </c>
      <c r="I10" s="7" t="s">
        <v>11</v>
      </c>
      <c r="J10" s="1" t="str">
        <f>IF(ISBLANK(Customer_Data_[[#This Row],[Loyalty_Level]]),"Silver",Customer_Data_[[#This Row],[Loyalty_Level]])</f>
        <v>Gold</v>
      </c>
    </row>
    <row r="11" spans="1:10" x14ac:dyDescent="0.35">
      <c r="A11" s="6" t="s">
        <v>46</v>
      </c>
      <c r="B11" s="1" t="s">
        <v>47</v>
      </c>
      <c r="C11" s="1" t="str">
        <f>TRIM(Customer_Data_[[#This Row],[Name]])</f>
        <v>Ms. Maria Leach</v>
      </c>
      <c r="D11" s="1" t="str">
        <f>PROPER(Customer_Data_[[#This Row],[Name 1]])</f>
        <v>Ms. Maria Leach</v>
      </c>
      <c r="E11" s="1">
        <v>64</v>
      </c>
      <c r="F11" s="1" t="s">
        <v>8</v>
      </c>
      <c r="G11" s="1" t="s">
        <v>48</v>
      </c>
      <c r="H11" s="1" t="s">
        <v>49</v>
      </c>
      <c r="I11" s="7" t="s">
        <v>17</v>
      </c>
      <c r="J11" s="1" t="str">
        <f>IF(ISBLANK(Customer_Data_[[#This Row],[Loyalty_Level]]),"Silver",Customer_Data_[[#This Row],[Loyalty_Level]])</f>
        <v>Platinum</v>
      </c>
    </row>
    <row r="12" spans="1:10" x14ac:dyDescent="0.35">
      <c r="A12" s="6" t="s">
        <v>50</v>
      </c>
      <c r="B12" s="1" t="s">
        <v>51</v>
      </c>
      <c r="C12" s="1" t="str">
        <f>TRIM(Customer_Data_[[#This Row],[Name]])</f>
        <v>Dominic Page</v>
      </c>
      <c r="D12" s="1" t="str">
        <f>PROPER(Customer_Data_[[#This Row],[Name 1]])</f>
        <v>Dominic Page</v>
      </c>
      <c r="E12" s="1">
        <v>53</v>
      </c>
      <c r="F12" s="1" t="s">
        <v>8</v>
      </c>
      <c r="G12" s="1" t="s">
        <v>52</v>
      </c>
      <c r="H12" s="1" t="s">
        <v>49</v>
      </c>
      <c r="I12" s="7" t="s">
        <v>24</v>
      </c>
      <c r="J12" s="1" t="str">
        <f>IF(ISBLANK(Customer_Data_[[#This Row],[Loyalty_Level]]),"Silver",Customer_Data_[[#This Row],[Loyalty_Level]])</f>
        <v>Bronze</v>
      </c>
    </row>
    <row r="13" spans="1:10" x14ac:dyDescent="0.35">
      <c r="A13" s="6" t="s">
        <v>53</v>
      </c>
      <c r="B13" s="1" t="s">
        <v>54</v>
      </c>
      <c r="C13" s="1" t="str">
        <f>TRIM(Customer_Data_[[#This Row],[Name]])</f>
        <v>Brian Lopez</v>
      </c>
      <c r="D13" s="1" t="str">
        <f>PROPER(Customer_Data_[[#This Row],[Name 1]])</f>
        <v>Brian Lopez</v>
      </c>
      <c r="E13" s="1">
        <v>28</v>
      </c>
      <c r="F13" s="1" t="s">
        <v>14</v>
      </c>
      <c r="G13" s="1" t="s">
        <v>55</v>
      </c>
      <c r="H13" s="1" t="s">
        <v>56</v>
      </c>
      <c r="I13" s="7" t="s">
        <v>11</v>
      </c>
      <c r="J13" s="1" t="str">
        <f>IF(ISBLANK(Customer_Data_[[#This Row],[Loyalty_Level]]),"Silver",Customer_Data_[[#This Row],[Loyalty_Level]])</f>
        <v>Gold</v>
      </c>
    </row>
    <row r="14" spans="1:10" x14ac:dyDescent="0.35">
      <c r="A14" s="6" t="s">
        <v>57</v>
      </c>
      <c r="B14" s="1" t="s">
        <v>58</v>
      </c>
      <c r="C14" s="1" t="str">
        <f>TRIM(Customer_Data_[[#This Row],[Name]])</f>
        <v>Kenneth Lambert</v>
      </c>
      <c r="D14" s="1" t="str">
        <f>PROPER(Customer_Data_[[#This Row],[Name 1]])</f>
        <v>Kenneth Lambert</v>
      </c>
      <c r="E14" s="1">
        <v>55</v>
      </c>
      <c r="F14" s="1" t="s">
        <v>14</v>
      </c>
      <c r="G14" s="1" t="s">
        <v>59</v>
      </c>
      <c r="H14" s="1" t="s">
        <v>60</v>
      </c>
      <c r="I14" s="7" t="s">
        <v>17</v>
      </c>
      <c r="J14" s="1" t="str">
        <f>IF(ISBLANK(Customer_Data_[[#This Row],[Loyalty_Level]]),"Silver",Customer_Data_[[#This Row],[Loyalty_Level]])</f>
        <v>Platinum</v>
      </c>
    </row>
    <row r="15" spans="1:10" x14ac:dyDescent="0.35">
      <c r="A15" s="6" t="s">
        <v>61</v>
      </c>
      <c r="B15" s="1" t="s">
        <v>62</v>
      </c>
      <c r="C15" s="1" t="str">
        <f>TRIM(Customer_Data_[[#This Row],[Name]])</f>
        <v>Nathan Hernandez</v>
      </c>
      <c r="D15" s="1" t="str">
        <f>PROPER(Customer_Data_[[#This Row],[Name 1]])</f>
        <v>Nathan Hernandez</v>
      </c>
      <c r="E15" s="1">
        <v>32</v>
      </c>
      <c r="F15" s="1" t="s">
        <v>14</v>
      </c>
      <c r="G15" s="1" t="s">
        <v>63</v>
      </c>
      <c r="H15" s="1" t="s">
        <v>64</v>
      </c>
      <c r="I15" s="7" t="s">
        <v>29</v>
      </c>
      <c r="J15" s="1" t="str">
        <f>IF(ISBLANK(Customer_Data_[[#This Row],[Loyalty_Level]]),"Silver",Customer_Data_[[#This Row],[Loyalty_Level]])</f>
        <v>Silver</v>
      </c>
    </row>
    <row r="16" spans="1:10" x14ac:dyDescent="0.35">
      <c r="A16" s="6" t="s">
        <v>65</v>
      </c>
      <c r="B16" s="1" t="s">
        <v>66</v>
      </c>
      <c r="C16" s="1" t="str">
        <f>TRIM(Customer_Data_[[#This Row],[Name]])</f>
        <v>Ashley Cohen</v>
      </c>
      <c r="D16" s="1" t="str">
        <f>PROPER(Customer_Data_[[#This Row],[Name 1]])</f>
        <v>Ashley Cohen</v>
      </c>
      <c r="E16" s="1">
        <v>53</v>
      </c>
      <c r="F16" s="1" t="s">
        <v>14</v>
      </c>
      <c r="G16" s="1" t="s">
        <v>67</v>
      </c>
      <c r="H16" s="1" t="s">
        <v>68</v>
      </c>
      <c r="I16" s="7" t="s">
        <v>29</v>
      </c>
      <c r="J16" s="1" t="str">
        <f>IF(ISBLANK(Customer_Data_[[#This Row],[Loyalty_Level]]),"Silver",Customer_Data_[[#This Row],[Loyalty_Level]])</f>
        <v>Silver</v>
      </c>
    </row>
    <row r="17" spans="1:10" x14ac:dyDescent="0.35">
      <c r="A17" s="6" t="s">
        <v>69</v>
      </c>
      <c r="B17" s="1" t="s">
        <v>70</v>
      </c>
      <c r="C17" s="1" t="str">
        <f>TRIM(Customer_Data_[[#This Row],[Name]])</f>
        <v>Laura Alvarez</v>
      </c>
      <c r="D17" s="1" t="str">
        <f>PROPER(Customer_Data_[[#This Row],[Name 1]])</f>
        <v>Laura Alvarez</v>
      </c>
      <c r="E17" s="1">
        <v>49</v>
      </c>
      <c r="F17" s="1" t="s">
        <v>14</v>
      </c>
      <c r="G17" s="1" t="s">
        <v>71</v>
      </c>
      <c r="H17" s="1" t="s">
        <v>72</v>
      </c>
      <c r="I17" s="7" t="s">
        <v>17</v>
      </c>
      <c r="J17" s="1" t="str">
        <f>IF(ISBLANK(Customer_Data_[[#This Row],[Loyalty_Level]]),"Silver",Customer_Data_[[#This Row],[Loyalty_Level]])</f>
        <v>Platinum</v>
      </c>
    </row>
    <row r="18" spans="1:10" x14ac:dyDescent="0.35">
      <c r="A18" s="6" t="s">
        <v>73</v>
      </c>
      <c r="B18" s="1" t="s">
        <v>74</v>
      </c>
      <c r="C18" s="1" t="str">
        <f>TRIM(Customer_Data_[[#This Row],[Name]])</f>
        <v>John Scott</v>
      </c>
      <c r="D18" s="1" t="str">
        <f>PROPER(Customer_Data_[[#This Row],[Name 1]])</f>
        <v>John Scott</v>
      </c>
      <c r="E18" s="1">
        <v>24</v>
      </c>
      <c r="F18" s="1" t="s">
        <v>14</v>
      </c>
      <c r="G18" s="1" t="s">
        <v>75</v>
      </c>
      <c r="H18" s="1" t="s">
        <v>49</v>
      </c>
      <c r="I18" s="7" t="s">
        <v>24</v>
      </c>
      <c r="J18" s="1" t="str">
        <f>IF(ISBLANK(Customer_Data_[[#This Row],[Loyalty_Level]]),"Silver",Customer_Data_[[#This Row],[Loyalty_Level]])</f>
        <v>Bronze</v>
      </c>
    </row>
    <row r="19" spans="1:10" x14ac:dyDescent="0.35">
      <c r="A19" s="6" t="s">
        <v>76</v>
      </c>
      <c r="B19" s="1" t="s">
        <v>77</v>
      </c>
      <c r="C19" s="1" t="str">
        <f>TRIM(Customer_Data_[[#This Row],[Name]])</f>
        <v>Adam Cruz</v>
      </c>
      <c r="D19" s="1" t="str">
        <f>PROPER(Customer_Data_[[#This Row],[Name 1]])</f>
        <v>Adam Cruz</v>
      </c>
      <c r="E19" s="1">
        <v>60</v>
      </c>
      <c r="F19" s="1" t="s">
        <v>14</v>
      </c>
      <c r="G19" s="1" t="s">
        <v>78</v>
      </c>
      <c r="H19" s="1" t="s">
        <v>79</v>
      </c>
      <c r="I19" s="7" t="s">
        <v>17</v>
      </c>
      <c r="J19" s="1" t="str">
        <f>IF(ISBLANK(Customer_Data_[[#This Row],[Loyalty_Level]]),"Silver",Customer_Data_[[#This Row],[Loyalty_Level]])</f>
        <v>Platinum</v>
      </c>
    </row>
    <row r="20" spans="1:10" x14ac:dyDescent="0.35">
      <c r="A20" s="6" t="s">
        <v>80</v>
      </c>
      <c r="B20" s="1" t="s">
        <v>81</v>
      </c>
      <c r="C20" s="1" t="str">
        <f>TRIM(Customer_Data_[[#This Row],[Name]])</f>
        <v>Rhonda Moss</v>
      </c>
      <c r="D20" s="1" t="str">
        <f>PROPER(Customer_Data_[[#This Row],[Name 1]])</f>
        <v>Rhonda Moss</v>
      </c>
      <c r="E20" s="1">
        <v>43</v>
      </c>
      <c r="F20" s="1" t="s">
        <v>8</v>
      </c>
      <c r="G20" s="1" t="s">
        <v>82</v>
      </c>
      <c r="H20" s="1" t="s">
        <v>60</v>
      </c>
      <c r="I20" s="7"/>
      <c r="J20" s="1" t="str">
        <f>IF(ISBLANK(Customer_Data_[[#This Row],[Loyalty_Level]]),"Silver",Customer_Data_[[#This Row],[Loyalty_Level]])</f>
        <v>Silver</v>
      </c>
    </row>
    <row r="21" spans="1:10" x14ac:dyDescent="0.35">
      <c r="A21" s="6" t="s">
        <v>83</v>
      </c>
      <c r="B21" s="1" t="s">
        <v>84</v>
      </c>
      <c r="C21" s="1" t="str">
        <f>TRIM(Customer_Data_[[#This Row],[Name]])</f>
        <v>Michael Torres</v>
      </c>
      <c r="D21" s="1" t="str">
        <f>PROPER(Customer_Data_[[#This Row],[Name 1]])</f>
        <v>Michael Torres</v>
      </c>
      <c r="E21" s="1">
        <v>46</v>
      </c>
      <c r="F21" s="1" t="s">
        <v>14</v>
      </c>
      <c r="G21" s="1" t="s">
        <v>85</v>
      </c>
      <c r="H21" s="1" t="s">
        <v>86</v>
      </c>
      <c r="I21" s="7" t="s">
        <v>17</v>
      </c>
      <c r="J21" s="1" t="str">
        <f>IF(ISBLANK(Customer_Data_[[#This Row],[Loyalty_Level]]),"Silver",Customer_Data_[[#This Row],[Loyalty_Level]])</f>
        <v>Platinum</v>
      </c>
    </row>
    <row r="22" spans="1:10" x14ac:dyDescent="0.35">
      <c r="A22" s="6" t="s">
        <v>87</v>
      </c>
      <c r="B22" s="1" t="s">
        <v>88</v>
      </c>
      <c r="C22" s="1" t="str">
        <f>TRIM(Customer_Data_[[#This Row],[Name]])</f>
        <v>Bridget Allen</v>
      </c>
      <c r="D22" s="1" t="str">
        <f>PROPER(Customer_Data_[[#This Row],[Name 1]])</f>
        <v>Bridget Allen</v>
      </c>
      <c r="E22" s="1">
        <v>59</v>
      </c>
      <c r="F22" s="1" t="s">
        <v>8</v>
      </c>
      <c r="G22" s="1" t="s">
        <v>89</v>
      </c>
      <c r="H22" s="1" t="s">
        <v>90</v>
      </c>
      <c r="I22" s="7" t="s">
        <v>29</v>
      </c>
      <c r="J22" s="1" t="str">
        <f>IF(ISBLANK(Customer_Data_[[#This Row],[Loyalty_Level]]),"Silver",Customer_Data_[[#This Row],[Loyalty_Level]])</f>
        <v>Silver</v>
      </c>
    </row>
    <row r="23" spans="1:10" x14ac:dyDescent="0.35">
      <c r="A23" s="6" t="s">
        <v>91</v>
      </c>
      <c r="B23" s="1" t="s">
        <v>92</v>
      </c>
      <c r="C23" s="1" t="str">
        <f>TRIM(Customer_Data_[[#This Row],[Name]])</f>
        <v>Jeff Martinez</v>
      </c>
      <c r="D23" s="1" t="str">
        <f>PROPER(Customer_Data_[[#This Row],[Name 1]])</f>
        <v>Jeff Martinez</v>
      </c>
      <c r="E23" s="1">
        <v>36</v>
      </c>
      <c r="F23" s="1" t="s">
        <v>14</v>
      </c>
      <c r="G23" s="1" t="s">
        <v>93</v>
      </c>
      <c r="H23" s="1" t="s">
        <v>94</v>
      </c>
      <c r="I23" s="7" t="s">
        <v>11</v>
      </c>
      <c r="J23" s="1" t="str">
        <f>IF(ISBLANK(Customer_Data_[[#This Row],[Loyalty_Level]]),"Silver",Customer_Data_[[#This Row],[Loyalty_Level]])</f>
        <v>Gold</v>
      </c>
    </row>
    <row r="24" spans="1:10" x14ac:dyDescent="0.35">
      <c r="A24" s="6" t="s">
        <v>95</v>
      </c>
      <c r="B24" s="1" t="s">
        <v>2320</v>
      </c>
      <c r="C24" s="1" t="str">
        <f>TRIM(Customer_Data_[[#This Row],[Name]])</f>
        <v>paul fox</v>
      </c>
      <c r="D24" s="1" t="str">
        <f>PROPER(Customer_Data_[[#This Row],[Name 1]])</f>
        <v>Paul Fox</v>
      </c>
      <c r="E24" s="1">
        <v>33</v>
      </c>
      <c r="F24" s="1" t="s">
        <v>14</v>
      </c>
      <c r="G24" s="1" t="s">
        <v>96</v>
      </c>
      <c r="H24" s="1" t="s">
        <v>97</v>
      </c>
      <c r="I24" s="7" t="s">
        <v>29</v>
      </c>
      <c r="J24" s="1" t="str">
        <f>IF(ISBLANK(Customer_Data_[[#This Row],[Loyalty_Level]]),"Silver",Customer_Data_[[#This Row],[Loyalty_Level]])</f>
        <v>Silver</v>
      </c>
    </row>
    <row r="25" spans="1:10" x14ac:dyDescent="0.35">
      <c r="A25" s="6" t="s">
        <v>98</v>
      </c>
      <c r="B25" s="1" t="s">
        <v>99</v>
      </c>
      <c r="C25" s="1" t="str">
        <f>TRIM(Customer_Data_[[#This Row],[Name]])</f>
        <v>Jonathan Steele</v>
      </c>
      <c r="D25" s="1" t="str">
        <f>PROPER(Customer_Data_[[#This Row],[Name 1]])</f>
        <v>Jonathan Steele</v>
      </c>
      <c r="E25" s="1">
        <v>52</v>
      </c>
      <c r="F25" s="1" t="s">
        <v>14</v>
      </c>
      <c r="G25" s="1" t="s">
        <v>100</v>
      </c>
      <c r="H25" s="1" t="s">
        <v>33</v>
      </c>
      <c r="I25" s="7" t="s">
        <v>29</v>
      </c>
      <c r="J25" s="1" t="str">
        <f>IF(ISBLANK(Customer_Data_[[#This Row],[Loyalty_Level]]),"Silver",Customer_Data_[[#This Row],[Loyalty_Level]])</f>
        <v>Silver</v>
      </c>
    </row>
    <row r="26" spans="1:10" x14ac:dyDescent="0.35">
      <c r="A26" s="6" t="s">
        <v>101</v>
      </c>
      <c r="B26" s="1" t="s">
        <v>102</v>
      </c>
      <c r="C26" s="1" t="str">
        <f>TRIM(Customer_Data_[[#This Row],[Name]])</f>
        <v>Heather Collins</v>
      </c>
      <c r="D26" s="1" t="str">
        <f>PROPER(Customer_Data_[[#This Row],[Name 1]])</f>
        <v>Heather Collins</v>
      </c>
      <c r="E26" s="1">
        <v>40</v>
      </c>
      <c r="F26" s="1" t="s">
        <v>8</v>
      </c>
      <c r="G26" s="1" t="s">
        <v>103</v>
      </c>
      <c r="H26" s="1" t="s">
        <v>104</v>
      </c>
      <c r="I26" s="7" t="s">
        <v>17</v>
      </c>
      <c r="J26" s="1" t="str">
        <f>IF(ISBLANK(Customer_Data_[[#This Row],[Loyalty_Level]]),"Silver",Customer_Data_[[#This Row],[Loyalty_Level]])</f>
        <v>Platinum</v>
      </c>
    </row>
    <row r="27" spans="1:10" x14ac:dyDescent="0.35">
      <c r="A27" s="6" t="s">
        <v>105</v>
      </c>
      <c r="B27" s="1" t="s">
        <v>106</v>
      </c>
      <c r="C27" s="1" t="str">
        <f>TRIM(Customer_Data_[[#This Row],[Name]])</f>
        <v>Diana Taylor</v>
      </c>
      <c r="D27" s="1" t="str">
        <f>PROPER(Customer_Data_[[#This Row],[Name 1]])</f>
        <v>Diana Taylor</v>
      </c>
      <c r="E27" s="1">
        <v>59</v>
      </c>
      <c r="F27" s="1" t="s">
        <v>14</v>
      </c>
      <c r="G27" s="1" t="s">
        <v>107</v>
      </c>
      <c r="H27" s="1" t="s">
        <v>28</v>
      </c>
      <c r="I27" s="7" t="s">
        <v>24</v>
      </c>
      <c r="J27" s="1" t="str">
        <f>IF(ISBLANK(Customer_Data_[[#This Row],[Loyalty_Level]]),"Silver",Customer_Data_[[#This Row],[Loyalty_Level]])</f>
        <v>Bronze</v>
      </c>
    </row>
    <row r="28" spans="1:10" x14ac:dyDescent="0.35">
      <c r="A28" s="6" t="s">
        <v>108</v>
      </c>
      <c r="B28" s="1" t="s">
        <v>109</v>
      </c>
      <c r="C28" s="1" t="str">
        <f>TRIM(Customer_Data_[[#This Row],[Name]])</f>
        <v>Amber Carlson</v>
      </c>
      <c r="D28" s="1" t="str">
        <f>PROPER(Customer_Data_[[#This Row],[Name 1]])</f>
        <v>Amber Carlson</v>
      </c>
      <c r="E28" s="1">
        <v>18</v>
      </c>
      <c r="F28" s="1" t="s">
        <v>14</v>
      </c>
      <c r="G28" s="1" t="s">
        <v>110</v>
      </c>
      <c r="H28" s="1" t="s">
        <v>111</v>
      </c>
      <c r="I28" s="7" t="s">
        <v>11</v>
      </c>
      <c r="J28" s="1" t="str">
        <f>IF(ISBLANK(Customer_Data_[[#This Row],[Loyalty_Level]]),"Silver",Customer_Data_[[#This Row],[Loyalty_Level]])</f>
        <v>Gold</v>
      </c>
    </row>
    <row r="29" spans="1:10" x14ac:dyDescent="0.35">
      <c r="A29" s="6" t="s">
        <v>112</v>
      </c>
      <c r="B29" s="1" t="s">
        <v>113</v>
      </c>
      <c r="C29" s="1" t="str">
        <f>TRIM(Customer_Data_[[#This Row],[Name]])</f>
        <v>Leslie Johnson</v>
      </c>
      <c r="D29" s="1" t="str">
        <f>PROPER(Customer_Data_[[#This Row],[Name 1]])</f>
        <v>Leslie Johnson</v>
      </c>
      <c r="E29" s="1">
        <v>31</v>
      </c>
      <c r="F29" s="1" t="s">
        <v>8</v>
      </c>
      <c r="G29" s="1" t="s">
        <v>114</v>
      </c>
      <c r="H29" s="1" t="s">
        <v>115</v>
      </c>
      <c r="I29" s="7"/>
      <c r="J29" s="1" t="str">
        <f>IF(ISBLANK(Customer_Data_[[#This Row],[Loyalty_Level]]),"Silver",Customer_Data_[[#This Row],[Loyalty_Level]])</f>
        <v>Silver</v>
      </c>
    </row>
    <row r="30" spans="1:10" x14ac:dyDescent="0.35">
      <c r="A30" s="6" t="s">
        <v>116</v>
      </c>
      <c r="B30" s="1" t="s">
        <v>117</v>
      </c>
      <c r="C30" s="1" t="str">
        <f>TRIM(Customer_Data_[[#This Row],[Name]])</f>
        <v>Joshua Ryan</v>
      </c>
      <c r="D30" s="1" t="str">
        <f>PROPER(Customer_Data_[[#This Row],[Name 1]])</f>
        <v>Joshua Ryan</v>
      </c>
      <c r="E30" s="1">
        <v>27</v>
      </c>
      <c r="F30" s="1" t="s">
        <v>14</v>
      </c>
      <c r="G30" s="1" t="s">
        <v>118</v>
      </c>
      <c r="H30" s="1" t="s">
        <v>86</v>
      </c>
      <c r="I30" s="7" t="s">
        <v>17</v>
      </c>
      <c r="J30" s="1" t="str">
        <f>IF(ISBLANK(Customer_Data_[[#This Row],[Loyalty_Level]]),"Silver",Customer_Data_[[#This Row],[Loyalty_Level]])</f>
        <v>Platinum</v>
      </c>
    </row>
    <row r="31" spans="1:10" x14ac:dyDescent="0.35">
      <c r="A31" s="6" t="s">
        <v>119</v>
      </c>
      <c r="B31" s="1" t="s">
        <v>120</v>
      </c>
      <c r="C31" s="1" t="str">
        <f>TRIM(Customer_Data_[[#This Row],[Name]])</f>
        <v>David Arnold</v>
      </c>
      <c r="D31" s="1" t="str">
        <f>PROPER(Customer_Data_[[#This Row],[Name 1]])</f>
        <v>David Arnold</v>
      </c>
      <c r="E31" s="1">
        <v>54</v>
      </c>
      <c r="F31" s="1" t="s">
        <v>14</v>
      </c>
      <c r="G31" s="1" t="s">
        <v>121</v>
      </c>
      <c r="H31" s="1" t="s">
        <v>28</v>
      </c>
      <c r="I31" s="7" t="s">
        <v>29</v>
      </c>
      <c r="J31" s="1" t="str">
        <f>IF(ISBLANK(Customer_Data_[[#This Row],[Loyalty_Level]]),"Silver",Customer_Data_[[#This Row],[Loyalty_Level]])</f>
        <v>Silver</v>
      </c>
    </row>
    <row r="32" spans="1:10" x14ac:dyDescent="0.35">
      <c r="A32" s="6" t="s">
        <v>122</v>
      </c>
      <c r="B32" s="1" t="s">
        <v>123</v>
      </c>
      <c r="C32" s="1" t="str">
        <f>TRIM(Customer_Data_[[#This Row],[Name]])</f>
        <v>Jessica Acevedo</v>
      </c>
      <c r="D32" s="1" t="str">
        <f>PROPER(Customer_Data_[[#This Row],[Name 1]])</f>
        <v>Jessica Acevedo</v>
      </c>
      <c r="E32" s="1">
        <v>64</v>
      </c>
      <c r="F32" s="1" t="s">
        <v>14</v>
      </c>
      <c r="G32" s="1" t="s">
        <v>124</v>
      </c>
      <c r="H32" s="1" t="s">
        <v>49</v>
      </c>
      <c r="I32" s="7" t="s">
        <v>24</v>
      </c>
      <c r="J32" s="1" t="str">
        <f>IF(ISBLANK(Customer_Data_[[#This Row],[Loyalty_Level]]),"Silver",Customer_Data_[[#This Row],[Loyalty_Level]])</f>
        <v>Bronze</v>
      </c>
    </row>
    <row r="33" spans="1:10" x14ac:dyDescent="0.35">
      <c r="A33" s="6" t="s">
        <v>125</v>
      </c>
      <c r="B33" s="1" t="s">
        <v>126</v>
      </c>
      <c r="C33" s="1" t="str">
        <f>TRIM(Customer_Data_[[#This Row],[Name]])</f>
        <v>Sarah Vance</v>
      </c>
      <c r="D33" s="1" t="str">
        <f>PROPER(Customer_Data_[[#This Row],[Name 1]])</f>
        <v>Sarah Vance</v>
      </c>
      <c r="E33" s="1">
        <v>41</v>
      </c>
      <c r="F33" s="1" t="s">
        <v>8</v>
      </c>
      <c r="G33" s="1" t="s">
        <v>127</v>
      </c>
      <c r="H33" s="1" t="s">
        <v>33</v>
      </c>
      <c r="I33" s="7" t="s">
        <v>29</v>
      </c>
      <c r="J33" s="1" t="str">
        <f>IF(ISBLANK(Customer_Data_[[#This Row],[Loyalty_Level]]),"Silver",Customer_Data_[[#This Row],[Loyalty_Level]])</f>
        <v>Silver</v>
      </c>
    </row>
    <row r="34" spans="1:10" x14ac:dyDescent="0.35">
      <c r="A34" s="6" t="s">
        <v>128</v>
      </c>
      <c r="B34" s="1" t="s">
        <v>129</v>
      </c>
      <c r="C34" s="1" t="str">
        <f>TRIM(Customer_Data_[[#This Row],[Name]])</f>
        <v>Mike Jennings</v>
      </c>
      <c r="D34" s="1" t="str">
        <f>PROPER(Customer_Data_[[#This Row],[Name 1]])</f>
        <v>Mike Jennings</v>
      </c>
      <c r="E34" s="1">
        <v>48</v>
      </c>
      <c r="F34" s="1" t="s">
        <v>14</v>
      </c>
      <c r="G34" s="1" t="s">
        <v>130</v>
      </c>
      <c r="H34" s="1" t="s">
        <v>131</v>
      </c>
      <c r="I34" s="7" t="s">
        <v>11</v>
      </c>
      <c r="J34" s="1" t="str">
        <f>IF(ISBLANK(Customer_Data_[[#This Row],[Loyalty_Level]]),"Silver",Customer_Data_[[#This Row],[Loyalty_Level]])</f>
        <v>Gold</v>
      </c>
    </row>
    <row r="35" spans="1:10" x14ac:dyDescent="0.35">
      <c r="A35" s="6" t="s">
        <v>132</v>
      </c>
      <c r="B35" s="1" t="s">
        <v>133</v>
      </c>
      <c r="C35" s="1" t="str">
        <f>TRIM(Customer_Data_[[#This Row],[Name]])</f>
        <v>Robert Jones DDS</v>
      </c>
      <c r="D35" s="1" t="str">
        <f>PROPER(Customer_Data_[[#This Row],[Name 1]])</f>
        <v>Robert Jones Dds</v>
      </c>
      <c r="E35" s="1">
        <v>25</v>
      </c>
      <c r="F35" s="1" t="s">
        <v>8</v>
      </c>
      <c r="G35" s="1" t="s">
        <v>134</v>
      </c>
      <c r="H35" s="1" t="s">
        <v>94</v>
      </c>
      <c r="I35" s="7" t="s">
        <v>17</v>
      </c>
      <c r="J35" s="1" t="str">
        <f>IF(ISBLANK(Customer_Data_[[#This Row],[Loyalty_Level]]),"Silver",Customer_Data_[[#This Row],[Loyalty_Level]])</f>
        <v>Platinum</v>
      </c>
    </row>
    <row r="36" spans="1:10" x14ac:dyDescent="0.35">
      <c r="A36" s="6" t="s">
        <v>135</v>
      </c>
      <c r="B36" s="1" t="s">
        <v>136</v>
      </c>
      <c r="C36" s="1" t="str">
        <f>TRIM(Customer_Data_[[#This Row],[Name]])</f>
        <v>Christopher Olson</v>
      </c>
      <c r="D36" s="1" t="str">
        <f>PROPER(Customer_Data_[[#This Row],[Name 1]])</f>
        <v>Christopher Olson</v>
      </c>
      <c r="E36" s="1">
        <v>27</v>
      </c>
      <c r="F36" s="1" t="s">
        <v>14</v>
      </c>
      <c r="G36" s="1" t="s">
        <v>137</v>
      </c>
      <c r="H36" s="1" t="s">
        <v>138</v>
      </c>
      <c r="I36" s="7" t="s">
        <v>17</v>
      </c>
      <c r="J36" s="1" t="str">
        <f>IF(ISBLANK(Customer_Data_[[#This Row],[Loyalty_Level]]),"Silver",Customer_Data_[[#This Row],[Loyalty_Level]])</f>
        <v>Platinum</v>
      </c>
    </row>
    <row r="37" spans="1:10" x14ac:dyDescent="0.35">
      <c r="A37" s="6" t="s">
        <v>139</v>
      </c>
      <c r="B37" s="1" t="s">
        <v>140</v>
      </c>
      <c r="C37" s="1" t="str">
        <f>TRIM(Customer_Data_[[#This Row],[Name]])</f>
        <v>Rachel Myers</v>
      </c>
      <c r="D37" s="1" t="str">
        <f>PROPER(Customer_Data_[[#This Row],[Name 1]])</f>
        <v>Rachel Myers</v>
      </c>
      <c r="E37" s="1">
        <v>52</v>
      </c>
      <c r="F37" s="1" t="s">
        <v>8</v>
      </c>
      <c r="G37" s="1" t="s">
        <v>141</v>
      </c>
      <c r="H37" s="1" t="s">
        <v>16</v>
      </c>
      <c r="I37" s="7" t="s">
        <v>29</v>
      </c>
      <c r="J37" s="1" t="str">
        <f>IF(ISBLANK(Customer_Data_[[#This Row],[Loyalty_Level]]),"Silver",Customer_Data_[[#This Row],[Loyalty_Level]])</f>
        <v>Silver</v>
      </c>
    </row>
    <row r="38" spans="1:10" x14ac:dyDescent="0.35">
      <c r="A38" s="6" t="s">
        <v>142</v>
      </c>
      <c r="B38" s="1" t="s">
        <v>143</v>
      </c>
      <c r="C38" s="1" t="str">
        <f>TRIM(Customer_Data_[[#This Row],[Name]])</f>
        <v>Thomas Phillips</v>
      </c>
      <c r="D38" s="1" t="str">
        <f>PROPER(Customer_Data_[[#This Row],[Name 1]])</f>
        <v>Thomas Phillips</v>
      </c>
      <c r="E38" s="1">
        <v>20</v>
      </c>
      <c r="F38" s="1" t="s">
        <v>14</v>
      </c>
      <c r="G38" s="1" t="s">
        <v>144</v>
      </c>
      <c r="H38" s="1" t="s">
        <v>79</v>
      </c>
      <c r="I38" s="7" t="s">
        <v>11</v>
      </c>
      <c r="J38" s="1" t="str">
        <f>IF(ISBLANK(Customer_Data_[[#This Row],[Loyalty_Level]]),"Silver",Customer_Data_[[#This Row],[Loyalty_Level]])</f>
        <v>Gold</v>
      </c>
    </row>
    <row r="39" spans="1:10" x14ac:dyDescent="0.35">
      <c r="A39" s="6" t="s">
        <v>145</v>
      </c>
      <c r="B39" s="1" t="s">
        <v>146</v>
      </c>
      <c r="C39" s="1" t="str">
        <f>TRIM(Customer_Data_[[#This Row],[Name]])</f>
        <v>Christopher Carter</v>
      </c>
      <c r="D39" s="1" t="str">
        <f>PROPER(Customer_Data_[[#This Row],[Name 1]])</f>
        <v>Christopher Carter</v>
      </c>
      <c r="E39" s="1">
        <v>27</v>
      </c>
      <c r="F39" s="1" t="s">
        <v>14</v>
      </c>
      <c r="G39" s="1" t="s">
        <v>147</v>
      </c>
      <c r="H39" s="1" t="s">
        <v>37</v>
      </c>
      <c r="I39" s="7"/>
      <c r="J39" s="1" t="str">
        <f>IF(ISBLANK(Customer_Data_[[#This Row],[Loyalty_Level]]),"Silver",Customer_Data_[[#This Row],[Loyalty_Level]])</f>
        <v>Silver</v>
      </c>
    </row>
    <row r="40" spans="1:10" x14ac:dyDescent="0.35">
      <c r="A40" s="6" t="s">
        <v>148</v>
      </c>
      <c r="B40" s="1" t="s">
        <v>149</v>
      </c>
      <c r="C40" s="1" t="str">
        <f>TRIM(Customer_Data_[[#This Row],[Name]])</f>
        <v>Deanna Simpson</v>
      </c>
      <c r="D40" s="1" t="str">
        <f>PROPER(Customer_Data_[[#This Row],[Name 1]])</f>
        <v>Deanna Simpson</v>
      </c>
      <c r="E40" s="1">
        <v>35</v>
      </c>
      <c r="F40" s="1" t="s">
        <v>14</v>
      </c>
      <c r="G40" s="1" t="s">
        <v>150</v>
      </c>
      <c r="H40" s="1" t="s">
        <v>16</v>
      </c>
      <c r="I40" s="7" t="s">
        <v>24</v>
      </c>
      <c r="J40" s="1" t="str">
        <f>IF(ISBLANK(Customer_Data_[[#This Row],[Loyalty_Level]]),"Silver",Customer_Data_[[#This Row],[Loyalty_Level]])</f>
        <v>Bronze</v>
      </c>
    </row>
    <row r="41" spans="1:10" x14ac:dyDescent="0.35">
      <c r="A41" s="6" t="s">
        <v>151</v>
      </c>
      <c r="B41" s="1" t="s">
        <v>152</v>
      </c>
      <c r="C41" s="1" t="str">
        <f>TRIM(Customer_Data_[[#This Row],[Name]])</f>
        <v>Tonya Reynolds</v>
      </c>
      <c r="D41" s="1" t="str">
        <f>PROPER(Customer_Data_[[#This Row],[Name 1]])</f>
        <v>Tonya Reynolds</v>
      </c>
      <c r="E41" s="1">
        <v>55</v>
      </c>
      <c r="F41" s="1" t="s">
        <v>14</v>
      </c>
      <c r="G41" s="1" t="s">
        <v>153</v>
      </c>
      <c r="H41" s="1" t="s">
        <v>154</v>
      </c>
      <c r="I41" s="7" t="s">
        <v>11</v>
      </c>
      <c r="J41" s="1" t="str">
        <f>IF(ISBLANK(Customer_Data_[[#This Row],[Loyalty_Level]]),"Silver",Customer_Data_[[#This Row],[Loyalty_Level]])</f>
        <v>Gold</v>
      </c>
    </row>
    <row r="42" spans="1:10" x14ac:dyDescent="0.35">
      <c r="A42" s="6" t="s">
        <v>155</v>
      </c>
      <c r="B42" s="1" t="s">
        <v>156</v>
      </c>
      <c r="C42" s="1" t="str">
        <f>TRIM(Customer_Data_[[#This Row],[Name]])</f>
        <v>Eric Vega</v>
      </c>
      <c r="D42" s="1" t="str">
        <f>PROPER(Customer_Data_[[#This Row],[Name 1]])</f>
        <v>Eric Vega</v>
      </c>
      <c r="E42" s="1">
        <v>50</v>
      </c>
      <c r="F42" s="1" t="s">
        <v>8</v>
      </c>
      <c r="G42" s="1" t="s">
        <v>157</v>
      </c>
      <c r="H42" s="1" t="s">
        <v>60</v>
      </c>
      <c r="I42" s="7" t="s">
        <v>11</v>
      </c>
      <c r="J42" s="1" t="str">
        <f>IF(ISBLANK(Customer_Data_[[#This Row],[Loyalty_Level]]),"Silver",Customer_Data_[[#This Row],[Loyalty_Level]])</f>
        <v>Gold</v>
      </c>
    </row>
    <row r="43" spans="1:10" x14ac:dyDescent="0.35">
      <c r="A43" s="6" t="s">
        <v>158</v>
      </c>
      <c r="B43" s="1" t="s">
        <v>159</v>
      </c>
      <c r="C43" s="1" t="str">
        <f>TRIM(Customer_Data_[[#This Row],[Name]])</f>
        <v>James Gibbs</v>
      </c>
      <c r="D43" s="1" t="str">
        <f>PROPER(Customer_Data_[[#This Row],[Name 1]])</f>
        <v>James Gibbs</v>
      </c>
      <c r="E43" s="1">
        <v>21</v>
      </c>
      <c r="F43" s="1" t="s">
        <v>8</v>
      </c>
      <c r="G43" s="1" t="s">
        <v>160</v>
      </c>
      <c r="H43" s="1" t="s">
        <v>161</v>
      </c>
      <c r="I43" s="7" t="s">
        <v>17</v>
      </c>
      <c r="J43" s="1" t="str">
        <f>IF(ISBLANK(Customer_Data_[[#This Row],[Loyalty_Level]]),"Silver",Customer_Data_[[#This Row],[Loyalty_Level]])</f>
        <v>Platinum</v>
      </c>
    </row>
    <row r="44" spans="1:10" x14ac:dyDescent="0.35">
      <c r="A44" s="6" t="s">
        <v>162</v>
      </c>
      <c r="B44" s="1" t="s">
        <v>163</v>
      </c>
      <c r="C44" s="1" t="str">
        <f>TRIM(Customer_Data_[[#This Row],[Name]])</f>
        <v>William Martin</v>
      </c>
      <c r="D44" s="1" t="str">
        <f>PROPER(Customer_Data_[[#This Row],[Name 1]])</f>
        <v>William Martin</v>
      </c>
      <c r="E44" s="1">
        <v>19</v>
      </c>
      <c r="F44" s="1" t="s">
        <v>8</v>
      </c>
      <c r="G44" s="1" t="s">
        <v>164</v>
      </c>
      <c r="H44" s="1" t="s">
        <v>165</v>
      </c>
      <c r="I44" s="7" t="s">
        <v>17</v>
      </c>
      <c r="J44" s="1" t="str">
        <f>IF(ISBLANK(Customer_Data_[[#This Row],[Loyalty_Level]]),"Silver",Customer_Data_[[#This Row],[Loyalty_Level]])</f>
        <v>Platinum</v>
      </c>
    </row>
    <row r="45" spans="1:10" x14ac:dyDescent="0.35">
      <c r="A45" s="6" t="s">
        <v>166</v>
      </c>
      <c r="B45" s="1" t="s">
        <v>167</v>
      </c>
      <c r="C45" s="1" t="str">
        <f>TRIM(Customer_Data_[[#This Row],[Name]])</f>
        <v>Joseph Snow</v>
      </c>
      <c r="D45" s="1" t="str">
        <f>PROPER(Customer_Data_[[#This Row],[Name 1]])</f>
        <v>Joseph Snow</v>
      </c>
      <c r="E45" s="1">
        <v>45</v>
      </c>
      <c r="F45" s="1" t="s">
        <v>8</v>
      </c>
      <c r="G45" s="1" t="s">
        <v>168</v>
      </c>
      <c r="H45" s="1" t="s">
        <v>169</v>
      </c>
      <c r="I45" s="7" t="s">
        <v>11</v>
      </c>
      <c r="J45" s="1" t="str">
        <f>IF(ISBLANK(Customer_Data_[[#This Row],[Loyalty_Level]]),"Silver",Customer_Data_[[#This Row],[Loyalty_Level]])</f>
        <v>Gold</v>
      </c>
    </row>
    <row r="46" spans="1:10" x14ac:dyDescent="0.35">
      <c r="A46" s="6" t="s">
        <v>170</v>
      </c>
      <c r="B46" s="1" t="s">
        <v>171</v>
      </c>
      <c r="C46" s="1" t="str">
        <f>TRIM(Customer_Data_[[#This Row],[Name]])</f>
        <v>Denise Williams</v>
      </c>
      <c r="D46" s="1" t="str">
        <f>PROPER(Customer_Data_[[#This Row],[Name 1]])</f>
        <v>Denise Williams</v>
      </c>
      <c r="E46" s="1">
        <v>34</v>
      </c>
      <c r="F46" s="1" t="s">
        <v>8</v>
      </c>
      <c r="G46" s="1" t="s">
        <v>172</v>
      </c>
      <c r="H46" s="1" t="s">
        <v>97</v>
      </c>
      <c r="I46" s="7" t="s">
        <v>24</v>
      </c>
      <c r="J46" s="1" t="str">
        <f>IF(ISBLANK(Customer_Data_[[#This Row],[Loyalty_Level]]),"Silver",Customer_Data_[[#This Row],[Loyalty_Level]])</f>
        <v>Bronze</v>
      </c>
    </row>
    <row r="47" spans="1:10" x14ac:dyDescent="0.35">
      <c r="A47" s="6" t="s">
        <v>173</v>
      </c>
      <c r="B47" s="1" t="s">
        <v>174</v>
      </c>
      <c r="C47" s="1" t="str">
        <f>TRIM(Customer_Data_[[#This Row],[Name]])</f>
        <v>Jordan Jackson DDS</v>
      </c>
      <c r="D47" s="1" t="str">
        <f>PROPER(Customer_Data_[[#This Row],[Name 1]])</f>
        <v>Jordan Jackson Dds</v>
      </c>
      <c r="E47" s="1">
        <v>54</v>
      </c>
      <c r="F47" s="1" t="s">
        <v>8</v>
      </c>
      <c r="G47" s="1" t="s">
        <v>175</v>
      </c>
      <c r="H47" s="1" t="s">
        <v>131</v>
      </c>
      <c r="I47" s="7" t="s">
        <v>11</v>
      </c>
      <c r="J47" s="1" t="str">
        <f>IF(ISBLANK(Customer_Data_[[#This Row],[Loyalty_Level]]),"Silver",Customer_Data_[[#This Row],[Loyalty_Level]])</f>
        <v>Gold</v>
      </c>
    </row>
    <row r="48" spans="1:10" x14ac:dyDescent="0.35">
      <c r="A48" s="6" t="s">
        <v>176</v>
      </c>
      <c r="B48" s="1" t="s">
        <v>177</v>
      </c>
      <c r="C48" s="1" t="str">
        <f>TRIM(Customer_Data_[[#This Row],[Name]])</f>
        <v>Michelle Garcia DDS</v>
      </c>
      <c r="D48" s="1" t="str">
        <f>PROPER(Customer_Data_[[#This Row],[Name 1]])</f>
        <v>Michelle Garcia Dds</v>
      </c>
      <c r="E48" s="1">
        <v>55</v>
      </c>
      <c r="F48" s="1" t="s">
        <v>14</v>
      </c>
      <c r="G48" s="1" t="s">
        <v>178</v>
      </c>
      <c r="H48" s="1" t="s">
        <v>23</v>
      </c>
      <c r="I48" s="7" t="s">
        <v>17</v>
      </c>
      <c r="J48" s="1" t="str">
        <f>IF(ISBLANK(Customer_Data_[[#This Row],[Loyalty_Level]]),"Silver",Customer_Data_[[#This Row],[Loyalty_Level]])</f>
        <v>Platinum</v>
      </c>
    </row>
    <row r="49" spans="1:10" x14ac:dyDescent="0.35">
      <c r="A49" s="6" t="s">
        <v>179</v>
      </c>
      <c r="B49" s="1" t="s">
        <v>180</v>
      </c>
      <c r="C49" s="1" t="str">
        <f>TRIM(Customer_Data_[[#This Row],[Name]])</f>
        <v>Gina Knight</v>
      </c>
      <c r="D49" s="1" t="str">
        <f>PROPER(Customer_Data_[[#This Row],[Name 1]])</f>
        <v>Gina Knight</v>
      </c>
      <c r="E49" s="1">
        <v>54</v>
      </c>
      <c r="F49" s="1" t="s">
        <v>14</v>
      </c>
      <c r="G49" s="1" t="s">
        <v>181</v>
      </c>
      <c r="H49" s="1" t="s">
        <v>182</v>
      </c>
      <c r="I49" s="7" t="s">
        <v>29</v>
      </c>
      <c r="J49" s="1" t="str">
        <f>IF(ISBLANK(Customer_Data_[[#This Row],[Loyalty_Level]]),"Silver",Customer_Data_[[#This Row],[Loyalty_Level]])</f>
        <v>Silver</v>
      </c>
    </row>
    <row r="50" spans="1:10" x14ac:dyDescent="0.35">
      <c r="A50" s="6" t="s">
        <v>183</v>
      </c>
      <c r="B50" s="1" t="s">
        <v>184</v>
      </c>
      <c r="C50" s="1" t="str">
        <f>TRIM(Customer_Data_[[#This Row],[Name]])</f>
        <v>April Mullins</v>
      </c>
      <c r="D50" s="1" t="str">
        <f>PROPER(Customer_Data_[[#This Row],[Name 1]])</f>
        <v>April Mullins</v>
      </c>
      <c r="E50" s="1">
        <v>54</v>
      </c>
      <c r="F50" s="1" t="s">
        <v>8</v>
      </c>
      <c r="G50" s="1" t="s">
        <v>185</v>
      </c>
      <c r="H50" s="1" t="s">
        <v>10</v>
      </c>
      <c r="I50" s="7" t="s">
        <v>17</v>
      </c>
      <c r="J50" s="1" t="str">
        <f>IF(ISBLANK(Customer_Data_[[#This Row],[Loyalty_Level]]),"Silver",Customer_Data_[[#This Row],[Loyalty_Level]])</f>
        <v>Platinum</v>
      </c>
    </row>
    <row r="51" spans="1:10" x14ac:dyDescent="0.35">
      <c r="A51" s="6" t="s">
        <v>186</v>
      </c>
      <c r="B51" s="1" t="s">
        <v>187</v>
      </c>
      <c r="C51" s="1" t="str">
        <f>TRIM(Customer_Data_[[#This Row],[Name]])</f>
        <v>Timothy Weaver</v>
      </c>
      <c r="D51" s="1" t="str">
        <f>PROPER(Customer_Data_[[#This Row],[Name 1]])</f>
        <v>Timothy Weaver</v>
      </c>
      <c r="E51" s="1">
        <v>45</v>
      </c>
      <c r="F51" s="1" t="s">
        <v>14</v>
      </c>
      <c r="G51" s="1" t="s">
        <v>188</v>
      </c>
      <c r="H51" s="1" t="s">
        <v>23</v>
      </c>
      <c r="I51" s="7" t="s">
        <v>11</v>
      </c>
      <c r="J51" s="1" t="str">
        <f>IF(ISBLANK(Customer_Data_[[#This Row],[Loyalty_Level]]),"Silver",Customer_Data_[[#This Row],[Loyalty_Level]])</f>
        <v>Gold</v>
      </c>
    </row>
    <row r="52" spans="1:10" x14ac:dyDescent="0.35">
      <c r="A52" s="6" t="s">
        <v>189</v>
      </c>
      <c r="B52" s="1" t="s">
        <v>2445</v>
      </c>
      <c r="C52" s="1" t="str">
        <f>TRIM(Customer_Data_[[#This Row],[Name]])</f>
        <v>Matthew Hunter Jr</v>
      </c>
      <c r="D52" s="1" t="str">
        <f>PROPER(Customer_Data_[[#This Row],[Name 1]])</f>
        <v>Matthew Hunter Jr</v>
      </c>
      <c r="E52" s="1">
        <v>61</v>
      </c>
      <c r="F52" s="1" t="s">
        <v>14</v>
      </c>
      <c r="G52" s="1" t="s">
        <v>190</v>
      </c>
      <c r="H52" s="1" t="s">
        <v>191</v>
      </c>
      <c r="I52" s="7" t="s">
        <v>11</v>
      </c>
      <c r="J52" s="1" t="str">
        <f>IF(ISBLANK(Customer_Data_[[#This Row],[Loyalty_Level]]),"Silver",Customer_Data_[[#This Row],[Loyalty_Level]])</f>
        <v>Gold</v>
      </c>
    </row>
    <row r="53" spans="1:10" x14ac:dyDescent="0.35">
      <c r="A53" s="6" t="s">
        <v>192</v>
      </c>
      <c r="B53" s="1" t="s">
        <v>193</v>
      </c>
      <c r="C53" s="1" t="str">
        <f>TRIM(Customer_Data_[[#This Row],[Name]])</f>
        <v>Sarah Rodgers</v>
      </c>
      <c r="D53" s="1" t="str">
        <f>PROPER(Customer_Data_[[#This Row],[Name 1]])</f>
        <v>Sarah Rodgers</v>
      </c>
      <c r="E53" s="1">
        <v>23</v>
      </c>
      <c r="F53" s="1" t="s">
        <v>14</v>
      </c>
      <c r="G53" s="1" t="s">
        <v>194</v>
      </c>
      <c r="H53" s="1" t="s">
        <v>41</v>
      </c>
      <c r="I53" s="7" t="s">
        <v>11</v>
      </c>
      <c r="J53" s="1" t="str">
        <f>IF(ISBLANK(Customer_Data_[[#This Row],[Loyalty_Level]]),"Silver",Customer_Data_[[#This Row],[Loyalty_Level]])</f>
        <v>Gold</v>
      </c>
    </row>
    <row r="54" spans="1:10" x14ac:dyDescent="0.35">
      <c r="A54" s="6" t="s">
        <v>195</v>
      </c>
      <c r="B54" s="1" t="s">
        <v>196</v>
      </c>
      <c r="C54" s="1" t="str">
        <f>TRIM(Customer_Data_[[#This Row],[Name]])</f>
        <v>Debra Liu</v>
      </c>
      <c r="D54" s="1" t="str">
        <f>PROPER(Customer_Data_[[#This Row],[Name 1]])</f>
        <v>Debra Liu</v>
      </c>
      <c r="E54" s="1">
        <v>55</v>
      </c>
      <c r="F54" s="1" t="s">
        <v>8</v>
      </c>
      <c r="G54" s="1" t="s">
        <v>197</v>
      </c>
      <c r="H54" s="1" t="s">
        <v>198</v>
      </c>
      <c r="I54" s="7" t="s">
        <v>24</v>
      </c>
      <c r="J54" s="1" t="str">
        <f>IF(ISBLANK(Customer_Data_[[#This Row],[Loyalty_Level]]),"Silver",Customer_Data_[[#This Row],[Loyalty_Level]])</f>
        <v>Bronze</v>
      </c>
    </row>
    <row r="55" spans="1:10" x14ac:dyDescent="0.35">
      <c r="A55" s="6" t="s">
        <v>199</v>
      </c>
      <c r="B55" s="1" t="s">
        <v>200</v>
      </c>
      <c r="C55" s="1" t="str">
        <f>TRIM(Customer_Data_[[#This Row],[Name]])</f>
        <v>Sharon Brown</v>
      </c>
      <c r="D55" s="1" t="str">
        <f>PROPER(Customer_Data_[[#This Row],[Name 1]])</f>
        <v>Sharon Brown</v>
      </c>
      <c r="E55" s="1">
        <v>37</v>
      </c>
      <c r="F55" s="1" t="s">
        <v>14</v>
      </c>
      <c r="G55" s="1" t="s">
        <v>201</v>
      </c>
      <c r="H55" s="1" t="s">
        <v>154</v>
      </c>
      <c r="I55" s="7" t="s">
        <v>11</v>
      </c>
      <c r="J55" s="1" t="str">
        <f>IF(ISBLANK(Customer_Data_[[#This Row],[Loyalty_Level]]),"Silver",Customer_Data_[[#This Row],[Loyalty_Level]])</f>
        <v>Gold</v>
      </c>
    </row>
    <row r="56" spans="1:10" x14ac:dyDescent="0.35">
      <c r="A56" s="6" t="s">
        <v>202</v>
      </c>
      <c r="B56" s="1" t="s">
        <v>203</v>
      </c>
      <c r="C56" s="1" t="str">
        <f>TRIM(Customer_Data_[[#This Row],[Name]])</f>
        <v>Katherine Dorsey</v>
      </c>
      <c r="D56" s="1" t="str">
        <f>PROPER(Customer_Data_[[#This Row],[Name 1]])</f>
        <v>Katherine Dorsey</v>
      </c>
      <c r="E56" s="1">
        <v>24</v>
      </c>
      <c r="F56" s="1" t="s">
        <v>8</v>
      </c>
      <c r="G56" s="1" t="s">
        <v>204</v>
      </c>
      <c r="H56" s="1" t="s">
        <v>94</v>
      </c>
      <c r="I56" s="7" t="s">
        <v>17</v>
      </c>
      <c r="J56" s="1" t="str">
        <f>IF(ISBLANK(Customer_Data_[[#This Row],[Loyalty_Level]]),"Silver",Customer_Data_[[#This Row],[Loyalty_Level]])</f>
        <v>Platinum</v>
      </c>
    </row>
    <row r="57" spans="1:10" x14ac:dyDescent="0.35">
      <c r="A57" s="6" t="s">
        <v>205</v>
      </c>
      <c r="B57" s="1" t="s">
        <v>206</v>
      </c>
      <c r="C57" s="1" t="str">
        <f>TRIM(Customer_Data_[[#This Row],[Name]])</f>
        <v>Wayne Mcpherson</v>
      </c>
      <c r="D57" s="1" t="str">
        <f>PROPER(Customer_Data_[[#This Row],[Name 1]])</f>
        <v>Wayne Mcpherson</v>
      </c>
      <c r="E57" s="1">
        <v>56</v>
      </c>
      <c r="F57" s="1" t="s">
        <v>14</v>
      </c>
      <c r="G57" s="1" t="s">
        <v>207</v>
      </c>
      <c r="H57" s="1" t="s">
        <v>198</v>
      </c>
      <c r="I57" s="7" t="s">
        <v>24</v>
      </c>
      <c r="J57" s="1" t="str">
        <f>IF(ISBLANK(Customer_Data_[[#This Row],[Loyalty_Level]]),"Silver",Customer_Data_[[#This Row],[Loyalty_Level]])</f>
        <v>Bronze</v>
      </c>
    </row>
    <row r="58" spans="1:10" x14ac:dyDescent="0.35">
      <c r="A58" s="6" t="s">
        <v>208</v>
      </c>
      <c r="B58" s="1" t="s">
        <v>209</v>
      </c>
      <c r="C58" s="1" t="str">
        <f>TRIM(Customer_Data_[[#This Row],[Name]])</f>
        <v>Christopher Sutton</v>
      </c>
      <c r="D58" s="1" t="str">
        <f>PROPER(Customer_Data_[[#This Row],[Name 1]])</f>
        <v>Christopher Sutton</v>
      </c>
      <c r="E58" s="1">
        <v>49</v>
      </c>
      <c r="F58" s="1" t="s">
        <v>14</v>
      </c>
      <c r="G58" s="1" t="s">
        <v>210</v>
      </c>
      <c r="H58" s="1" t="s">
        <v>49</v>
      </c>
      <c r="I58" s="7" t="s">
        <v>11</v>
      </c>
      <c r="J58" s="1" t="str">
        <f>IF(ISBLANK(Customer_Data_[[#This Row],[Loyalty_Level]]),"Silver",Customer_Data_[[#This Row],[Loyalty_Level]])</f>
        <v>Gold</v>
      </c>
    </row>
    <row r="59" spans="1:10" x14ac:dyDescent="0.35">
      <c r="A59" s="6" t="s">
        <v>211</v>
      </c>
      <c r="B59" s="1" t="s">
        <v>212</v>
      </c>
      <c r="C59" s="1" t="str">
        <f>TRIM(Customer_Data_[[#This Row],[Name]])</f>
        <v>Jay Patel</v>
      </c>
      <c r="D59" s="1" t="str">
        <f>PROPER(Customer_Data_[[#This Row],[Name 1]])</f>
        <v>Jay Patel</v>
      </c>
      <c r="E59" s="1">
        <v>43</v>
      </c>
      <c r="F59" s="1" t="s">
        <v>14</v>
      </c>
      <c r="G59" s="1" t="s">
        <v>213</v>
      </c>
      <c r="H59" s="1" t="s">
        <v>214</v>
      </c>
      <c r="I59" s="7" t="s">
        <v>17</v>
      </c>
      <c r="J59" s="1" t="str">
        <f>IF(ISBLANK(Customer_Data_[[#This Row],[Loyalty_Level]]),"Silver",Customer_Data_[[#This Row],[Loyalty_Level]])</f>
        <v>Platinum</v>
      </c>
    </row>
    <row r="60" spans="1:10" x14ac:dyDescent="0.35">
      <c r="A60" s="6" t="s">
        <v>215</v>
      </c>
      <c r="B60" s="1" t="s">
        <v>216</v>
      </c>
      <c r="C60" s="1" t="str">
        <f>TRIM(Customer_Data_[[#This Row],[Name]])</f>
        <v>Cheryl Copeland</v>
      </c>
      <c r="D60" s="1" t="str">
        <f>PROPER(Customer_Data_[[#This Row],[Name 1]])</f>
        <v>Cheryl Copeland</v>
      </c>
      <c r="E60" s="1">
        <v>51</v>
      </c>
      <c r="F60" s="1" t="s">
        <v>8</v>
      </c>
      <c r="G60" s="1" t="s">
        <v>217</v>
      </c>
      <c r="H60" s="1" t="s">
        <v>138</v>
      </c>
      <c r="I60" s="7" t="s">
        <v>17</v>
      </c>
      <c r="J60" s="1" t="str">
        <f>IF(ISBLANK(Customer_Data_[[#This Row],[Loyalty_Level]]),"Silver",Customer_Data_[[#This Row],[Loyalty_Level]])</f>
        <v>Platinum</v>
      </c>
    </row>
    <row r="61" spans="1:10" x14ac:dyDescent="0.35">
      <c r="A61" s="6" t="s">
        <v>218</v>
      </c>
      <c r="B61" s="1" t="s">
        <v>219</v>
      </c>
      <c r="C61" s="1" t="str">
        <f>TRIM(Customer_Data_[[#This Row],[Name]])</f>
        <v>Alyssa Vargas</v>
      </c>
      <c r="D61" s="1" t="str">
        <f>PROPER(Customer_Data_[[#This Row],[Name 1]])</f>
        <v>Alyssa Vargas</v>
      </c>
      <c r="E61" s="1">
        <v>53</v>
      </c>
      <c r="F61" s="1" t="s">
        <v>8</v>
      </c>
      <c r="G61" s="1" t="s">
        <v>220</v>
      </c>
      <c r="H61" s="1" t="s">
        <v>64</v>
      </c>
      <c r="I61" s="7" t="s">
        <v>17</v>
      </c>
      <c r="J61" s="1" t="str">
        <f>IF(ISBLANK(Customer_Data_[[#This Row],[Loyalty_Level]]),"Silver",Customer_Data_[[#This Row],[Loyalty_Level]])</f>
        <v>Platinum</v>
      </c>
    </row>
    <row r="62" spans="1:10" x14ac:dyDescent="0.35">
      <c r="A62" s="6" t="s">
        <v>221</v>
      </c>
      <c r="B62" s="1" t="s">
        <v>222</v>
      </c>
      <c r="C62" s="1" t="str">
        <f>TRIM(Customer_Data_[[#This Row],[Name]])</f>
        <v>Dr. David Smith</v>
      </c>
      <c r="D62" s="1" t="str">
        <f>PROPER(Customer_Data_[[#This Row],[Name 1]])</f>
        <v>Dr. David Smith</v>
      </c>
      <c r="E62" s="1">
        <v>22</v>
      </c>
      <c r="F62" s="1" t="s">
        <v>14</v>
      </c>
      <c r="G62" s="1" t="s">
        <v>223</v>
      </c>
      <c r="H62" s="1" t="s">
        <v>161</v>
      </c>
      <c r="I62" s="7" t="s">
        <v>29</v>
      </c>
      <c r="J62" s="1" t="str">
        <f>IF(ISBLANK(Customer_Data_[[#This Row],[Loyalty_Level]]),"Silver",Customer_Data_[[#This Row],[Loyalty_Level]])</f>
        <v>Silver</v>
      </c>
    </row>
    <row r="63" spans="1:10" x14ac:dyDescent="0.35">
      <c r="A63" s="6" t="s">
        <v>224</v>
      </c>
      <c r="B63" s="1" t="s">
        <v>225</v>
      </c>
      <c r="C63" s="1" t="str">
        <f>TRIM(Customer_Data_[[#This Row],[Name]])</f>
        <v>Kristin Stein</v>
      </c>
      <c r="D63" s="1" t="str">
        <f>PROPER(Customer_Data_[[#This Row],[Name 1]])</f>
        <v>Kristin Stein</v>
      </c>
      <c r="E63" s="1">
        <v>23</v>
      </c>
      <c r="F63" s="1" t="s">
        <v>8</v>
      </c>
      <c r="G63" s="1" t="s">
        <v>226</v>
      </c>
      <c r="H63" s="1" t="s">
        <v>111</v>
      </c>
      <c r="I63" s="7" t="s">
        <v>29</v>
      </c>
      <c r="J63" s="1" t="str">
        <f>IF(ISBLANK(Customer_Data_[[#This Row],[Loyalty_Level]]),"Silver",Customer_Data_[[#This Row],[Loyalty_Level]])</f>
        <v>Silver</v>
      </c>
    </row>
    <row r="64" spans="1:10" x14ac:dyDescent="0.35">
      <c r="A64" s="6" t="s">
        <v>227</v>
      </c>
      <c r="B64" s="1" t="s">
        <v>228</v>
      </c>
      <c r="C64" s="1" t="str">
        <f>TRIM(Customer_Data_[[#This Row],[Name]])</f>
        <v>James Bean</v>
      </c>
      <c r="D64" s="1" t="str">
        <f>PROPER(Customer_Data_[[#This Row],[Name 1]])</f>
        <v>James Bean</v>
      </c>
      <c r="E64" s="1">
        <v>50</v>
      </c>
      <c r="F64" s="1" t="s">
        <v>8</v>
      </c>
      <c r="G64" s="1" t="s">
        <v>229</v>
      </c>
      <c r="H64" s="1" t="s">
        <v>230</v>
      </c>
      <c r="I64" s="7" t="s">
        <v>24</v>
      </c>
      <c r="J64" s="1" t="str">
        <f>IF(ISBLANK(Customer_Data_[[#This Row],[Loyalty_Level]]),"Silver",Customer_Data_[[#This Row],[Loyalty_Level]])</f>
        <v>Bronze</v>
      </c>
    </row>
    <row r="65" spans="1:10" x14ac:dyDescent="0.35">
      <c r="A65" s="6" t="s">
        <v>231</v>
      </c>
      <c r="B65" s="1" t="s">
        <v>232</v>
      </c>
      <c r="C65" s="1" t="str">
        <f>TRIM(Customer_Data_[[#This Row],[Name]])</f>
        <v>Michael Daniel</v>
      </c>
      <c r="D65" s="1" t="str">
        <f>PROPER(Customer_Data_[[#This Row],[Name 1]])</f>
        <v>Michael Daniel</v>
      </c>
      <c r="E65" s="1">
        <v>51</v>
      </c>
      <c r="F65" s="1" t="s">
        <v>8</v>
      </c>
      <c r="G65" s="1" t="s">
        <v>233</v>
      </c>
      <c r="H65" s="1" t="s">
        <v>234</v>
      </c>
      <c r="I65" s="7" t="s">
        <v>17</v>
      </c>
      <c r="J65" s="1" t="str">
        <f>IF(ISBLANK(Customer_Data_[[#This Row],[Loyalty_Level]]),"Silver",Customer_Data_[[#This Row],[Loyalty_Level]])</f>
        <v>Platinum</v>
      </c>
    </row>
    <row r="66" spans="1:10" x14ac:dyDescent="0.35">
      <c r="A66" s="6" t="s">
        <v>235</v>
      </c>
      <c r="B66" s="1" t="s">
        <v>236</v>
      </c>
      <c r="C66" s="1" t="str">
        <f>TRIM(Customer_Data_[[#This Row],[Name]])</f>
        <v>Mr. Mason Butler</v>
      </c>
      <c r="D66" s="1" t="str">
        <f>PROPER(Customer_Data_[[#This Row],[Name 1]])</f>
        <v>Mr. Mason Butler</v>
      </c>
      <c r="E66" s="1">
        <v>33</v>
      </c>
      <c r="F66" s="1" t="s">
        <v>8</v>
      </c>
      <c r="G66" s="1" t="s">
        <v>237</v>
      </c>
      <c r="H66" s="1" t="s">
        <v>131</v>
      </c>
      <c r="I66" s="7" t="s">
        <v>11</v>
      </c>
      <c r="J66" s="1" t="str">
        <f>IF(ISBLANK(Customer_Data_[[#This Row],[Loyalty_Level]]),"Silver",Customer_Data_[[#This Row],[Loyalty_Level]])</f>
        <v>Gold</v>
      </c>
    </row>
    <row r="67" spans="1:10" x14ac:dyDescent="0.35">
      <c r="A67" s="6" t="s">
        <v>238</v>
      </c>
      <c r="B67" s="1" t="s">
        <v>239</v>
      </c>
      <c r="C67" s="1" t="str">
        <f>TRIM(Customer_Data_[[#This Row],[Name]])</f>
        <v>Michael Thomas</v>
      </c>
      <c r="D67" s="1" t="str">
        <f>PROPER(Customer_Data_[[#This Row],[Name 1]])</f>
        <v>Michael Thomas</v>
      </c>
      <c r="E67" s="1">
        <v>21</v>
      </c>
      <c r="F67" s="1" t="s">
        <v>14</v>
      </c>
      <c r="G67" s="1" t="s">
        <v>240</v>
      </c>
      <c r="H67" s="1" t="s">
        <v>182</v>
      </c>
      <c r="I67" s="7" t="s">
        <v>29</v>
      </c>
      <c r="J67" s="1" t="str">
        <f>IF(ISBLANK(Customer_Data_[[#This Row],[Loyalty_Level]]),"Silver",Customer_Data_[[#This Row],[Loyalty_Level]])</f>
        <v>Silver</v>
      </c>
    </row>
    <row r="68" spans="1:10" x14ac:dyDescent="0.35">
      <c r="A68" s="6" t="s">
        <v>241</v>
      </c>
      <c r="B68" s="1" t="s">
        <v>242</v>
      </c>
      <c r="C68" s="1" t="str">
        <f>TRIM(Customer_Data_[[#This Row],[Name]])</f>
        <v>Cody Diaz</v>
      </c>
      <c r="D68" s="1" t="str">
        <f>PROPER(Customer_Data_[[#This Row],[Name 1]])</f>
        <v>Cody Diaz</v>
      </c>
      <c r="E68" s="1">
        <v>27</v>
      </c>
      <c r="F68" s="1" t="s">
        <v>14</v>
      </c>
      <c r="G68" s="1" t="s">
        <v>243</v>
      </c>
      <c r="H68" s="1" t="s">
        <v>45</v>
      </c>
      <c r="I68" s="7" t="s">
        <v>29</v>
      </c>
      <c r="J68" s="1" t="str">
        <f>IF(ISBLANK(Customer_Data_[[#This Row],[Loyalty_Level]]),"Silver",Customer_Data_[[#This Row],[Loyalty_Level]])</f>
        <v>Silver</v>
      </c>
    </row>
    <row r="69" spans="1:10" x14ac:dyDescent="0.35">
      <c r="A69" s="6" t="s">
        <v>244</v>
      </c>
      <c r="B69" s="1" t="s">
        <v>245</v>
      </c>
      <c r="C69" s="1" t="str">
        <f>TRIM(Customer_Data_[[#This Row],[Name]])</f>
        <v>Amber Mcclain</v>
      </c>
      <c r="D69" s="1" t="str">
        <f>PROPER(Customer_Data_[[#This Row],[Name 1]])</f>
        <v>Amber Mcclain</v>
      </c>
      <c r="E69" s="1">
        <v>58</v>
      </c>
      <c r="F69" s="1" t="s">
        <v>8</v>
      </c>
      <c r="G69" s="1" t="s">
        <v>246</v>
      </c>
      <c r="H69" s="1" t="s">
        <v>247</v>
      </c>
      <c r="I69" s="7" t="s">
        <v>29</v>
      </c>
      <c r="J69" s="1" t="str">
        <f>IF(ISBLANK(Customer_Data_[[#This Row],[Loyalty_Level]]),"Silver",Customer_Data_[[#This Row],[Loyalty_Level]])</f>
        <v>Silver</v>
      </c>
    </row>
    <row r="70" spans="1:10" x14ac:dyDescent="0.35">
      <c r="A70" s="6" t="s">
        <v>248</v>
      </c>
      <c r="B70" s="1" t="s">
        <v>249</v>
      </c>
      <c r="C70" s="1" t="str">
        <f>TRIM(Customer_Data_[[#This Row],[Name]])</f>
        <v>Mr. Mark Beasley</v>
      </c>
      <c r="D70" s="1" t="str">
        <f>PROPER(Customer_Data_[[#This Row],[Name 1]])</f>
        <v>Mr. Mark Beasley</v>
      </c>
      <c r="E70" s="1">
        <v>24</v>
      </c>
      <c r="F70" s="1" t="s">
        <v>14</v>
      </c>
      <c r="G70" s="1" t="s">
        <v>250</v>
      </c>
      <c r="H70" s="1" t="s">
        <v>251</v>
      </c>
      <c r="I70" s="7" t="s">
        <v>29</v>
      </c>
      <c r="J70" s="1" t="str">
        <f>IF(ISBLANK(Customer_Data_[[#This Row],[Loyalty_Level]]),"Silver",Customer_Data_[[#This Row],[Loyalty_Level]])</f>
        <v>Silver</v>
      </c>
    </row>
    <row r="71" spans="1:10" x14ac:dyDescent="0.35">
      <c r="A71" s="6" t="s">
        <v>252</v>
      </c>
      <c r="B71" s="1" t="s">
        <v>253</v>
      </c>
      <c r="C71" s="1" t="str">
        <f>TRIM(Customer_Data_[[#This Row],[Name]])</f>
        <v>Roy Cole</v>
      </c>
      <c r="D71" s="1" t="str">
        <f>PROPER(Customer_Data_[[#This Row],[Name 1]])</f>
        <v>Roy Cole</v>
      </c>
      <c r="E71" s="1">
        <v>24</v>
      </c>
      <c r="F71" s="1" t="s">
        <v>14</v>
      </c>
      <c r="G71" s="1" t="s">
        <v>254</v>
      </c>
      <c r="H71" s="1" t="s">
        <v>86</v>
      </c>
      <c r="I71" s="7" t="s">
        <v>17</v>
      </c>
      <c r="J71" s="1" t="str">
        <f>IF(ISBLANK(Customer_Data_[[#This Row],[Loyalty_Level]]),"Silver",Customer_Data_[[#This Row],[Loyalty_Level]])</f>
        <v>Platinum</v>
      </c>
    </row>
    <row r="72" spans="1:10" x14ac:dyDescent="0.35">
      <c r="A72" s="6" t="s">
        <v>255</v>
      </c>
      <c r="B72" s="1" t="s">
        <v>256</v>
      </c>
      <c r="C72" s="1" t="str">
        <f>TRIM(Customer_Data_[[#This Row],[Name]])</f>
        <v>Eric Singh</v>
      </c>
      <c r="D72" s="1" t="str">
        <f>PROPER(Customer_Data_[[#This Row],[Name 1]])</f>
        <v>Eric Singh</v>
      </c>
      <c r="E72" s="1">
        <v>29</v>
      </c>
      <c r="F72" s="1" t="s">
        <v>14</v>
      </c>
      <c r="G72" s="1" t="s">
        <v>257</v>
      </c>
      <c r="H72" s="1" t="s">
        <v>230</v>
      </c>
      <c r="I72" s="7" t="s">
        <v>11</v>
      </c>
      <c r="J72" s="1" t="str">
        <f>IF(ISBLANK(Customer_Data_[[#This Row],[Loyalty_Level]]),"Silver",Customer_Data_[[#This Row],[Loyalty_Level]])</f>
        <v>Gold</v>
      </c>
    </row>
    <row r="73" spans="1:10" x14ac:dyDescent="0.35">
      <c r="A73" s="6" t="s">
        <v>258</v>
      </c>
      <c r="B73" s="1" t="s">
        <v>259</v>
      </c>
      <c r="C73" s="1" t="str">
        <f>TRIM(Customer_Data_[[#This Row],[Name]])</f>
        <v>Andrea Perez</v>
      </c>
      <c r="D73" s="1" t="str">
        <f>PROPER(Customer_Data_[[#This Row],[Name 1]])</f>
        <v>Andrea Perez</v>
      </c>
      <c r="E73" s="1">
        <v>61</v>
      </c>
      <c r="F73" s="1" t="s">
        <v>14</v>
      </c>
      <c r="G73" s="1" t="s">
        <v>260</v>
      </c>
      <c r="H73" s="1" t="s">
        <v>230</v>
      </c>
      <c r="I73" s="7" t="s">
        <v>11</v>
      </c>
      <c r="J73" s="1" t="str">
        <f>IF(ISBLANK(Customer_Data_[[#This Row],[Loyalty_Level]]),"Silver",Customer_Data_[[#This Row],[Loyalty_Level]])</f>
        <v>Gold</v>
      </c>
    </row>
    <row r="74" spans="1:10" x14ac:dyDescent="0.35">
      <c r="A74" s="6" t="s">
        <v>261</v>
      </c>
      <c r="B74" s="1" t="s">
        <v>262</v>
      </c>
      <c r="C74" s="1" t="str">
        <f>TRIM(Customer_Data_[[#This Row],[Name]])</f>
        <v>Tonya Burch</v>
      </c>
      <c r="D74" s="1" t="str">
        <f>PROPER(Customer_Data_[[#This Row],[Name 1]])</f>
        <v>Tonya Burch</v>
      </c>
      <c r="E74" s="1">
        <v>39</v>
      </c>
      <c r="F74" s="1" t="s">
        <v>14</v>
      </c>
      <c r="G74" s="1" t="s">
        <v>263</v>
      </c>
      <c r="H74" s="1" t="s">
        <v>264</v>
      </c>
      <c r="I74" s="7" t="s">
        <v>11</v>
      </c>
      <c r="J74" s="1" t="str">
        <f>IF(ISBLANK(Customer_Data_[[#This Row],[Loyalty_Level]]),"Silver",Customer_Data_[[#This Row],[Loyalty_Level]])</f>
        <v>Gold</v>
      </c>
    </row>
    <row r="75" spans="1:10" x14ac:dyDescent="0.35">
      <c r="A75" s="6" t="s">
        <v>265</v>
      </c>
      <c r="B75" s="1" t="s">
        <v>266</v>
      </c>
      <c r="C75" s="1" t="str">
        <f>TRIM(Customer_Data_[[#This Row],[Name]])</f>
        <v>Christopher Brown</v>
      </c>
      <c r="D75" s="1" t="str">
        <f>PROPER(Customer_Data_[[#This Row],[Name 1]])</f>
        <v>Christopher Brown</v>
      </c>
      <c r="E75" s="1">
        <v>56</v>
      </c>
      <c r="F75" s="1" t="s">
        <v>14</v>
      </c>
      <c r="G75" s="1" t="s">
        <v>267</v>
      </c>
      <c r="H75" s="1" t="s">
        <v>41</v>
      </c>
      <c r="I75" s="7" t="s">
        <v>29</v>
      </c>
      <c r="J75" s="1" t="str">
        <f>IF(ISBLANK(Customer_Data_[[#This Row],[Loyalty_Level]]),"Silver",Customer_Data_[[#This Row],[Loyalty_Level]])</f>
        <v>Silver</v>
      </c>
    </row>
    <row r="76" spans="1:10" x14ac:dyDescent="0.35">
      <c r="A76" s="6" t="s">
        <v>268</v>
      </c>
      <c r="B76" s="1" t="s">
        <v>269</v>
      </c>
      <c r="C76" s="1" t="str">
        <f>TRIM(Customer_Data_[[#This Row],[Name]])</f>
        <v>John Mayer</v>
      </c>
      <c r="D76" s="1" t="str">
        <f>PROPER(Customer_Data_[[#This Row],[Name 1]])</f>
        <v>John Mayer</v>
      </c>
      <c r="E76" s="1">
        <v>58</v>
      </c>
      <c r="F76" s="1" t="s">
        <v>8</v>
      </c>
      <c r="G76" s="1" t="s">
        <v>270</v>
      </c>
      <c r="H76" s="1" t="s">
        <v>271</v>
      </c>
      <c r="I76" s="7" t="s">
        <v>24</v>
      </c>
      <c r="J76" s="1" t="str">
        <f>IF(ISBLANK(Customer_Data_[[#This Row],[Loyalty_Level]]),"Silver",Customer_Data_[[#This Row],[Loyalty_Level]])</f>
        <v>Bronze</v>
      </c>
    </row>
    <row r="77" spans="1:10" x14ac:dyDescent="0.35">
      <c r="A77" s="6" t="s">
        <v>272</v>
      </c>
      <c r="B77" s="1" t="s">
        <v>273</v>
      </c>
      <c r="C77" s="1" t="str">
        <f>TRIM(Customer_Data_[[#This Row],[Name]])</f>
        <v>Rhonda Morales</v>
      </c>
      <c r="D77" s="1" t="str">
        <f>PROPER(Customer_Data_[[#This Row],[Name 1]])</f>
        <v>Rhonda Morales</v>
      </c>
      <c r="E77" s="1">
        <v>61</v>
      </c>
      <c r="F77" s="1" t="s">
        <v>14</v>
      </c>
      <c r="G77" s="1" t="s">
        <v>274</v>
      </c>
      <c r="H77" s="1" t="s">
        <v>28</v>
      </c>
      <c r="I77" s="7" t="s">
        <v>11</v>
      </c>
      <c r="J77" s="1" t="str">
        <f>IF(ISBLANK(Customer_Data_[[#This Row],[Loyalty_Level]]),"Silver",Customer_Data_[[#This Row],[Loyalty_Level]])</f>
        <v>Gold</v>
      </c>
    </row>
    <row r="78" spans="1:10" x14ac:dyDescent="0.35">
      <c r="A78" s="6" t="s">
        <v>275</v>
      </c>
      <c r="B78" s="1" t="s">
        <v>276</v>
      </c>
      <c r="C78" s="1" t="str">
        <f>TRIM(Customer_Data_[[#This Row],[Name]])</f>
        <v>Nathan Campbell</v>
      </c>
      <c r="D78" s="1" t="str">
        <f>PROPER(Customer_Data_[[#This Row],[Name 1]])</f>
        <v>Nathan Campbell</v>
      </c>
      <c r="E78" s="1">
        <v>37</v>
      </c>
      <c r="F78" s="1" t="s">
        <v>8</v>
      </c>
      <c r="G78" s="1" t="s">
        <v>277</v>
      </c>
      <c r="H78" s="1" t="s">
        <v>94</v>
      </c>
      <c r="I78" s="7" t="s">
        <v>11</v>
      </c>
      <c r="J78" s="1" t="str">
        <f>IF(ISBLANK(Customer_Data_[[#This Row],[Loyalty_Level]]),"Silver",Customer_Data_[[#This Row],[Loyalty_Level]])</f>
        <v>Gold</v>
      </c>
    </row>
    <row r="79" spans="1:10" x14ac:dyDescent="0.35">
      <c r="A79" s="6" t="s">
        <v>278</v>
      </c>
      <c r="B79" s="1" t="s">
        <v>279</v>
      </c>
      <c r="C79" s="1" t="str">
        <f>TRIM(Customer_Data_[[#This Row],[Name]])</f>
        <v>Katherine Young</v>
      </c>
      <c r="D79" s="1" t="str">
        <f>PROPER(Customer_Data_[[#This Row],[Name 1]])</f>
        <v>Katherine Young</v>
      </c>
      <c r="E79" s="1">
        <v>29</v>
      </c>
      <c r="F79" s="1" t="s">
        <v>8</v>
      </c>
      <c r="G79" s="1" t="s">
        <v>280</v>
      </c>
      <c r="H79" s="1" t="s">
        <v>169</v>
      </c>
      <c r="I79" s="7" t="s">
        <v>11</v>
      </c>
      <c r="J79" s="1" t="str">
        <f>IF(ISBLANK(Customer_Data_[[#This Row],[Loyalty_Level]]),"Silver",Customer_Data_[[#This Row],[Loyalty_Level]])</f>
        <v>Gold</v>
      </c>
    </row>
    <row r="80" spans="1:10" x14ac:dyDescent="0.35">
      <c r="A80" s="6" t="s">
        <v>281</v>
      </c>
      <c r="B80" s="1" t="s">
        <v>282</v>
      </c>
      <c r="C80" s="1" t="str">
        <f>TRIM(Customer_Data_[[#This Row],[Name]])</f>
        <v>Cody Blake</v>
      </c>
      <c r="D80" s="1" t="str">
        <f>PROPER(Customer_Data_[[#This Row],[Name 1]])</f>
        <v>Cody Blake</v>
      </c>
      <c r="E80" s="1">
        <v>21</v>
      </c>
      <c r="F80" s="1" t="s">
        <v>8</v>
      </c>
      <c r="G80" s="1" t="s">
        <v>283</v>
      </c>
      <c r="H80" s="1" t="s">
        <v>284</v>
      </c>
      <c r="I80" s="7" t="s">
        <v>11</v>
      </c>
      <c r="J80" s="1" t="str">
        <f>IF(ISBLANK(Customer_Data_[[#This Row],[Loyalty_Level]]),"Silver",Customer_Data_[[#This Row],[Loyalty_Level]])</f>
        <v>Gold</v>
      </c>
    </row>
    <row r="81" spans="1:10" x14ac:dyDescent="0.35">
      <c r="A81" s="6" t="s">
        <v>285</v>
      </c>
      <c r="B81" s="1" t="s">
        <v>286</v>
      </c>
      <c r="C81" s="1" t="str">
        <f>TRIM(Customer_Data_[[#This Row],[Name]])</f>
        <v>Molly Gardner</v>
      </c>
      <c r="D81" s="1" t="str">
        <f>PROPER(Customer_Data_[[#This Row],[Name 1]])</f>
        <v>Molly Gardner</v>
      </c>
      <c r="E81" s="1">
        <v>22</v>
      </c>
      <c r="F81" s="1" t="s">
        <v>14</v>
      </c>
      <c r="G81" s="1" t="s">
        <v>287</v>
      </c>
      <c r="H81" s="1" t="s">
        <v>288</v>
      </c>
      <c r="I81" s="7" t="s">
        <v>17</v>
      </c>
      <c r="J81" s="1" t="str">
        <f>IF(ISBLANK(Customer_Data_[[#This Row],[Loyalty_Level]]),"Silver",Customer_Data_[[#This Row],[Loyalty_Level]])</f>
        <v>Platinum</v>
      </c>
    </row>
    <row r="82" spans="1:10" x14ac:dyDescent="0.35">
      <c r="A82" s="6" t="s">
        <v>289</v>
      </c>
      <c r="B82" s="1" t="s">
        <v>290</v>
      </c>
      <c r="C82" s="1" t="str">
        <f>TRIM(Customer_Data_[[#This Row],[Name]])</f>
        <v>Jennifer Garcia</v>
      </c>
      <c r="D82" s="1" t="str">
        <f>PROPER(Customer_Data_[[#This Row],[Name 1]])</f>
        <v>Jennifer Garcia</v>
      </c>
      <c r="E82" s="1">
        <v>61</v>
      </c>
      <c r="F82" s="1" t="s">
        <v>14</v>
      </c>
      <c r="G82" s="1" t="s">
        <v>291</v>
      </c>
      <c r="H82" s="1" t="s">
        <v>230</v>
      </c>
      <c r="I82" s="7" t="s">
        <v>24</v>
      </c>
      <c r="J82" s="1" t="str">
        <f>IF(ISBLANK(Customer_Data_[[#This Row],[Loyalty_Level]]),"Silver",Customer_Data_[[#This Row],[Loyalty_Level]])</f>
        <v>Bronze</v>
      </c>
    </row>
    <row r="83" spans="1:10" x14ac:dyDescent="0.35">
      <c r="A83" s="6" t="s">
        <v>292</v>
      </c>
      <c r="B83" s="1" t="s">
        <v>293</v>
      </c>
      <c r="C83" s="1" t="str">
        <f>TRIM(Customer_Data_[[#This Row],[Name]])</f>
        <v>Krystal Ford</v>
      </c>
      <c r="D83" s="1" t="str">
        <f>PROPER(Customer_Data_[[#This Row],[Name 1]])</f>
        <v>Krystal Ford</v>
      </c>
      <c r="E83" s="1">
        <v>34</v>
      </c>
      <c r="F83" s="1" t="s">
        <v>14</v>
      </c>
      <c r="G83" s="1" t="s">
        <v>294</v>
      </c>
      <c r="H83" s="1" t="s">
        <v>131</v>
      </c>
      <c r="I83" s="7" t="s">
        <v>17</v>
      </c>
      <c r="J83" s="1" t="str">
        <f>IF(ISBLANK(Customer_Data_[[#This Row],[Loyalty_Level]]),"Silver",Customer_Data_[[#This Row],[Loyalty_Level]])</f>
        <v>Platinum</v>
      </c>
    </row>
    <row r="84" spans="1:10" x14ac:dyDescent="0.35">
      <c r="A84" s="6" t="s">
        <v>295</v>
      </c>
      <c r="B84" s="1" t="s">
        <v>296</v>
      </c>
      <c r="C84" s="1" t="str">
        <f>TRIM(Customer_Data_[[#This Row],[Name]])</f>
        <v>George Rosario</v>
      </c>
      <c r="D84" s="1" t="str">
        <f>PROPER(Customer_Data_[[#This Row],[Name 1]])</f>
        <v>George Rosario</v>
      </c>
      <c r="E84" s="1">
        <v>53</v>
      </c>
      <c r="F84" s="1" t="s">
        <v>8</v>
      </c>
      <c r="G84" s="1" t="s">
        <v>297</v>
      </c>
      <c r="H84" s="1" t="s">
        <v>247</v>
      </c>
      <c r="I84" s="7" t="s">
        <v>24</v>
      </c>
      <c r="J84" s="1" t="str">
        <f>IF(ISBLANK(Customer_Data_[[#This Row],[Loyalty_Level]]),"Silver",Customer_Data_[[#This Row],[Loyalty_Level]])</f>
        <v>Bronze</v>
      </c>
    </row>
    <row r="85" spans="1:10" x14ac:dyDescent="0.35">
      <c r="A85" s="6" t="s">
        <v>298</v>
      </c>
      <c r="B85" s="1" t="s">
        <v>299</v>
      </c>
      <c r="C85" s="1" t="str">
        <f>TRIM(Customer_Data_[[#This Row],[Name]])</f>
        <v>Thomas Robinson</v>
      </c>
      <c r="D85" s="1" t="str">
        <f>PROPER(Customer_Data_[[#This Row],[Name 1]])</f>
        <v>Thomas Robinson</v>
      </c>
      <c r="E85" s="1">
        <v>48</v>
      </c>
      <c r="F85" s="1" t="s">
        <v>14</v>
      </c>
      <c r="G85" s="1" t="s">
        <v>300</v>
      </c>
      <c r="H85" s="1" t="s">
        <v>79</v>
      </c>
      <c r="I85" s="7" t="s">
        <v>24</v>
      </c>
      <c r="J85" s="1" t="str">
        <f>IF(ISBLANK(Customer_Data_[[#This Row],[Loyalty_Level]]),"Silver",Customer_Data_[[#This Row],[Loyalty_Level]])</f>
        <v>Bronze</v>
      </c>
    </row>
    <row r="86" spans="1:10" x14ac:dyDescent="0.35">
      <c r="A86" s="6" t="s">
        <v>301</v>
      </c>
      <c r="B86" s="1" t="s">
        <v>302</v>
      </c>
      <c r="C86" s="1" t="str">
        <f>TRIM(Customer_Data_[[#This Row],[Name]])</f>
        <v>Christy Hoffman</v>
      </c>
      <c r="D86" s="1" t="str">
        <f>PROPER(Customer_Data_[[#This Row],[Name 1]])</f>
        <v>Christy Hoffman</v>
      </c>
      <c r="E86" s="1">
        <v>26</v>
      </c>
      <c r="F86" s="1" t="s">
        <v>14</v>
      </c>
      <c r="G86" s="1" t="s">
        <v>303</v>
      </c>
      <c r="H86" s="1" t="s">
        <v>251</v>
      </c>
      <c r="I86" s="7" t="s">
        <v>17</v>
      </c>
      <c r="J86" s="1" t="str">
        <f>IF(ISBLANK(Customer_Data_[[#This Row],[Loyalty_Level]]),"Silver",Customer_Data_[[#This Row],[Loyalty_Level]])</f>
        <v>Platinum</v>
      </c>
    </row>
    <row r="87" spans="1:10" x14ac:dyDescent="0.35">
      <c r="A87" s="6" t="s">
        <v>304</v>
      </c>
      <c r="B87" s="1" t="s">
        <v>305</v>
      </c>
      <c r="C87" s="1" t="str">
        <f>TRIM(Customer_Data_[[#This Row],[Name]])</f>
        <v>Richard Delgado</v>
      </c>
      <c r="D87" s="1" t="str">
        <f>PROPER(Customer_Data_[[#This Row],[Name 1]])</f>
        <v>Richard Delgado</v>
      </c>
      <c r="E87" s="1">
        <v>36</v>
      </c>
      <c r="F87" s="1" t="s">
        <v>8</v>
      </c>
      <c r="G87" s="1" t="s">
        <v>306</v>
      </c>
      <c r="H87" s="1" t="s">
        <v>49</v>
      </c>
      <c r="I87" s="7" t="s">
        <v>29</v>
      </c>
      <c r="J87" s="1" t="str">
        <f>IF(ISBLANK(Customer_Data_[[#This Row],[Loyalty_Level]]),"Silver",Customer_Data_[[#This Row],[Loyalty_Level]])</f>
        <v>Silver</v>
      </c>
    </row>
    <row r="88" spans="1:10" x14ac:dyDescent="0.35">
      <c r="A88" s="6" t="s">
        <v>307</v>
      </c>
      <c r="B88" s="1" t="s">
        <v>308</v>
      </c>
      <c r="C88" s="1" t="str">
        <f>TRIM(Customer_Data_[[#This Row],[Name]])</f>
        <v>Tammy Miller MD</v>
      </c>
      <c r="D88" s="1" t="str">
        <f>PROPER(Customer_Data_[[#This Row],[Name 1]])</f>
        <v>Tammy Miller Md</v>
      </c>
      <c r="E88" s="1">
        <v>19</v>
      </c>
      <c r="F88" s="1" t="s">
        <v>14</v>
      </c>
      <c r="G88" s="1" t="s">
        <v>309</v>
      </c>
      <c r="H88" s="1" t="s">
        <v>310</v>
      </c>
      <c r="I88" s="7" t="s">
        <v>11</v>
      </c>
      <c r="J88" s="1" t="str">
        <f>IF(ISBLANK(Customer_Data_[[#This Row],[Loyalty_Level]]),"Silver",Customer_Data_[[#This Row],[Loyalty_Level]])</f>
        <v>Gold</v>
      </c>
    </row>
    <row r="89" spans="1:10" x14ac:dyDescent="0.35">
      <c r="A89" s="6" t="s">
        <v>311</v>
      </c>
      <c r="B89" s="1" t="s">
        <v>312</v>
      </c>
      <c r="C89" s="1" t="str">
        <f>TRIM(Customer_Data_[[#This Row],[Name]])</f>
        <v>Melissa Duffy MD</v>
      </c>
      <c r="D89" s="1" t="str">
        <f>PROPER(Customer_Data_[[#This Row],[Name 1]])</f>
        <v>Melissa Duffy Md</v>
      </c>
      <c r="E89" s="1">
        <v>58</v>
      </c>
      <c r="F89" s="1" t="s">
        <v>14</v>
      </c>
      <c r="G89" s="1" t="s">
        <v>313</v>
      </c>
      <c r="H89" s="1" t="s">
        <v>314</v>
      </c>
      <c r="I89" s="7" t="s">
        <v>24</v>
      </c>
      <c r="J89" s="1" t="str">
        <f>IF(ISBLANK(Customer_Data_[[#This Row],[Loyalty_Level]]),"Silver",Customer_Data_[[#This Row],[Loyalty_Level]])</f>
        <v>Bronze</v>
      </c>
    </row>
    <row r="90" spans="1:10" x14ac:dyDescent="0.35">
      <c r="A90" s="6" t="s">
        <v>315</v>
      </c>
      <c r="B90" s="1" t="s">
        <v>316</v>
      </c>
      <c r="C90" s="1" t="str">
        <f>TRIM(Customer_Data_[[#This Row],[Name]])</f>
        <v>Timothy Wright</v>
      </c>
      <c r="D90" s="1" t="str">
        <f>PROPER(Customer_Data_[[#This Row],[Name 1]])</f>
        <v>Timothy Wright</v>
      </c>
      <c r="E90" s="1">
        <v>58</v>
      </c>
      <c r="F90" s="1" t="s">
        <v>8</v>
      </c>
      <c r="G90" s="1" t="s">
        <v>317</v>
      </c>
      <c r="H90" s="1" t="s">
        <v>288</v>
      </c>
      <c r="I90" s="7" t="s">
        <v>29</v>
      </c>
      <c r="J90" s="1" t="str">
        <f>IF(ISBLANK(Customer_Data_[[#This Row],[Loyalty_Level]]),"Silver",Customer_Data_[[#This Row],[Loyalty_Level]])</f>
        <v>Silver</v>
      </c>
    </row>
    <row r="91" spans="1:10" x14ac:dyDescent="0.35">
      <c r="A91" s="6" t="s">
        <v>318</v>
      </c>
      <c r="B91" s="1" t="s">
        <v>319</v>
      </c>
      <c r="C91" s="1" t="str">
        <f>TRIM(Customer_Data_[[#This Row],[Name]])</f>
        <v>Jamie Yoder</v>
      </c>
      <c r="D91" s="1" t="str">
        <f>PROPER(Customer_Data_[[#This Row],[Name 1]])</f>
        <v>Jamie Yoder</v>
      </c>
      <c r="E91" s="1">
        <v>43</v>
      </c>
      <c r="F91" s="1" t="s">
        <v>8</v>
      </c>
      <c r="G91" s="1" t="s">
        <v>320</v>
      </c>
      <c r="H91" s="1" t="s">
        <v>321</v>
      </c>
      <c r="I91" s="7" t="s">
        <v>17</v>
      </c>
      <c r="J91" s="1" t="str">
        <f>IF(ISBLANK(Customer_Data_[[#This Row],[Loyalty_Level]]),"Silver",Customer_Data_[[#This Row],[Loyalty_Level]])</f>
        <v>Platinum</v>
      </c>
    </row>
    <row r="92" spans="1:10" x14ac:dyDescent="0.35">
      <c r="A92" s="6" t="s">
        <v>322</v>
      </c>
      <c r="B92" s="1" t="s">
        <v>323</v>
      </c>
      <c r="C92" s="1" t="str">
        <f>TRIM(Customer_Data_[[#This Row],[Name]])</f>
        <v>Oscar Moon</v>
      </c>
      <c r="D92" s="1" t="str">
        <f>PROPER(Customer_Data_[[#This Row],[Name 1]])</f>
        <v>Oscar Moon</v>
      </c>
      <c r="E92" s="1">
        <v>58</v>
      </c>
      <c r="F92" s="1" t="s">
        <v>14</v>
      </c>
      <c r="G92" s="1" t="s">
        <v>324</v>
      </c>
      <c r="H92" s="1" t="s">
        <v>325</v>
      </c>
      <c r="I92" s="7" t="s">
        <v>17</v>
      </c>
      <c r="J92" s="1" t="str">
        <f>IF(ISBLANK(Customer_Data_[[#This Row],[Loyalty_Level]]),"Silver",Customer_Data_[[#This Row],[Loyalty_Level]])</f>
        <v>Platinum</v>
      </c>
    </row>
    <row r="93" spans="1:10" x14ac:dyDescent="0.35">
      <c r="A93" s="6" t="s">
        <v>326</v>
      </c>
      <c r="B93" s="1" t="s">
        <v>327</v>
      </c>
      <c r="C93" s="1" t="str">
        <f>TRIM(Customer_Data_[[#This Row],[Name]])</f>
        <v>Donna Gregory</v>
      </c>
      <c r="D93" s="1" t="str">
        <f>PROPER(Customer_Data_[[#This Row],[Name 1]])</f>
        <v>Donna Gregory</v>
      </c>
      <c r="E93" s="1">
        <v>29</v>
      </c>
      <c r="F93" s="1" t="s">
        <v>14</v>
      </c>
      <c r="G93" s="1" t="s">
        <v>328</v>
      </c>
      <c r="H93" s="1" t="s">
        <v>131</v>
      </c>
      <c r="I93" s="7" t="s">
        <v>29</v>
      </c>
      <c r="J93" s="1" t="str">
        <f>IF(ISBLANK(Customer_Data_[[#This Row],[Loyalty_Level]]),"Silver",Customer_Data_[[#This Row],[Loyalty_Level]])</f>
        <v>Silver</v>
      </c>
    </row>
    <row r="94" spans="1:10" x14ac:dyDescent="0.35">
      <c r="A94" s="6" t="s">
        <v>329</v>
      </c>
      <c r="B94" s="1" t="s">
        <v>330</v>
      </c>
      <c r="C94" s="1" t="str">
        <f>TRIM(Customer_Data_[[#This Row],[Name]])</f>
        <v>Robert Jackson</v>
      </c>
      <c r="D94" s="1" t="str">
        <f>PROPER(Customer_Data_[[#This Row],[Name 1]])</f>
        <v>Robert Jackson</v>
      </c>
      <c r="E94" s="1">
        <v>44</v>
      </c>
      <c r="F94" s="1" t="s">
        <v>14</v>
      </c>
      <c r="G94" s="1" t="s">
        <v>331</v>
      </c>
      <c r="H94" s="1" t="s">
        <v>234</v>
      </c>
      <c r="I94" s="7" t="s">
        <v>17</v>
      </c>
      <c r="J94" s="1" t="str">
        <f>IF(ISBLANK(Customer_Data_[[#This Row],[Loyalty_Level]]),"Silver",Customer_Data_[[#This Row],[Loyalty_Level]])</f>
        <v>Platinum</v>
      </c>
    </row>
    <row r="95" spans="1:10" x14ac:dyDescent="0.35">
      <c r="A95" s="6" t="s">
        <v>332</v>
      </c>
      <c r="B95" s="1" t="s">
        <v>333</v>
      </c>
      <c r="C95" s="1" t="str">
        <f>TRIM(Customer_Data_[[#This Row],[Name]])</f>
        <v>Christy Vasquez</v>
      </c>
      <c r="D95" s="1" t="str">
        <f>PROPER(Customer_Data_[[#This Row],[Name 1]])</f>
        <v>Christy Vasquez</v>
      </c>
      <c r="E95" s="1">
        <v>28</v>
      </c>
      <c r="F95" s="1" t="s">
        <v>14</v>
      </c>
      <c r="G95" s="1" t="s">
        <v>334</v>
      </c>
      <c r="H95" s="1" t="s">
        <v>314</v>
      </c>
      <c r="I95" s="7" t="s">
        <v>11</v>
      </c>
      <c r="J95" s="1" t="str">
        <f>IF(ISBLANK(Customer_Data_[[#This Row],[Loyalty_Level]]),"Silver",Customer_Data_[[#This Row],[Loyalty_Level]])</f>
        <v>Gold</v>
      </c>
    </row>
    <row r="96" spans="1:10" x14ac:dyDescent="0.35">
      <c r="A96" s="6" t="s">
        <v>335</v>
      </c>
      <c r="B96" s="1" t="s">
        <v>336</v>
      </c>
      <c r="C96" s="1" t="str">
        <f>TRIM(Customer_Data_[[#This Row],[Name]])</f>
        <v>David Patterson</v>
      </c>
      <c r="D96" s="1" t="str">
        <f>PROPER(Customer_Data_[[#This Row],[Name 1]])</f>
        <v>David Patterson</v>
      </c>
      <c r="E96" s="1">
        <v>43</v>
      </c>
      <c r="F96" s="1" t="s">
        <v>14</v>
      </c>
      <c r="G96" s="1" t="s">
        <v>337</v>
      </c>
      <c r="H96" s="1" t="s">
        <v>182</v>
      </c>
      <c r="I96" s="7" t="s">
        <v>11</v>
      </c>
      <c r="J96" s="1" t="str">
        <f>IF(ISBLANK(Customer_Data_[[#This Row],[Loyalty_Level]]),"Silver",Customer_Data_[[#This Row],[Loyalty_Level]])</f>
        <v>Gold</v>
      </c>
    </row>
    <row r="97" spans="1:10" x14ac:dyDescent="0.35">
      <c r="A97" s="6" t="s">
        <v>338</v>
      </c>
      <c r="B97" s="1" t="s">
        <v>339</v>
      </c>
      <c r="C97" s="1" t="str">
        <f>TRIM(Customer_Data_[[#This Row],[Name]])</f>
        <v>Amy Fowler</v>
      </c>
      <c r="D97" s="1" t="str">
        <f>PROPER(Customer_Data_[[#This Row],[Name 1]])</f>
        <v>Amy Fowler</v>
      </c>
      <c r="E97" s="1">
        <v>62</v>
      </c>
      <c r="F97" s="1" t="s">
        <v>14</v>
      </c>
      <c r="G97" s="1" t="s">
        <v>340</v>
      </c>
      <c r="H97" s="1" t="s">
        <v>56</v>
      </c>
      <c r="I97" s="7" t="s">
        <v>17</v>
      </c>
      <c r="J97" s="1" t="str">
        <f>IF(ISBLANK(Customer_Data_[[#This Row],[Loyalty_Level]]),"Silver",Customer_Data_[[#This Row],[Loyalty_Level]])</f>
        <v>Platinum</v>
      </c>
    </row>
    <row r="98" spans="1:10" x14ac:dyDescent="0.35">
      <c r="A98" s="6" t="s">
        <v>341</v>
      </c>
      <c r="B98" s="1" t="s">
        <v>342</v>
      </c>
      <c r="C98" s="1" t="str">
        <f>TRIM(Customer_Data_[[#This Row],[Name]])</f>
        <v>Samantha Walker</v>
      </c>
      <c r="D98" s="1" t="str">
        <f>PROPER(Customer_Data_[[#This Row],[Name 1]])</f>
        <v>Samantha Walker</v>
      </c>
      <c r="E98" s="1">
        <v>30</v>
      </c>
      <c r="F98" s="1" t="s">
        <v>14</v>
      </c>
      <c r="G98" s="1" t="s">
        <v>343</v>
      </c>
      <c r="H98" s="1" t="s">
        <v>325</v>
      </c>
      <c r="I98" s="7" t="s">
        <v>17</v>
      </c>
      <c r="J98" s="1" t="str">
        <f>IF(ISBLANK(Customer_Data_[[#This Row],[Loyalty_Level]]),"Silver",Customer_Data_[[#This Row],[Loyalty_Level]])</f>
        <v>Platinum</v>
      </c>
    </row>
    <row r="99" spans="1:10" x14ac:dyDescent="0.35">
      <c r="A99" s="6" t="s">
        <v>344</v>
      </c>
      <c r="B99" s="1" t="s">
        <v>345</v>
      </c>
      <c r="C99" s="1" t="str">
        <f>TRIM(Customer_Data_[[#This Row],[Name]])</f>
        <v>David Cobb</v>
      </c>
      <c r="D99" s="1" t="str">
        <f>PROPER(Customer_Data_[[#This Row],[Name 1]])</f>
        <v>David Cobb</v>
      </c>
      <c r="E99" s="1">
        <v>36</v>
      </c>
      <c r="F99" s="1" t="s">
        <v>8</v>
      </c>
      <c r="G99" s="1" t="s">
        <v>346</v>
      </c>
      <c r="H99" s="1" t="s">
        <v>37</v>
      </c>
      <c r="I99" s="7" t="s">
        <v>29</v>
      </c>
      <c r="J99" s="1" t="str">
        <f>IF(ISBLANK(Customer_Data_[[#This Row],[Loyalty_Level]]),"Silver",Customer_Data_[[#This Row],[Loyalty_Level]])</f>
        <v>Silver</v>
      </c>
    </row>
    <row r="100" spans="1:10" x14ac:dyDescent="0.35">
      <c r="A100" s="6" t="s">
        <v>347</v>
      </c>
      <c r="B100" s="1" t="s">
        <v>348</v>
      </c>
      <c r="C100" s="1" t="str">
        <f>TRIM(Customer_Data_[[#This Row],[Name]])</f>
        <v>Brittney Morgan</v>
      </c>
      <c r="D100" s="1" t="str">
        <f>PROPER(Customer_Data_[[#This Row],[Name 1]])</f>
        <v>Brittney Morgan</v>
      </c>
      <c r="E100" s="1">
        <v>24</v>
      </c>
      <c r="F100" s="1" t="s">
        <v>8</v>
      </c>
      <c r="G100" s="1" t="s">
        <v>349</v>
      </c>
      <c r="H100" s="1" t="s">
        <v>161</v>
      </c>
      <c r="I100" s="7" t="s">
        <v>11</v>
      </c>
      <c r="J100" s="1" t="str">
        <f>IF(ISBLANK(Customer_Data_[[#This Row],[Loyalty_Level]]),"Silver",Customer_Data_[[#This Row],[Loyalty_Level]])</f>
        <v>Gold</v>
      </c>
    </row>
    <row r="101" spans="1:10" x14ac:dyDescent="0.35">
      <c r="A101" s="6" t="s">
        <v>350</v>
      </c>
      <c r="B101" s="1" t="s">
        <v>351</v>
      </c>
      <c r="C101" s="1" t="str">
        <f>TRIM(Customer_Data_[[#This Row],[Name]])</f>
        <v>Sheila Wilson</v>
      </c>
      <c r="D101" s="1" t="str">
        <f>PROPER(Customer_Data_[[#This Row],[Name 1]])</f>
        <v>Sheila Wilson</v>
      </c>
      <c r="E101" s="1">
        <v>35</v>
      </c>
      <c r="F101" s="1" t="s">
        <v>8</v>
      </c>
      <c r="G101" s="1" t="s">
        <v>352</v>
      </c>
      <c r="H101" s="1" t="s">
        <v>234</v>
      </c>
      <c r="I101" s="7" t="s">
        <v>29</v>
      </c>
      <c r="J101" s="1" t="str">
        <f>IF(ISBLANK(Customer_Data_[[#This Row],[Loyalty_Level]]),"Silver",Customer_Data_[[#This Row],[Loyalty_Level]])</f>
        <v>Silver</v>
      </c>
    </row>
    <row r="102" spans="1:10" x14ac:dyDescent="0.35">
      <c r="A102" s="6" t="s">
        <v>353</v>
      </c>
      <c r="B102" s="1" t="s">
        <v>354</v>
      </c>
      <c r="C102" s="1" t="str">
        <f>TRIM(Customer_Data_[[#This Row],[Name]])</f>
        <v>Diane Watson</v>
      </c>
      <c r="D102" s="1" t="str">
        <f>PROPER(Customer_Data_[[#This Row],[Name 1]])</f>
        <v>Diane Watson</v>
      </c>
      <c r="E102" s="1">
        <v>53</v>
      </c>
      <c r="F102" s="1" t="s">
        <v>14</v>
      </c>
      <c r="G102" s="1" t="s">
        <v>355</v>
      </c>
      <c r="H102" s="1" t="s">
        <v>356</v>
      </c>
      <c r="I102" s="7" t="s">
        <v>17</v>
      </c>
      <c r="J102" s="1" t="str">
        <f>IF(ISBLANK(Customer_Data_[[#This Row],[Loyalty_Level]]),"Silver",Customer_Data_[[#This Row],[Loyalty_Level]])</f>
        <v>Platinum</v>
      </c>
    </row>
    <row r="103" spans="1:10" x14ac:dyDescent="0.35">
      <c r="A103" s="6" t="s">
        <v>357</v>
      </c>
      <c r="B103" s="1" t="s">
        <v>358</v>
      </c>
      <c r="C103" s="1" t="str">
        <f>TRIM(Customer_Data_[[#This Row],[Name]])</f>
        <v>Colleen Maynard</v>
      </c>
      <c r="D103" s="1" t="str">
        <f>PROPER(Customer_Data_[[#This Row],[Name 1]])</f>
        <v>Colleen Maynard</v>
      </c>
      <c r="E103" s="1">
        <v>29</v>
      </c>
      <c r="F103" s="1" t="s">
        <v>8</v>
      </c>
      <c r="G103" s="1" t="s">
        <v>359</v>
      </c>
      <c r="H103" s="1" t="s">
        <v>115</v>
      </c>
      <c r="I103" s="7" t="s">
        <v>11</v>
      </c>
      <c r="J103" s="1" t="str">
        <f>IF(ISBLANK(Customer_Data_[[#This Row],[Loyalty_Level]]),"Silver",Customer_Data_[[#This Row],[Loyalty_Level]])</f>
        <v>Gold</v>
      </c>
    </row>
    <row r="104" spans="1:10" x14ac:dyDescent="0.35">
      <c r="A104" s="6" t="s">
        <v>360</v>
      </c>
      <c r="B104" s="1" t="s">
        <v>361</v>
      </c>
      <c r="C104" s="1" t="str">
        <f>TRIM(Customer_Data_[[#This Row],[Name]])</f>
        <v>Sarah Schneider</v>
      </c>
      <c r="D104" s="1" t="str">
        <f>PROPER(Customer_Data_[[#This Row],[Name 1]])</f>
        <v>Sarah Schneider</v>
      </c>
      <c r="E104" s="1">
        <v>34</v>
      </c>
      <c r="F104" s="1" t="s">
        <v>14</v>
      </c>
      <c r="G104" s="1" t="s">
        <v>362</v>
      </c>
      <c r="H104" s="1" t="s">
        <v>49</v>
      </c>
      <c r="I104" s="7" t="s">
        <v>24</v>
      </c>
      <c r="J104" s="1" t="str">
        <f>IF(ISBLANK(Customer_Data_[[#This Row],[Loyalty_Level]]),"Silver",Customer_Data_[[#This Row],[Loyalty_Level]])</f>
        <v>Bronze</v>
      </c>
    </row>
    <row r="105" spans="1:10" x14ac:dyDescent="0.35">
      <c r="A105" s="6" t="s">
        <v>363</v>
      </c>
      <c r="B105" s="1" t="s">
        <v>364</v>
      </c>
      <c r="C105" s="1" t="str">
        <f>TRIM(Customer_Data_[[#This Row],[Name]])</f>
        <v>Steven Stein</v>
      </c>
      <c r="D105" s="1" t="str">
        <f>PROPER(Customer_Data_[[#This Row],[Name 1]])</f>
        <v>Steven Stein</v>
      </c>
      <c r="E105" s="1">
        <v>21</v>
      </c>
      <c r="F105" s="1" t="s">
        <v>8</v>
      </c>
      <c r="G105" s="1" t="s">
        <v>365</v>
      </c>
      <c r="H105" s="1" t="s">
        <v>165</v>
      </c>
      <c r="I105" s="7" t="s">
        <v>24</v>
      </c>
      <c r="J105" s="1" t="str">
        <f>IF(ISBLANK(Customer_Data_[[#This Row],[Loyalty_Level]]),"Silver",Customer_Data_[[#This Row],[Loyalty_Level]])</f>
        <v>Bronze</v>
      </c>
    </row>
    <row r="106" spans="1:10" x14ac:dyDescent="0.35">
      <c r="A106" s="6" t="s">
        <v>366</v>
      </c>
      <c r="B106" s="1" t="s">
        <v>367</v>
      </c>
      <c r="C106" s="1" t="str">
        <f>TRIM(Customer_Data_[[#This Row],[Name]])</f>
        <v>Christopher Lester</v>
      </c>
      <c r="D106" s="1" t="str">
        <f>PROPER(Customer_Data_[[#This Row],[Name 1]])</f>
        <v>Christopher Lester</v>
      </c>
      <c r="E106" s="1">
        <v>64</v>
      </c>
      <c r="F106" s="1" t="s">
        <v>8</v>
      </c>
      <c r="G106" s="1" t="s">
        <v>368</v>
      </c>
      <c r="H106" s="1" t="s">
        <v>79</v>
      </c>
      <c r="I106" s="7" t="s">
        <v>29</v>
      </c>
      <c r="J106" s="1" t="str">
        <f>IF(ISBLANK(Customer_Data_[[#This Row],[Loyalty_Level]]),"Silver",Customer_Data_[[#This Row],[Loyalty_Level]])</f>
        <v>Silver</v>
      </c>
    </row>
    <row r="107" spans="1:10" x14ac:dyDescent="0.35">
      <c r="A107" s="6" t="s">
        <v>369</v>
      </c>
      <c r="B107" s="1" t="s">
        <v>370</v>
      </c>
      <c r="C107" s="1" t="str">
        <f>TRIM(Customer_Data_[[#This Row],[Name]])</f>
        <v>Lance Baker</v>
      </c>
      <c r="D107" s="1" t="str">
        <f>PROPER(Customer_Data_[[#This Row],[Name 1]])</f>
        <v>Lance Baker</v>
      </c>
      <c r="E107" s="1">
        <v>50</v>
      </c>
      <c r="F107" s="1" t="s">
        <v>14</v>
      </c>
      <c r="G107" s="1" t="s">
        <v>371</v>
      </c>
      <c r="H107" s="1" t="s">
        <v>247</v>
      </c>
      <c r="I107" s="7" t="s">
        <v>11</v>
      </c>
      <c r="J107" s="1" t="str">
        <f>IF(ISBLANK(Customer_Data_[[#This Row],[Loyalty_Level]]),"Silver",Customer_Data_[[#This Row],[Loyalty_Level]])</f>
        <v>Gold</v>
      </c>
    </row>
    <row r="108" spans="1:10" x14ac:dyDescent="0.35">
      <c r="A108" s="6" t="s">
        <v>372</v>
      </c>
      <c r="B108" s="1" t="s">
        <v>373</v>
      </c>
      <c r="C108" s="1" t="str">
        <f>TRIM(Customer_Data_[[#This Row],[Name]])</f>
        <v>Howard Summers</v>
      </c>
      <c r="D108" s="1" t="str">
        <f>PROPER(Customer_Data_[[#This Row],[Name 1]])</f>
        <v>Howard Summers</v>
      </c>
      <c r="E108" s="1">
        <v>53</v>
      </c>
      <c r="F108" s="1" t="s">
        <v>14</v>
      </c>
      <c r="G108" s="1" t="s">
        <v>374</v>
      </c>
      <c r="H108" s="1" t="s">
        <v>214</v>
      </c>
      <c r="I108" s="7" t="s">
        <v>24</v>
      </c>
      <c r="J108" s="1" t="str">
        <f>IF(ISBLANK(Customer_Data_[[#This Row],[Loyalty_Level]]),"Silver",Customer_Data_[[#This Row],[Loyalty_Level]])</f>
        <v>Bronze</v>
      </c>
    </row>
    <row r="109" spans="1:10" x14ac:dyDescent="0.35">
      <c r="A109" s="6" t="s">
        <v>375</v>
      </c>
      <c r="B109" s="1" t="s">
        <v>376</v>
      </c>
      <c r="C109" s="1" t="str">
        <f>TRIM(Customer_Data_[[#This Row],[Name]])</f>
        <v>Erica Carney</v>
      </c>
      <c r="D109" s="1" t="str">
        <f>PROPER(Customer_Data_[[#This Row],[Name 1]])</f>
        <v>Erica Carney</v>
      </c>
      <c r="E109" s="1">
        <v>62</v>
      </c>
      <c r="F109" s="1" t="s">
        <v>14</v>
      </c>
      <c r="G109" s="1" t="s">
        <v>377</v>
      </c>
      <c r="H109" s="1" t="s">
        <v>16</v>
      </c>
      <c r="I109" s="7" t="s">
        <v>17</v>
      </c>
      <c r="J109" s="1" t="str">
        <f>IF(ISBLANK(Customer_Data_[[#This Row],[Loyalty_Level]]),"Silver",Customer_Data_[[#This Row],[Loyalty_Level]])</f>
        <v>Platinum</v>
      </c>
    </row>
    <row r="110" spans="1:10" x14ac:dyDescent="0.35">
      <c r="A110" s="6" t="s">
        <v>378</v>
      </c>
      <c r="B110" s="1" t="s">
        <v>379</v>
      </c>
      <c r="C110" s="1" t="str">
        <f>TRIM(Customer_Data_[[#This Row],[Name]])</f>
        <v>Travis Holland</v>
      </c>
      <c r="D110" s="1" t="str">
        <f>PROPER(Customer_Data_[[#This Row],[Name 1]])</f>
        <v>Travis Holland</v>
      </c>
      <c r="E110" s="1">
        <v>38</v>
      </c>
      <c r="F110" s="1" t="s">
        <v>8</v>
      </c>
      <c r="G110" s="1" t="s">
        <v>380</v>
      </c>
      <c r="H110" s="1" t="s">
        <v>45</v>
      </c>
      <c r="I110" s="7" t="s">
        <v>24</v>
      </c>
      <c r="J110" s="1" t="str">
        <f>IF(ISBLANK(Customer_Data_[[#This Row],[Loyalty_Level]]),"Silver",Customer_Data_[[#This Row],[Loyalty_Level]])</f>
        <v>Bronze</v>
      </c>
    </row>
    <row r="111" spans="1:10" x14ac:dyDescent="0.35">
      <c r="A111" s="6" t="s">
        <v>381</v>
      </c>
      <c r="B111" s="1" t="s">
        <v>382</v>
      </c>
      <c r="C111" s="1" t="str">
        <f>TRIM(Customer_Data_[[#This Row],[Name]])</f>
        <v>Amy Walker</v>
      </c>
      <c r="D111" s="1" t="str">
        <f>PROPER(Customer_Data_[[#This Row],[Name 1]])</f>
        <v>Amy Walker</v>
      </c>
      <c r="E111" s="1">
        <v>27</v>
      </c>
      <c r="F111" s="1" t="s">
        <v>8</v>
      </c>
      <c r="G111" s="1" t="s">
        <v>383</v>
      </c>
      <c r="H111" s="1" t="s">
        <v>41</v>
      </c>
      <c r="I111" s="7" t="s">
        <v>29</v>
      </c>
      <c r="J111" s="1" t="str">
        <f>IF(ISBLANK(Customer_Data_[[#This Row],[Loyalty_Level]]),"Silver",Customer_Data_[[#This Row],[Loyalty_Level]])</f>
        <v>Silver</v>
      </c>
    </row>
    <row r="112" spans="1:10" x14ac:dyDescent="0.35">
      <c r="A112" s="6" t="s">
        <v>384</v>
      </c>
      <c r="B112" s="1" t="s">
        <v>385</v>
      </c>
      <c r="C112" s="1" t="str">
        <f>TRIM(Customer_Data_[[#This Row],[Name]])</f>
        <v>Ashley Griffin</v>
      </c>
      <c r="D112" s="1" t="str">
        <f>PROPER(Customer_Data_[[#This Row],[Name 1]])</f>
        <v>Ashley Griffin</v>
      </c>
      <c r="E112" s="1">
        <v>40</v>
      </c>
      <c r="F112" s="1" t="s">
        <v>14</v>
      </c>
      <c r="G112" s="1" t="s">
        <v>386</v>
      </c>
      <c r="H112" s="1" t="s">
        <v>138</v>
      </c>
      <c r="I112" s="7" t="s">
        <v>11</v>
      </c>
      <c r="J112" s="1" t="str">
        <f>IF(ISBLANK(Customer_Data_[[#This Row],[Loyalty_Level]]),"Silver",Customer_Data_[[#This Row],[Loyalty_Level]])</f>
        <v>Gold</v>
      </c>
    </row>
    <row r="113" spans="1:10" x14ac:dyDescent="0.35">
      <c r="A113" s="6" t="s">
        <v>387</v>
      </c>
      <c r="B113" s="1" t="s">
        <v>388</v>
      </c>
      <c r="C113" s="1" t="str">
        <f>TRIM(Customer_Data_[[#This Row],[Name]])</f>
        <v>Julie Farmer</v>
      </c>
      <c r="D113" s="1" t="str">
        <f>PROPER(Customer_Data_[[#This Row],[Name 1]])</f>
        <v>Julie Farmer</v>
      </c>
      <c r="E113" s="1">
        <v>18</v>
      </c>
      <c r="F113" s="1" t="s">
        <v>14</v>
      </c>
      <c r="G113" s="1" t="s">
        <v>389</v>
      </c>
      <c r="H113" s="1" t="s">
        <v>131</v>
      </c>
      <c r="I113" s="7" t="s">
        <v>17</v>
      </c>
      <c r="J113" s="1" t="str">
        <f>IF(ISBLANK(Customer_Data_[[#This Row],[Loyalty_Level]]),"Silver",Customer_Data_[[#This Row],[Loyalty_Level]])</f>
        <v>Platinum</v>
      </c>
    </row>
    <row r="114" spans="1:10" x14ac:dyDescent="0.35">
      <c r="A114" s="6" t="s">
        <v>390</v>
      </c>
      <c r="B114" s="1" t="s">
        <v>391</v>
      </c>
      <c r="C114" s="1" t="str">
        <f>TRIM(Customer_Data_[[#This Row],[Name]])</f>
        <v>David Cole</v>
      </c>
      <c r="D114" s="1" t="str">
        <f>PROPER(Customer_Data_[[#This Row],[Name 1]])</f>
        <v>David Cole</v>
      </c>
      <c r="E114" s="1">
        <v>27</v>
      </c>
      <c r="F114" s="1" t="s">
        <v>14</v>
      </c>
      <c r="G114" s="1" t="s">
        <v>392</v>
      </c>
      <c r="H114" s="1" t="s">
        <v>154</v>
      </c>
      <c r="I114" s="7" t="s">
        <v>29</v>
      </c>
      <c r="J114" s="1" t="str">
        <f>IF(ISBLANK(Customer_Data_[[#This Row],[Loyalty_Level]]),"Silver",Customer_Data_[[#This Row],[Loyalty_Level]])</f>
        <v>Silver</v>
      </c>
    </row>
    <row r="115" spans="1:10" x14ac:dyDescent="0.35">
      <c r="A115" s="6" t="s">
        <v>393</v>
      </c>
      <c r="B115" s="1" t="s">
        <v>394</v>
      </c>
      <c r="C115" s="1" t="str">
        <f>TRIM(Customer_Data_[[#This Row],[Name]])</f>
        <v>Edward Hall</v>
      </c>
      <c r="D115" s="1" t="str">
        <f>PROPER(Customer_Data_[[#This Row],[Name 1]])</f>
        <v>Edward Hall</v>
      </c>
      <c r="E115" s="1">
        <v>51</v>
      </c>
      <c r="F115" s="1" t="s">
        <v>8</v>
      </c>
      <c r="G115" s="1" t="s">
        <v>395</v>
      </c>
      <c r="H115" s="1" t="s">
        <v>230</v>
      </c>
      <c r="I115" s="7" t="s">
        <v>11</v>
      </c>
      <c r="J115" s="1" t="str">
        <f>IF(ISBLANK(Customer_Data_[[#This Row],[Loyalty_Level]]),"Silver",Customer_Data_[[#This Row],[Loyalty_Level]])</f>
        <v>Gold</v>
      </c>
    </row>
    <row r="116" spans="1:10" x14ac:dyDescent="0.35">
      <c r="A116" s="6" t="s">
        <v>396</v>
      </c>
      <c r="B116" s="1" t="s">
        <v>397</v>
      </c>
      <c r="C116" s="1" t="str">
        <f>TRIM(Customer_Data_[[#This Row],[Name]])</f>
        <v>Ryan Hernandez</v>
      </c>
      <c r="D116" s="1" t="str">
        <f>PROPER(Customer_Data_[[#This Row],[Name 1]])</f>
        <v>Ryan Hernandez</v>
      </c>
      <c r="E116" s="1">
        <v>30</v>
      </c>
      <c r="F116" s="1" t="s">
        <v>8</v>
      </c>
      <c r="G116" s="1" t="s">
        <v>398</v>
      </c>
      <c r="H116" s="1" t="s">
        <v>182</v>
      </c>
      <c r="I116" s="7" t="s">
        <v>24</v>
      </c>
      <c r="J116" s="1" t="str">
        <f>IF(ISBLANK(Customer_Data_[[#This Row],[Loyalty_Level]]),"Silver",Customer_Data_[[#This Row],[Loyalty_Level]])</f>
        <v>Bronze</v>
      </c>
    </row>
    <row r="117" spans="1:10" x14ac:dyDescent="0.35">
      <c r="A117" s="6" t="s">
        <v>399</v>
      </c>
      <c r="B117" s="1" t="s">
        <v>400</v>
      </c>
      <c r="C117" s="1" t="str">
        <f>TRIM(Customer_Data_[[#This Row],[Name]])</f>
        <v>Tyler Conrad</v>
      </c>
      <c r="D117" s="1" t="str">
        <f>PROPER(Customer_Data_[[#This Row],[Name 1]])</f>
        <v>Tyler Conrad</v>
      </c>
      <c r="E117" s="1">
        <v>53</v>
      </c>
      <c r="F117" s="1" t="s">
        <v>14</v>
      </c>
      <c r="G117" s="1" t="s">
        <v>401</v>
      </c>
      <c r="H117" s="1" t="s">
        <v>16</v>
      </c>
      <c r="I117" s="7" t="s">
        <v>17</v>
      </c>
      <c r="J117" s="1" t="str">
        <f>IF(ISBLANK(Customer_Data_[[#This Row],[Loyalty_Level]]),"Silver",Customer_Data_[[#This Row],[Loyalty_Level]])</f>
        <v>Platinum</v>
      </c>
    </row>
    <row r="118" spans="1:10" x14ac:dyDescent="0.35">
      <c r="A118" s="6" t="s">
        <v>402</v>
      </c>
      <c r="B118" s="1" t="s">
        <v>403</v>
      </c>
      <c r="C118" s="1" t="str">
        <f>TRIM(Customer_Data_[[#This Row],[Name]])</f>
        <v>Anthony Phillips</v>
      </c>
      <c r="D118" s="1" t="str">
        <f>PROPER(Customer_Data_[[#This Row],[Name 1]])</f>
        <v>Anthony Phillips</v>
      </c>
      <c r="E118" s="1">
        <v>18</v>
      </c>
      <c r="F118" s="1" t="s">
        <v>14</v>
      </c>
      <c r="G118" s="1" t="s">
        <v>404</v>
      </c>
      <c r="H118" s="1" t="s">
        <v>214</v>
      </c>
      <c r="I118" s="7" t="s">
        <v>17</v>
      </c>
      <c r="J118" s="1" t="str">
        <f>IF(ISBLANK(Customer_Data_[[#This Row],[Loyalty_Level]]),"Silver",Customer_Data_[[#This Row],[Loyalty_Level]])</f>
        <v>Platinum</v>
      </c>
    </row>
    <row r="119" spans="1:10" x14ac:dyDescent="0.35">
      <c r="A119" s="6" t="s">
        <v>405</v>
      </c>
      <c r="B119" s="1" t="s">
        <v>406</v>
      </c>
      <c r="C119" s="1" t="str">
        <f>TRIM(Customer_Data_[[#This Row],[Name]])</f>
        <v>Colleen Mccarthy</v>
      </c>
      <c r="D119" s="1" t="str">
        <f>PROPER(Customer_Data_[[#This Row],[Name 1]])</f>
        <v>Colleen Mccarthy</v>
      </c>
      <c r="E119" s="1">
        <v>21</v>
      </c>
      <c r="F119" s="1" t="s">
        <v>14</v>
      </c>
      <c r="G119" s="1" t="s">
        <v>407</v>
      </c>
      <c r="H119" s="1" t="s">
        <v>72</v>
      </c>
      <c r="I119" s="7" t="s">
        <v>17</v>
      </c>
      <c r="J119" s="1" t="str">
        <f>IF(ISBLANK(Customer_Data_[[#This Row],[Loyalty_Level]]),"Silver",Customer_Data_[[#This Row],[Loyalty_Level]])</f>
        <v>Platinum</v>
      </c>
    </row>
    <row r="120" spans="1:10" x14ac:dyDescent="0.35">
      <c r="A120" s="6" t="s">
        <v>408</v>
      </c>
      <c r="B120" s="1" t="s">
        <v>409</v>
      </c>
      <c r="C120" s="1" t="str">
        <f>TRIM(Customer_Data_[[#This Row],[Name]])</f>
        <v>Earl Allen</v>
      </c>
      <c r="D120" s="1" t="str">
        <f>PROPER(Customer_Data_[[#This Row],[Name 1]])</f>
        <v>Earl Allen</v>
      </c>
      <c r="E120" s="1">
        <v>36</v>
      </c>
      <c r="F120" s="1" t="s">
        <v>8</v>
      </c>
      <c r="G120" s="1" t="s">
        <v>410</v>
      </c>
      <c r="H120" s="1" t="s">
        <v>68</v>
      </c>
      <c r="I120" s="7" t="s">
        <v>17</v>
      </c>
      <c r="J120" s="1" t="str">
        <f>IF(ISBLANK(Customer_Data_[[#This Row],[Loyalty_Level]]),"Silver",Customer_Data_[[#This Row],[Loyalty_Level]])</f>
        <v>Platinum</v>
      </c>
    </row>
    <row r="121" spans="1:10" x14ac:dyDescent="0.35">
      <c r="A121" s="6" t="s">
        <v>411</v>
      </c>
      <c r="B121" s="1" t="s">
        <v>412</v>
      </c>
      <c r="C121" s="1" t="str">
        <f>TRIM(Customer_Data_[[#This Row],[Name]])</f>
        <v>Michael Jones</v>
      </c>
      <c r="D121" s="1" t="str">
        <f>PROPER(Customer_Data_[[#This Row],[Name 1]])</f>
        <v>Michael Jones</v>
      </c>
      <c r="E121" s="1">
        <v>40</v>
      </c>
      <c r="F121" s="1" t="s">
        <v>8</v>
      </c>
      <c r="G121" s="1" t="s">
        <v>413</v>
      </c>
      <c r="H121" s="1" t="s">
        <v>234</v>
      </c>
      <c r="I121" s="7" t="s">
        <v>24</v>
      </c>
      <c r="J121" s="1" t="str">
        <f>IF(ISBLANK(Customer_Data_[[#This Row],[Loyalty_Level]]),"Silver",Customer_Data_[[#This Row],[Loyalty_Level]])</f>
        <v>Bronze</v>
      </c>
    </row>
    <row r="122" spans="1:10" x14ac:dyDescent="0.35">
      <c r="A122" s="6" t="s">
        <v>414</v>
      </c>
      <c r="B122" s="1" t="s">
        <v>415</v>
      </c>
      <c r="C122" s="1" t="str">
        <f>TRIM(Customer_Data_[[#This Row],[Name]])</f>
        <v>Jacob Hopkins</v>
      </c>
      <c r="D122" s="1" t="str">
        <f>PROPER(Customer_Data_[[#This Row],[Name 1]])</f>
        <v>Jacob Hopkins</v>
      </c>
      <c r="E122" s="1">
        <v>44</v>
      </c>
      <c r="F122" s="1" t="s">
        <v>14</v>
      </c>
      <c r="G122" s="1" t="s">
        <v>2311</v>
      </c>
      <c r="H122" s="1" t="s">
        <v>49</v>
      </c>
      <c r="I122" s="7" t="s">
        <v>17</v>
      </c>
      <c r="J122" s="1" t="str">
        <f>IF(ISBLANK(Customer_Data_[[#This Row],[Loyalty_Level]]),"Silver",Customer_Data_[[#This Row],[Loyalty_Level]])</f>
        <v>Platinum</v>
      </c>
    </row>
    <row r="123" spans="1:10" x14ac:dyDescent="0.35">
      <c r="A123" s="6" t="s">
        <v>416</v>
      </c>
      <c r="B123" s="1" t="s">
        <v>417</v>
      </c>
      <c r="C123" s="1" t="str">
        <f>TRIM(Customer_Data_[[#This Row],[Name]])</f>
        <v>Joel Robinson</v>
      </c>
      <c r="D123" s="1" t="str">
        <f>PROPER(Customer_Data_[[#This Row],[Name 1]])</f>
        <v>Joel Robinson</v>
      </c>
      <c r="E123" s="1">
        <v>62</v>
      </c>
      <c r="F123" s="1" t="s">
        <v>8</v>
      </c>
      <c r="G123" s="1" t="s">
        <v>418</v>
      </c>
      <c r="H123" s="1" t="s">
        <v>97</v>
      </c>
      <c r="I123" s="7" t="s">
        <v>17</v>
      </c>
      <c r="J123" s="1" t="str">
        <f>IF(ISBLANK(Customer_Data_[[#This Row],[Loyalty_Level]]),"Silver",Customer_Data_[[#This Row],[Loyalty_Level]])</f>
        <v>Platinum</v>
      </c>
    </row>
    <row r="124" spans="1:10" x14ac:dyDescent="0.35">
      <c r="A124" s="6" t="s">
        <v>419</v>
      </c>
      <c r="B124" s="1" t="s">
        <v>420</v>
      </c>
      <c r="C124" s="1" t="str">
        <f>TRIM(Customer_Data_[[#This Row],[Name]])</f>
        <v>Michael Chang</v>
      </c>
      <c r="D124" s="1" t="str">
        <f>PROPER(Customer_Data_[[#This Row],[Name 1]])</f>
        <v>Michael Chang</v>
      </c>
      <c r="E124" s="1">
        <v>50</v>
      </c>
      <c r="F124" s="1" t="s">
        <v>8</v>
      </c>
      <c r="G124" s="1" t="s">
        <v>421</v>
      </c>
      <c r="H124" s="1" t="s">
        <v>10</v>
      </c>
      <c r="I124" s="7" t="s">
        <v>17</v>
      </c>
      <c r="J124" s="1" t="str">
        <f>IF(ISBLANK(Customer_Data_[[#This Row],[Loyalty_Level]]),"Silver",Customer_Data_[[#This Row],[Loyalty_Level]])</f>
        <v>Platinum</v>
      </c>
    </row>
    <row r="125" spans="1:10" x14ac:dyDescent="0.35">
      <c r="A125" s="6" t="s">
        <v>422</v>
      </c>
      <c r="B125" s="1" t="s">
        <v>423</v>
      </c>
      <c r="C125" s="1" t="str">
        <f>TRIM(Customer_Data_[[#This Row],[Name]])</f>
        <v>Erin Hopkins</v>
      </c>
      <c r="D125" s="1" t="str">
        <f>PROPER(Customer_Data_[[#This Row],[Name 1]])</f>
        <v>Erin Hopkins</v>
      </c>
      <c r="E125" s="1">
        <v>40</v>
      </c>
      <c r="F125" s="1" t="s">
        <v>8</v>
      </c>
      <c r="G125" s="1" t="s">
        <v>424</v>
      </c>
      <c r="H125" s="1" t="s">
        <v>264</v>
      </c>
      <c r="I125" s="7" t="s">
        <v>29</v>
      </c>
      <c r="J125" s="1" t="str">
        <f>IF(ISBLANK(Customer_Data_[[#This Row],[Loyalty_Level]]),"Silver",Customer_Data_[[#This Row],[Loyalty_Level]])</f>
        <v>Silver</v>
      </c>
    </row>
    <row r="126" spans="1:10" x14ac:dyDescent="0.35">
      <c r="A126" s="6" t="s">
        <v>425</v>
      </c>
      <c r="B126" s="1" t="s">
        <v>426</v>
      </c>
      <c r="C126" s="1" t="str">
        <f>TRIM(Customer_Data_[[#This Row],[Name]])</f>
        <v>Donald Lee</v>
      </c>
      <c r="D126" s="1" t="str">
        <f>PROPER(Customer_Data_[[#This Row],[Name 1]])</f>
        <v>Donald Lee</v>
      </c>
      <c r="E126" s="1">
        <v>26</v>
      </c>
      <c r="F126" s="1" t="s">
        <v>8</v>
      </c>
      <c r="G126" s="1" t="s">
        <v>427</v>
      </c>
      <c r="H126" s="1" t="s">
        <v>191</v>
      </c>
      <c r="I126" s="7" t="s">
        <v>24</v>
      </c>
      <c r="J126" s="1" t="str">
        <f>IF(ISBLANK(Customer_Data_[[#This Row],[Loyalty_Level]]),"Silver",Customer_Data_[[#This Row],[Loyalty_Level]])</f>
        <v>Bronze</v>
      </c>
    </row>
    <row r="127" spans="1:10" x14ac:dyDescent="0.35">
      <c r="A127" s="6" t="s">
        <v>428</v>
      </c>
      <c r="B127" s="1" t="s">
        <v>429</v>
      </c>
      <c r="C127" s="1" t="str">
        <f>TRIM(Customer_Data_[[#This Row],[Name]])</f>
        <v>Keith Miller</v>
      </c>
      <c r="D127" s="1" t="str">
        <f>PROPER(Customer_Data_[[#This Row],[Name 1]])</f>
        <v>Keith Miller</v>
      </c>
      <c r="E127" s="1">
        <v>64</v>
      </c>
      <c r="F127" s="1" t="s">
        <v>14</v>
      </c>
      <c r="G127" s="1" t="s">
        <v>430</v>
      </c>
      <c r="H127" s="1" t="s">
        <v>431</v>
      </c>
      <c r="I127" s="7" t="s">
        <v>17</v>
      </c>
      <c r="J127" s="1" t="str">
        <f>IF(ISBLANK(Customer_Data_[[#This Row],[Loyalty_Level]]),"Silver",Customer_Data_[[#This Row],[Loyalty_Level]])</f>
        <v>Platinum</v>
      </c>
    </row>
    <row r="128" spans="1:10" x14ac:dyDescent="0.35">
      <c r="A128" s="6" t="s">
        <v>432</v>
      </c>
      <c r="B128" s="1" t="s">
        <v>433</v>
      </c>
      <c r="C128" s="1" t="str">
        <f>TRIM(Customer_Data_[[#This Row],[Name]])</f>
        <v>James Wolfe</v>
      </c>
      <c r="D128" s="1" t="str">
        <f>PROPER(Customer_Data_[[#This Row],[Name 1]])</f>
        <v>James Wolfe</v>
      </c>
      <c r="E128" s="1">
        <v>62</v>
      </c>
      <c r="F128" s="1" t="s">
        <v>14</v>
      </c>
      <c r="G128" s="1" t="s">
        <v>434</v>
      </c>
      <c r="H128" s="1" t="s">
        <v>131</v>
      </c>
      <c r="I128" s="7" t="s">
        <v>11</v>
      </c>
      <c r="J128" s="1" t="str">
        <f>IF(ISBLANK(Customer_Data_[[#This Row],[Loyalty_Level]]),"Silver",Customer_Data_[[#This Row],[Loyalty_Level]])</f>
        <v>Gold</v>
      </c>
    </row>
    <row r="129" spans="1:10" x14ac:dyDescent="0.35">
      <c r="A129" s="6" t="s">
        <v>435</v>
      </c>
      <c r="B129" s="1" t="s">
        <v>436</v>
      </c>
      <c r="C129" s="1" t="str">
        <f>TRIM(Customer_Data_[[#This Row],[Name]])</f>
        <v>John Mcknight</v>
      </c>
      <c r="D129" s="1" t="str">
        <f>PROPER(Customer_Data_[[#This Row],[Name 1]])</f>
        <v>John Mcknight</v>
      </c>
      <c r="E129" s="1">
        <v>39</v>
      </c>
      <c r="F129" s="1" t="s">
        <v>8</v>
      </c>
      <c r="G129" s="1" t="s">
        <v>437</v>
      </c>
      <c r="H129" s="1" t="s">
        <v>169</v>
      </c>
      <c r="I129" s="7" t="s">
        <v>17</v>
      </c>
      <c r="J129" s="1" t="str">
        <f>IF(ISBLANK(Customer_Data_[[#This Row],[Loyalty_Level]]),"Silver",Customer_Data_[[#This Row],[Loyalty_Level]])</f>
        <v>Platinum</v>
      </c>
    </row>
    <row r="130" spans="1:10" x14ac:dyDescent="0.35">
      <c r="A130" s="6" t="s">
        <v>438</v>
      </c>
      <c r="B130" s="1" t="s">
        <v>439</v>
      </c>
      <c r="C130" s="1" t="str">
        <f>TRIM(Customer_Data_[[#This Row],[Name]])</f>
        <v>Susan Mcdonald</v>
      </c>
      <c r="D130" s="1" t="str">
        <f>PROPER(Customer_Data_[[#This Row],[Name 1]])</f>
        <v>Susan Mcdonald</v>
      </c>
      <c r="E130" s="1">
        <v>45</v>
      </c>
      <c r="F130" s="1" t="s">
        <v>8</v>
      </c>
      <c r="G130" s="1" t="s">
        <v>440</v>
      </c>
      <c r="H130" s="1" t="s">
        <v>288</v>
      </c>
      <c r="I130" s="7" t="s">
        <v>29</v>
      </c>
      <c r="J130" s="1" t="str">
        <f>IF(ISBLANK(Customer_Data_[[#This Row],[Loyalty_Level]]),"Silver",Customer_Data_[[#This Row],[Loyalty_Level]])</f>
        <v>Silver</v>
      </c>
    </row>
    <row r="131" spans="1:10" x14ac:dyDescent="0.35">
      <c r="A131" s="6" t="s">
        <v>441</v>
      </c>
      <c r="B131" s="1" t="s">
        <v>442</v>
      </c>
      <c r="C131" s="1" t="str">
        <f>TRIM(Customer_Data_[[#This Row],[Name]])</f>
        <v>Jessica Mitchell</v>
      </c>
      <c r="D131" s="1" t="str">
        <f>PROPER(Customer_Data_[[#This Row],[Name 1]])</f>
        <v>Jessica Mitchell</v>
      </c>
      <c r="E131" s="1">
        <v>43</v>
      </c>
      <c r="F131" s="1" t="s">
        <v>14</v>
      </c>
      <c r="G131" s="1" t="s">
        <v>443</v>
      </c>
      <c r="H131" s="1" t="s">
        <v>37</v>
      </c>
      <c r="I131" s="7" t="s">
        <v>29</v>
      </c>
      <c r="J131" s="1" t="str">
        <f>IF(ISBLANK(Customer_Data_[[#This Row],[Loyalty_Level]]),"Silver",Customer_Data_[[#This Row],[Loyalty_Level]])</f>
        <v>Silver</v>
      </c>
    </row>
    <row r="132" spans="1:10" x14ac:dyDescent="0.35">
      <c r="A132" s="6" t="s">
        <v>444</v>
      </c>
      <c r="B132" s="1" t="s">
        <v>445</v>
      </c>
      <c r="C132" s="1" t="str">
        <f>TRIM(Customer_Data_[[#This Row],[Name]])</f>
        <v>Jamie Reyes</v>
      </c>
      <c r="D132" s="1" t="str">
        <f>PROPER(Customer_Data_[[#This Row],[Name 1]])</f>
        <v>Jamie Reyes</v>
      </c>
      <c r="E132" s="1">
        <v>29</v>
      </c>
      <c r="F132" s="1" t="s">
        <v>8</v>
      </c>
      <c r="G132" s="1" t="s">
        <v>2312</v>
      </c>
      <c r="H132" s="1" t="s">
        <v>165</v>
      </c>
      <c r="I132" s="7" t="s">
        <v>17</v>
      </c>
      <c r="J132" s="1" t="str">
        <f>IF(ISBLANK(Customer_Data_[[#This Row],[Loyalty_Level]]),"Silver",Customer_Data_[[#This Row],[Loyalty_Level]])</f>
        <v>Platinum</v>
      </c>
    </row>
    <row r="133" spans="1:10" x14ac:dyDescent="0.35">
      <c r="A133" s="6" t="s">
        <v>446</v>
      </c>
      <c r="B133" s="1" t="s">
        <v>447</v>
      </c>
      <c r="C133" s="1" t="str">
        <f>TRIM(Customer_Data_[[#This Row],[Name]])</f>
        <v>Joseph Richards</v>
      </c>
      <c r="D133" s="1" t="str">
        <f>PROPER(Customer_Data_[[#This Row],[Name 1]])</f>
        <v>Joseph Richards</v>
      </c>
      <c r="E133" s="1">
        <v>34</v>
      </c>
      <c r="F133" s="1" t="s">
        <v>14</v>
      </c>
      <c r="G133" s="1" t="s">
        <v>448</v>
      </c>
      <c r="H133" s="1" t="s">
        <v>20</v>
      </c>
      <c r="I133" s="7" t="s">
        <v>24</v>
      </c>
      <c r="J133" s="1" t="str">
        <f>IF(ISBLANK(Customer_Data_[[#This Row],[Loyalty_Level]]),"Silver",Customer_Data_[[#This Row],[Loyalty_Level]])</f>
        <v>Bronze</v>
      </c>
    </row>
    <row r="134" spans="1:10" x14ac:dyDescent="0.35">
      <c r="A134" s="6" t="s">
        <v>449</v>
      </c>
      <c r="B134" s="1" t="s">
        <v>450</v>
      </c>
      <c r="C134" s="1" t="str">
        <f>TRIM(Customer_Data_[[#This Row],[Name]])</f>
        <v>Miguel Reynolds</v>
      </c>
      <c r="D134" s="1" t="str">
        <f>PROPER(Customer_Data_[[#This Row],[Name 1]])</f>
        <v>Miguel Reynolds</v>
      </c>
      <c r="E134" s="1">
        <v>57</v>
      </c>
      <c r="F134" s="1" t="s">
        <v>14</v>
      </c>
      <c r="G134" s="1" t="s">
        <v>451</v>
      </c>
      <c r="H134" s="1" t="s">
        <v>23</v>
      </c>
      <c r="I134" s="7" t="s">
        <v>11</v>
      </c>
      <c r="J134" s="1" t="str">
        <f>IF(ISBLANK(Customer_Data_[[#This Row],[Loyalty_Level]]),"Silver",Customer_Data_[[#This Row],[Loyalty_Level]])</f>
        <v>Gold</v>
      </c>
    </row>
    <row r="135" spans="1:10" x14ac:dyDescent="0.35">
      <c r="A135" s="6" t="s">
        <v>452</v>
      </c>
      <c r="B135" s="1" t="s">
        <v>453</v>
      </c>
      <c r="C135" s="1" t="str">
        <f>TRIM(Customer_Data_[[#This Row],[Name]])</f>
        <v>Hayley Pope</v>
      </c>
      <c r="D135" s="1" t="str">
        <f>PROPER(Customer_Data_[[#This Row],[Name 1]])</f>
        <v>Hayley Pope</v>
      </c>
      <c r="E135" s="1">
        <v>62</v>
      </c>
      <c r="F135" s="1" t="s">
        <v>14</v>
      </c>
      <c r="G135" s="1" t="s">
        <v>454</v>
      </c>
      <c r="H135" s="1" t="s">
        <v>247</v>
      </c>
      <c r="I135" s="7" t="s">
        <v>24</v>
      </c>
      <c r="J135" s="1" t="str">
        <f>IF(ISBLANK(Customer_Data_[[#This Row],[Loyalty_Level]]),"Silver",Customer_Data_[[#This Row],[Loyalty_Level]])</f>
        <v>Bronze</v>
      </c>
    </row>
    <row r="136" spans="1:10" x14ac:dyDescent="0.35">
      <c r="A136" s="6" t="s">
        <v>455</v>
      </c>
      <c r="B136" s="1" t="s">
        <v>456</v>
      </c>
      <c r="C136" s="1" t="str">
        <f>TRIM(Customer_Data_[[#This Row],[Name]])</f>
        <v>Morgan Bowen</v>
      </c>
      <c r="D136" s="1" t="str">
        <f>PROPER(Customer_Data_[[#This Row],[Name 1]])</f>
        <v>Morgan Bowen</v>
      </c>
      <c r="E136" s="1">
        <v>54</v>
      </c>
      <c r="F136" s="1" t="s">
        <v>8</v>
      </c>
      <c r="G136" s="1" t="s">
        <v>457</v>
      </c>
      <c r="H136" s="1" t="s">
        <v>72</v>
      </c>
      <c r="I136" s="7" t="s">
        <v>11</v>
      </c>
      <c r="J136" s="1" t="str">
        <f>IF(ISBLANK(Customer_Data_[[#This Row],[Loyalty_Level]]),"Silver",Customer_Data_[[#This Row],[Loyalty_Level]])</f>
        <v>Gold</v>
      </c>
    </row>
    <row r="137" spans="1:10" x14ac:dyDescent="0.35">
      <c r="A137" s="6" t="s">
        <v>458</v>
      </c>
      <c r="B137" s="1" t="s">
        <v>459</v>
      </c>
      <c r="C137" s="1" t="str">
        <f>TRIM(Customer_Data_[[#This Row],[Name]])</f>
        <v>Matthew Hanna</v>
      </c>
      <c r="D137" s="1" t="str">
        <f>PROPER(Customer_Data_[[#This Row],[Name 1]])</f>
        <v>Matthew Hanna</v>
      </c>
      <c r="E137" s="1">
        <v>33</v>
      </c>
      <c r="F137" s="1" t="s">
        <v>14</v>
      </c>
      <c r="G137" s="1" t="s">
        <v>460</v>
      </c>
      <c r="H137" s="1" t="s">
        <v>154</v>
      </c>
      <c r="I137" s="7" t="s">
        <v>17</v>
      </c>
      <c r="J137" s="1" t="str">
        <f>IF(ISBLANK(Customer_Data_[[#This Row],[Loyalty_Level]]),"Silver",Customer_Data_[[#This Row],[Loyalty_Level]])</f>
        <v>Platinum</v>
      </c>
    </row>
    <row r="138" spans="1:10" x14ac:dyDescent="0.35">
      <c r="A138" s="6" t="s">
        <v>461</v>
      </c>
      <c r="B138" s="1" t="s">
        <v>462</v>
      </c>
      <c r="C138" s="1" t="str">
        <f>TRIM(Customer_Data_[[#This Row],[Name]])</f>
        <v>Patrick Coleman</v>
      </c>
      <c r="D138" s="1" t="str">
        <f>PROPER(Customer_Data_[[#This Row],[Name 1]])</f>
        <v>Patrick Coleman</v>
      </c>
      <c r="E138" s="1">
        <v>29</v>
      </c>
      <c r="F138" s="1" t="s">
        <v>8</v>
      </c>
      <c r="G138" s="1" t="s">
        <v>463</v>
      </c>
      <c r="H138" s="1" t="s">
        <v>68</v>
      </c>
      <c r="I138" s="7" t="s">
        <v>29</v>
      </c>
      <c r="J138" s="1" t="str">
        <f>IF(ISBLANK(Customer_Data_[[#This Row],[Loyalty_Level]]),"Silver",Customer_Data_[[#This Row],[Loyalty_Level]])</f>
        <v>Silver</v>
      </c>
    </row>
    <row r="139" spans="1:10" x14ac:dyDescent="0.35">
      <c r="A139" s="6" t="s">
        <v>464</v>
      </c>
      <c r="B139" s="1" t="s">
        <v>465</v>
      </c>
      <c r="C139" s="1" t="str">
        <f>TRIM(Customer_Data_[[#This Row],[Name]])</f>
        <v>Rick Dominguez</v>
      </c>
      <c r="D139" s="1" t="str">
        <f>PROPER(Customer_Data_[[#This Row],[Name 1]])</f>
        <v>Rick Dominguez</v>
      </c>
      <c r="E139" s="1">
        <v>55</v>
      </c>
      <c r="F139" s="1" t="s">
        <v>14</v>
      </c>
      <c r="G139" s="1" t="s">
        <v>466</v>
      </c>
      <c r="H139" s="1" t="s">
        <v>23</v>
      </c>
      <c r="I139" s="7" t="s">
        <v>17</v>
      </c>
      <c r="J139" s="1" t="str">
        <f>IF(ISBLANK(Customer_Data_[[#This Row],[Loyalty_Level]]),"Silver",Customer_Data_[[#This Row],[Loyalty_Level]])</f>
        <v>Platinum</v>
      </c>
    </row>
    <row r="140" spans="1:10" x14ac:dyDescent="0.35">
      <c r="A140" s="6" t="s">
        <v>467</v>
      </c>
      <c r="B140" s="1" t="s">
        <v>468</v>
      </c>
      <c r="C140" s="1" t="str">
        <f>TRIM(Customer_Data_[[#This Row],[Name]])</f>
        <v>Sean Roth</v>
      </c>
      <c r="D140" s="1" t="str">
        <f>PROPER(Customer_Data_[[#This Row],[Name 1]])</f>
        <v>Sean Roth</v>
      </c>
      <c r="E140" s="1">
        <v>43</v>
      </c>
      <c r="F140" s="1" t="s">
        <v>8</v>
      </c>
      <c r="G140" s="1" t="s">
        <v>392</v>
      </c>
      <c r="H140" s="1" t="s">
        <v>284</v>
      </c>
      <c r="I140" s="7" t="s">
        <v>11</v>
      </c>
      <c r="J140" s="1" t="str">
        <f>IF(ISBLANK(Customer_Data_[[#This Row],[Loyalty_Level]]),"Silver",Customer_Data_[[#This Row],[Loyalty_Level]])</f>
        <v>Gold</v>
      </c>
    </row>
    <row r="141" spans="1:10" x14ac:dyDescent="0.35">
      <c r="A141" s="6" t="s">
        <v>469</v>
      </c>
      <c r="B141" s="1" t="s">
        <v>470</v>
      </c>
      <c r="C141" s="1" t="str">
        <f>TRIM(Customer_Data_[[#This Row],[Name]])</f>
        <v>Brian Holder</v>
      </c>
      <c r="D141" s="1" t="str">
        <f>PROPER(Customer_Data_[[#This Row],[Name 1]])</f>
        <v>Brian Holder</v>
      </c>
      <c r="E141" s="1">
        <v>32</v>
      </c>
      <c r="F141" s="1" t="s">
        <v>8</v>
      </c>
      <c r="G141" s="1" t="s">
        <v>471</v>
      </c>
      <c r="H141" s="1" t="s">
        <v>115</v>
      </c>
      <c r="I141" s="7" t="s">
        <v>24</v>
      </c>
      <c r="J141" s="1" t="str">
        <f>IF(ISBLANK(Customer_Data_[[#This Row],[Loyalty_Level]]),"Silver",Customer_Data_[[#This Row],[Loyalty_Level]])</f>
        <v>Bronze</v>
      </c>
    </row>
    <row r="142" spans="1:10" x14ac:dyDescent="0.35">
      <c r="A142" s="6" t="s">
        <v>472</v>
      </c>
      <c r="B142" s="1" t="s">
        <v>473</v>
      </c>
      <c r="C142" s="1" t="str">
        <f>TRIM(Customer_Data_[[#This Row],[Name]])</f>
        <v>Patty Francis</v>
      </c>
      <c r="D142" s="1" t="str">
        <f>PROPER(Customer_Data_[[#This Row],[Name 1]])</f>
        <v>Patty Francis</v>
      </c>
      <c r="E142" s="1">
        <v>63</v>
      </c>
      <c r="F142" s="1" t="s">
        <v>14</v>
      </c>
      <c r="G142" s="1" t="s">
        <v>474</v>
      </c>
      <c r="H142" s="1" t="s">
        <v>49</v>
      </c>
      <c r="I142" s="7" t="s">
        <v>11</v>
      </c>
      <c r="J142" s="1" t="str">
        <f>IF(ISBLANK(Customer_Data_[[#This Row],[Loyalty_Level]]),"Silver",Customer_Data_[[#This Row],[Loyalty_Level]])</f>
        <v>Gold</v>
      </c>
    </row>
    <row r="143" spans="1:10" x14ac:dyDescent="0.35">
      <c r="A143" s="6" t="s">
        <v>475</v>
      </c>
      <c r="B143" s="1" t="s">
        <v>476</v>
      </c>
      <c r="C143" s="1" t="str">
        <f>TRIM(Customer_Data_[[#This Row],[Name]])</f>
        <v>Cristian Wright</v>
      </c>
      <c r="D143" s="1" t="str">
        <f>PROPER(Customer_Data_[[#This Row],[Name 1]])</f>
        <v>Cristian Wright</v>
      </c>
      <c r="E143" s="1">
        <v>30</v>
      </c>
      <c r="F143" s="1" t="s">
        <v>8</v>
      </c>
      <c r="G143" s="1" t="s">
        <v>477</v>
      </c>
      <c r="H143" s="1" t="s">
        <v>28</v>
      </c>
      <c r="I143" s="7" t="s">
        <v>24</v>
      </c>
      <c r="J143" s="1" t="str">
        <f>IF(ISBLANK(Customer_Data_[[#This Row],[Loyalty_Level]]),"Silver",Customer_Data_[[#This Row],[Loyalty_Level]])</f>
        <v>Bronze</v>
      </c>
    </row>
    <row r="144" spans="1:10" x14ac:dyDescent="0.35">
      <c r="A144" s="6" t="s">
        <v>478</v>
      </c>
      <c r="B144" s="1" t="s">
        <v>479</v>
      </c>
      <c r="C144" s="1" t="str">
        <f>TRIM(Customer_Data_[[#This Row],[Name]])</f>
        <v>Maria Ramirez</v>
      </c>
      <c r="D144" s="1" t="str">
        <f>PROPER(Customer_Data_[[#This Row],[Name 1]])</f>
        <v>Maria Ramirez</v>
      </c>
      <c r="E144" s="1">
        <v>37</v>
      </c>
      <c r="F144" s="1" t="s">
        <v>8</v>
      </c>
      <c r="G144" s="1" t="s">
        <v>480</v>
      </c>
      <c r="H144" s="1" t="s">
        <v>64</v>
      </c>
      <c r="I144" s="7" t="s">
        <v>24</v>
      </c>
      <c r="J144" s="1" t="str">
        <f>IF(ISBLANK(Customer_Data_[[#This Row],[Loyalty_Level]]),"Silver",Customer_Data_[[#This Row],[Loyalty_Level]])</f>
        <v>Bronze</v>
      </c>
    </row>
    <row r="145" spans="1:10" x14ac:dyDescent="0.35">
      <c r="A145" s="6" t="s">
        <v>481</v>
      </c>
      <c r="B145" s="1" t="s">
        <v>482</v>
      </c>
      <c r="C145" s="1" t="str">
        <f>TRIM(Customer_Data_[[#This Row],[Name]])</f>
        <v>Carlos Skinner</v>
      </c>
      <c r="D145" s="1" t="str">
        <f>PROPER(Customer_Data_[[#This Row],[Name 1]])</f>
        <v>Carlos Skinner</v>
      </c>
      <c r="E145" s="1">
        <v>46</v>
      </c>
      <c r="F145" s="1" t="s">
        <v>8</v>
      </c>
      <c r="G145" s="1" t="s">
        <v>483</v>
      </c>
      <c r="H145" s="1" t="s">
        <v>20</v>
      </c>
      <c r="I145" s="7" t="s">
        <v>24</v>
      </c>
      <c r="J145" s="1" t="str">
        <f>IF(ISBLANK(Customer_Data_[[#This Row],[Loyalty_Level]]),"Silver",Customer_Data_[[#This Row],[Loyalty_Level]])</f>
        <v>Bronze</v>
      </c>
    </row>
    <row r="146" spans="1:10" x14ac:dyDescent="0.35">
      <c r="A146" s="6" t="s">
        <v>484</v>
      </c>
      <c r="B146" s="1" t="s">
        <v>485</v>
      </c>
      <c r="C146" s="1" t="str">
        <f>TRIM(Customer_Data_[[#This Row],[Name]])</f>
        <v>Justin Cross</v>
      </c>
      <c r="D146" s="1" t="str">
        <f>PROPER(Customer_Data_[[#This Row],[Name 1]])</f>
        <v>Justin Cross</v>
      </c>
      <c r="E146" s="1">
        <v>62</v>
      </c>
      <c r="F146" s="1" t="s">
        <v>14</v>
      </c>
      <c r="G146" s="1" t="s">
        <v>486</v>
      </c>
      <c r="H146" s="1" t="s">
        <v>182</v>
      </c>
      <c r="I146" s="7" t="s">
        <v>24</v>
      </c>
      <c r="J146" s="1" t="str">
        <f>IF(ISBLANK(Customer_Data_[[#This Row],[Loyalty_Level]]),"Silver",Customer_Data_[[#This Row],[Loyalty_Level]])</f>
        <v>Bronze</v>
      </c>
    </row>
    <row r="147" spans="1:10" x14ac:dyDescent="0.35">
      <c r="A147" s="6" t="s">
        <v>487</v>
      </c>
      <c r="B147" s="1" t="s">
        <v>488</v>
      </c>
      <c r="C147" s="1" t="str">
        <f>TRIM(Customer_Data_[[#This Row],[Name]])</f>
        <v>Cameron Simpson</v>
      </c>
      <c r="D147" s="1" t="str">
        <f>PROPER(Customer_Data_[[#This Row],[Name 1]])</f>
        <v>Cameron Simpson</v>
      </c>
      <c r="E147" s="1">
        <v>46</v>
      </c>
      <c r="F147" s="1" t="s">
        <v>8</v>
      </c>
      <c r="G147" s="1" t="s">
        <v>489</v>
      </c>
      <c r="H147" s="1" t="s">
        <v>251</v>
      </c>
      <c r="I147" s="7" t="s">
        <v>17</v>
      </c>
      <c r="J147" s="1" t="str">
        <f>IF(ISBLANK(Customer_Data_[[#This Row],[Loyalty_Level]]),"Silver",Customer_Data_[[#This Row],[Loyalty_Level]])</f>
        <v>Platinum</v>
      </c>
    </row>
    <row r="148" spans="1:10" x14ac:dyDescent="0.35">
      <c r="A148" s="6" t="s">
        <v>490</v>
      </c>
      <c r="B148" s="1" t="s">
        <v>491</v>
      </c>
      <c r="C148" s="1" t="str">
        <f>TRIM(Customer_Data_[[#This Row],[Name]])</f>
        <v>Edward Rivera</v>
      </c>
      <c r="D148" s="1" t="str">
        <f>PROPER(Customer_Data_[[#This Row],[Name 1]])</f>
        <v>Edward Rivera</v>
      </c>
      <c r="E148" s="1">
        <v>32</v>
      </c>
      <c r="F148" s="1" t="s">
        <v>14</v>
      </c>
      <c r="G148" s="1" t="s">
        <v>492</v>
      </c>
      <c r="H148" s="1" t="s">
        <v>314</v>
      </c>
      <c r="I148" s="7" t="s">
        <v>11</v>
      </c>
      <c r="J148" s="1" t="str">
        <f>IF(ISBLANK(Customer_Data_[[#This Row],[Loyalty_Level]]),"Silver",Customer_Data_[[#This Row],[Loyalty_Level]])</f>
        <v>Gold</v>
      </c>
    </row>
    <row r="149" spans="1:10" x14ac:dyDescent="0.35">
      <c r="A149" s="6" t="s">
        <v>493</v>
      </c>
      <c r="B149" s="1" t="s">
        <v>494</v>
      </c>
      <c r="C149" s="1" t="str">
        <f>TRIM(Customer_Data_[[#This Row],[Name]])</f>
        <v>Rhonda Young</v>
      </c>
      <c r="D149" s="1" t="str">
        <f>PROPER(Customer_Data_[[#This Row],[Name 1]])</f>
        <v>Rhonda Young</v>
      </c>
      <c r="E149" s="1">
        <v>49</v>
      </c>
      <c r="F149" s="1" t="s">
        <v>14</v>
      </c>
      <c r="G149" s="1" t="s">
        <v>495</v>
      </c>
      <c r="H149" s="1" t="s">
        <v>161</v>
      </c>
      <c r="I149" s="7" t="s">
        <v>17</v>
      </c>
      <c r="J149" s="1" t="str">
        <f>IF(ISBLANK(Customer_Data_[[#This Row],[Loyalty_Level]]),"Silver",Customer_Data_[[#This Row],[Loyalty_Level]])</f>
        <v>Platinum</v>
      </c>
    </row>
    <row r="150" spans="1:10" x14ac:dyDescent="0.35">
      <c r="A150" s="6" t="s">
        <v>496</v>
      </c>
      <c r="B150" s="1" t="s">
        <v>497</v>
      </c>
      <c r="C150" s="1" t="str">
        <f>TRIM(Customer_Data_[[#This Row],[Name]])</f>
        <v>Theresa Campbell</v>
      </c>
      <c r="D150" s="1" t="str">
        <f>PROPER(Customer_Data_[[#This Row],[Name 1]])</f>
        <v>Theresa Campbell</v>
      </c>
      <c r="E150" s="1">
        <v>42</v>
      </c>
      <c r="F150" s="1" t="s">
        <v>14</v>
      </c>
      <c r="G150" s="1" t="s">
        <v>498</v>
      </c>
      <c r="H150" s="1" t="s">
        <v>321</v>
      </c>
      <c r="I150" s="7" t="s">
        <v>24</v>
      </c>
      <c r="J150" s="1" t="str">
        <f>IF(ISBLANK(Customer_Data_[[#This Row],[Loyalty_Level]]),"Silver",Customer_Data_[[#This Row],[Loyalty_Level]])</f>
        <v>Bronze</v>
      </c>
    </row>
    <row r="151" spans="1:10" x14ac:dyDescent="0.35">
      <c r="A151" s="6" t="s">
        <v>499</v>
      </c>
      <c r="B151" s="1" t="s">
        <v>500</v>
      </c>
      <c r="C151" s="1" t="str">
        <f>TRIM(Customer_Data_[[#This Row],[Name]])</f>
        <v>Denise Griffin</v>
      </c>
      <c r="D151" s="1" t="str">
        <f>PROPER(Customer_Data_[[#This Row],[Name 1]])</f>
        <v>Denise Griffin</v>
      </c>
      <c r="E151" s="1">
        <v>33</v>
      </c>
      <c r="F151" s="1" t="s">
        <v>8</v>
      </c>
      <c r="G151" s="1" t="s">
        <v>501</v>
      </c>
      <c r="H151" s="1" t="s">
        <v>247</v>
      </c>
      <c r="I151" s="7" t="s">
        <v>17</v>
      </c>
      <c r="J151" s="1" t="str">
        <f>IF(ISBLANK(Customer_Data_[[#This Row],[Loyalty_Level]]),"Silver",Customer_Data_[[#This Row],[Loyalty_Level]])</f>
        <v>Platinum</v>
      </c>
    </row>
    <row r="152" spans="1:10" x14ac:dyDescent="0.35">
      <c r="A152" s="6" t="s">
        <v>502</v>
      </c>
      <c r="B152" s="1" t="s">
        <v>503</v>
      </c>
      <c r="C152" s="1" t="str">
        <f>TRIM(Customer_Data_[[#This Row],[Name]])</f>
        <v>Stephanie Conway</v>
      </c>
      <c r="D152" s="1" t="str">
        <f>PROPER(Customer_Data_[[#This Row],[Name 1]])</f>
        <v>Stephanie Conway</v>
      </c>
      <c r="E152" s="1">
        <v>24</v>
      </c>
      <c r="F152" s="1" t="s">
        <v>8</v>
      </c>
      <c r="G152" s="1" t="s">
        <v>504</v>
      </c>
      <c r="H152" s="1" t="s">
        <v>310</v>
      </c>
      <c r="I152" s="7" t="s">
        <v>11</v>
      </c>
      <c r="J152" s="1" t="str">
        <f>IF(ISBLANK(Customer_Data_[[#This Row],[Loyalty_Level]]),"Silver",Customer_Data_[[#This Row],[Loyalty_Level]])</f>
        <v>Gold</v>
      </c>
    </row>
    <row r="153" spans="1:10" x14ac:dyDescent="0.35">
      <c r="A153" s="6" t="s">
        <v>505</v>
      </c>
      <c r="B153" s="1" t="s">
        <v>506</v>
      </c>
      <c r="C153" s="1" t="str">
        <f>TRIM(Customer_Data_[[#This Row],[Name]])</f>
        <v>Michael Davies</v>
      </c>
      <c r="D153" s="1" t="str">
        <f>PROPER(Customer_Data_[[#This Row],[Name 1]])</f>
        <v>Michael Davies</v>
      </c>
      <c r="E153" s="1">
        <v>25</v>
      </c>
      <c r="F153" s="1" t="s">
        <v>14</v>
      </c>
      <c r="G153" s="1" t="s">
        <v>507</v>
      </c>
      <c r="H153" s="1" t="s">
        <v>33</v>
      </c>
      <c r="I153" s="7" t="s">
        <v>11</v>
      </c>
      <c r="J153" s="1" t="str">
        <f>IF(ISBLANK(Customer_Data_[[#This Row],[Loyalty_Level]]),"Silver",Customer_Data_[[#This Row],[Loyalty_Level]])</f>
        <v>Gold</v>
      </c>
    </row>
    <row r="154" spans="1:10" x14ac:dyDescent="0.35">
      <c r="A154" s="6" t="s">
        <v>508</v>
      </c>
      <c r="B154" s="1" t="s">
        <v>509</v>
      </c>
      <c r="C154" s="1" t="str">
        <f>TRIM(Customer_Data_[[#This Row],[Name]])</f>
        <v>Patrick Roberts</v>
      </c>
      <c r="D154" s="1" t="str">
        <f>PROPER(Customer_Data_[[#This Row],[Name 1]])</f>
        <v>Patrick Roberts</v>
      </c>
      <c r="E154" s="1">
        <v>41</v>
      </c>
      <c r="F154" s="1" t="s">
        <v>14</v>
      </c>
      <c r="G154" s="1" t="s">
        <v>510</v>
      </c>
      <c r="H154" s="1" t="s">
        <v>111</v>
      </c>
      <c r="I154" s="7" t="s">
        <v>17</v>
      </c>
      <c r="J154" s="1" t="str">
        <f>IF(ISBLANK(Customer_Data_[[#This Row],[Loyalty_Level]]),"Silver",Customer_Data_[[#This Row],[Loyalty_Level]])</f>
        <v>Platinum</v>
      </c>
    </row>
    <row r="155" spans="1:10" x14ac:dyDescent="0.35">
      <c r="A155" s="6" t="s">
        <v>511</v>
      </c>
      <c r="B155" s="1" t="s">
        <v>512</v>
      </c>
      <c r="C155" s="1" t="str">
        <f>TRIM(Customer_Data_[[#This Row],[Name]])</f>
        <v>Joseph Faulkner</v>
      </c>
      <c r="D155" s="1" t="str">
        <f>PROPER(Customer_Data_[[#This Row],[Name 1]])</f>
        <v>Joseph Faulkner</v>
      </c>
      <c r="E155" s="1">
        <v>31</v>
      </c>
      <c r="F155" s="1" t="s">
        <v>8</v>
      </c>
      <c r="G155" s="1" t="s">
        <v>513</v>
      </c>
      <c r="H155" s="1" t="s">
        <v>16</v>
      </c>
      <c r="I155" s="7" t="s">
        <v>24</v>
      </c>
      <c r="J155" s="1" t="str">
        <f>IF(ISBLANK(Customer_Data_[[#This Row],[Loyalty_Level]]),"Silver",Customer_Data_[[#This Row],[Loyalty_Level]])</f>
        <v>Bronze</v>
      </c>
    </row>
    <row r="156" spans="1:10" x14ac:dyDescent="0.35">
      <c r="A156" s="6" t="s">
        <v>514</v>
      </c>
      <c r="B156" s="1" t="s">
        <v>515</v>
      </c>
      <c r="C156" s="1" t="str">
        <f>TRIM(Customer_Data_[[#This Row],[Name]])</f>
        <v>Julie Hale</v>
      </c>
      <c r="D156" s="1" t="str">
        <f>PROPER(Customer_Data_[[#This Row],[Name 1]])</f>
        <v>Julie Hale</v>
      </c>
      <c r="E156" s="1">
        <v>35</v>
      </c>
      <c r="F156" s="1" t="s">
        <v>14</v>
      </c>
      <c r="G156" s="1" t="s">
        <v>516</v>
      </c>
      <c r="H156" s="1" t="s">
        <v>169</v>
      </c>
      <c r="I156" s="7" t="s">
        <v>11</v>
      </c>
      <c r="J156" s="1" t="str">
        <f>IF(ISBLANK(Customer_Data_[[#This Row],[Loyalty_Level]]),"Silver",Customer_Data_[[#This Row],[Loyalty_Level]])</f>
        <v>Gold</v>
      </c>
    </row>
    <row r="157" spans="1:10" x14ac:dyDescent="0.35">
      <c r="A157" s="6" t="s">
        <v>517</v>
      </c>
      <c r="B157" s="1" t="s">
        <v>518</v>
      </c>
      <c r="C157" s="1" t="str">
        <f>TRIM(Customer_Data_[[#This Row],[Name]])</f>
        <v>Curtis Haynes</v>
      </c>
      <c r="D157" s="1" t="str">
        <f>PROPER(Customer_Data_[[#This Row],[Name 1]])</f>
        <v>Curtis Haynes</v>
      </c>
      <c r="E157" s="1">
        <v>60</v>
      </c>
      <c r="F157" s="1" t="s">
        <v>14</v>
      </c>
      <c r="G157" s="1" t="s">
        <v>519</v>
      </c>
      <c r="H157" s="1" t="s">
        <v>264</v>
      </c>
      <c r="I157" s="7" t="s">
        <v>11</v>
      </c>
      <c r="J157" s="1" t="str">
        <f>IF(ISBLANK(Customer_Data_[[#This Row],[Loyalty_Level]]),"Silver",Customer_Data_[[#This Row],[Loyalty_Level]])</f>
        <v>Gold</v>
      </c>
    </row>
    <row r="158" spans="1:10" x14ac:dyDescent="0.35">
      <c r="A158" s="6" t="s">
        <v>520</v>
      </c>
      <c r="B158" s="1" t="s">
        <v>521</v>
      </c>
      <c r="C158" s="1" t="str">
        <f>TRIM(Customer_Data_[[#This Row],[Name]])</f>
        <v>Maria Sanchez</v>
      </c>
      <c r="D158" s="1" t="str">
        <f>PROPER(Customer_Data_[[#This Row],[Name 1]])</f>
        <v>Maria Sanchez</v>
      </c>
      <c r="E158" s="1">
        <v>46</v>
      </c>
      <c r="F158" s="1" t="s">
        <v>8</v>
      </c>
      <c r="G158" s="1" t="s">
        <v>522</v>
      </c>
      <c r="H158" s="1" t="s">
        <v>16</v>
      </c>
      <c r="I158" s="7" t="s">
        <v>24</v>
      </c>
      <c r="J158" s="1" t="str">
        <f>IF(ISBLANK(Customer_Data_[[#This Row],[Loyalty_Level]]),"Silver",Customer_Data_[[#This Row],[Loyalty_Level]])</f>
        <v>Bronze</v>
      </c>
    </row>
    <row r="159" spans="1:10" x14ac:dyDescent="0.35">
      <c r="A159" s="6" t="s">
        <v>523</v>
      </c>
      <c r="B159" s="1" t="s">
        <v>524</v>
      </c>
      <c r="C159" s="1" t="str">
        <f>TRIM(Customer_Data_[[#This Row],[Name]])</f>
        <v>Paul Zamora</v>
      </c>
      <c r="D159" s="1" t="str">
        <f>PROPER(Customer_Data_[[#This Row],[Name 1]])</f>
        <v>Paul Zamora</v>
      </c>
      <c r="E159" s="1">
        <v>59</v>
      </c>
      <c r="F159" s="1" t="s">
        <v>8</v>
      </c>
      <c r="G159" s="1" t="s">
        <v>525</v>
      </c>
      <c r="H159" s="1" t="s">
        <v>16</v>
      </c>
      <c r="I159" s="7" t="s">
        <v>17</v>
      </c>
      <c r="J159" s="1" t="str">
        <f>IF(ISBLANK(Customer_Data_[[#This Row],[Loyalty_Level]]),"Silver",Customer_Data_[[#This Row],[Loyalty_Level]])</f>
        <v>Platinum</v>
      </c>
    </row>
    <row r="160" spans="1:10" x14ac:dyDescent="0.35">
      <c r="A160" s="6" t="s">
        <v>526</v>
      </c>
      <c r="B160" s="1" t="s">
        <v>527</v>
      </c>
      <c r="C160" s="1" t="str">
        <f>TRIM(Customer_Data_[[#This Row],[Name]])</f>
        <v>Sean Powell</v>
      </c>
      <c r="D160" s="1" t="str">
        <f>PROPER(Customer_Data_[[#This Row],[Name 1]])</f>
        <v>Sean Powell</v>
      </c>
      <c r="E160" s="1">
        <v>43</v>
      </c>
      <c r="F160" s="1" t="s">
        <v>8</v>
      </c>
      <c r="G160" s="1" t="s">
        <v>528</v>
      </c>
      <c r="H160" s="1" t="s">
        <v>169</v>
      </c>
      <c r="I160" s="7" t="s">
        <v>24</v>
      </c>
      <c r="J160" s="1" t="str">
        <f>IF(ISBLANK(Customer_Data_[[#This Row],[Loyalty_Level]]),"Silver",Customer_Data_[[#This Row],[Loyalty_Level]])</f>
        <v>Bronze</v>
      </c>
    </row>
    <row r="161" spans="1:10" x14ac:dyDescent="0.35">
      <c r="A161" s="6" t="s">
        <v>529</v>
      </c>
      <c r="B161" s="1" t="s">
        <v>530</v>
      </c>
      <c r="C161" s="1" t="str">
        <f>TRIM(Customer_Data_[[#This Row],[Name]])</f>
        <v>Brian Choi</v>
      </c>
      <c r="D161" s="1" t="str">
        <f>PROPER(Customer_Data_[[#This Row],[Name 1]])</f>
        <v>Brian Choi</v>
      </c>
      <c r="E161" s="1">
        <v>46</v>
      </c>
      <c r="F161" s="1" t="s">
        <v>14</v>
      </c>
      <c r="G161" s="1" t="s">
        <v>531</v>
      </c>
      <c r="H161" s="1" t="s">
        <v>86</v>
      </c>
      <c r="I161" s="7" t="s">
        <v>11</v>
      </c>
      <c r="J161" s="1" t="str">
        <f>IF(ISBLANK(Customer_Data_[[#This Row],[Loyalty_Level]]),"Silver",Customer_Data_[[#This Row],[Loyalty_Level]])</f>
        <v>Gold</v>
      </c>
    </row>
    <row r="162" spans="1:10" x14ac:dyDescent="0.35">
      <c r="A162" s="6" t="s">
        <v>532</v>
      </c>
      <c r="B162" s="1" t="s">
        <v>533</v>
      </c>
      <c r="C162" s="1" t="str">
        <f>TRIM(Customer_Data_[[#This Row],[Name]])</f>
        <v>John Lawson</v>
      </c>
      <c r="D162" s="1" t="str">
        <f>PROPER(Customer_Data_[[#This Row],[Name 1]])</f>
        <v>John Lawson</v>
      </c>
      <c r="E162" s="1">
        <v>41</v>
      </c>
      <c r="F162" s="1" t="s">
        <v>14</v>
      </c>
      <c r="G162" s="1" t="s">
        <v>534</v>
      </c>
      <c r="H162" s="1" t="s">
        <v>10</v>
      </c>
      <c r="I162" s="7" t="s">
        <v>17</v>
      </c>
      <c r="J162" s="1" t="str">
        <f>IF(ISBLANK(Customer_Data_[[#This Row],[Loyalty_Level]]),"Silver",Customer_Data_[[#This Row],[Loyalty_Level]])</f>
        <v>Platinum</v>
      </c>
    </row>
    <row r="163" spans="1:10" x14ac:dyDescent="0.35">
      <c r="A163" s="6" t="s">
        <v>535</v>
      </c>
      <c r="B163" s="1" t="s">
        <v>536</v>
      </c>
      <c r="C163" s="1" t="str">
        <f>TRIM(Customer_Data_[[#This Row],[Name]])</f>
        <v>Cynthia Morris</v>
      </c>
      <c r="D163" s="1" t="str">
        <f>PROPER(Customer_Data_[[#This Row],[Name 1]])</f>
        <v>Cynthia Morris</v>
      </c>
      <c r="E163" s="1">
        <v>18</v>
      </c>
      <c r="F163" s="1" t="s">
        <v>14</v>
      </c>
      <c r="G163" s="1" t="s">
        <v>537</v>
      </c>
      <c r="H163" s="1" t="s">
        <v>131</v>
      </c>
      <c r="I163" s="7" t="s">
        <v>29</v>
      </c>
      <c r="J163" s="1" t="str">
        <f>IF(ISBLANK(Customer_Data_[[#This Row],[Loyalty_Level]]),"Silver",Customer_Data_[[#This Row],[Loyalty_Level]])</f>
        <v>Silver</v>
      </c>
    </row>
    <row r="164" spans="1:10" x14ac:dyDescent="0.35">
      <c r="A164" s="6" t="s">
        <v>538</v>
      </c>
      <c r="B164" s="1" t="s">
        <v>539</v>
      </c>
      <c r="C164" s="1" t="str">
        <f>TRIM(Customer_Data_[[#This Row],[Name]])</f>
        <v>Mariah Brown</v>
      </c>
      <c r="D164" s="1" t="str">
        <f>PROPER(Customer_Data_[[#This Row],[Name 1]])</f>
        <v>Mariah Brown</v>
      </c>
      <c r="E164" s="1">
        <v>37</v>
      </c>
      <c r="F164" s="1" t="s">
        <v>8</v>
      </c>
      <c r="G164" s="1" t="s">
        <v>540</v>
      </c>
      <c r="H164" s="1" t="s">
        <v>234</v>
      </c>
      <c r="I164" s="7" t="s">
        <v>29</v>
      </c>
      <c r="J164" s="1" t="str">
        <f>IF(ISBLANK(Customer_Data_[[#This Row],[Loyalty_Level]]),"Silver",Customer_Data_[[#This Row],[Loyalty_Level]])</f>
        <v>Silver</v>
      </c>
    </row>
    <row r="165" spans="1:10" x14ac:dyDescent="0.35">
      <c r="A165" s="6" t="s">
        <v>541</v>
      </c>
      <c r="B165" s="1" t="s">
        <v>542</v>
      </c>
      <c r="C165" s="1" t="str">
        <f>TRIM(Customer_Data_[[#This Row],[Name]])</f>
        <v>Joseph Jones</v>
      </c>
      <c r="D165" s="1" t="str">
        <f>PROPER(Customer_Data_[[#This Row],[Name 1]])</f>
        <v>Joseph Jones</v>
      </c>
      <c r="E165" s="1">
        <v>21</v>
      </c>
      <c r="F165" s="1" t="s">
        <v>8</v>
      </c>
      <c r="G165" s="1" t="s">
        <v>543</v>
      </c>
      <c r="H165" s="1" t="s">
        <v>191</v>
      </c>
      <c r="I165" s="7" t="s">
        <v>24</v>
      </c>
      <c r="J165" s="1" t="str">
        <f>IF(ISBLANK(Customer_Data_[[#This Row],[Loyalty_Level]]),"Silver",Customer_Data_[[#This Row],[Loyalty_Level]])</f>
        <v>Bronze</v>
      </c>
    </row>
    <row r="166" spans="1:10" x14ac:dyDescent="0.35">
      <c r="A166" s="6" t="s">
        <v>544</v>
      </c>
      <c r="B166" s="1" t="s">
        <v>545</v>
      </c>
      <c r="C166" s="1" t="str">
        <f>TRIM(Customer_Data_[[#This Row],[Name]])</f>
        <v>Daniel Rivas</v>
      </c>
      <c r="D166" s="1" t="str">
        <f>PROPER(Customer_Data_[[#This Row],[Name 1]])</f>
        <v>Daniel Rivas</v>
      </c>
      <c r="E166" s="1">
        <v>39</v>
      </c>
      <c r="F166" s="1" t="s">
        <v>14</v>
      </c>
      <c r="G166" s="1" t="s">
        <v>546</v>
      </c>
      <c r="H166" s="1" t="s">
        <v>79</v>
      </c>
      <c r="I166" s="7" t="s">
        <v>29</v>
      </c>
      <c r="J166" s="1" t="str">
        <f>IF(ISBLANK(Customer_Data_[[#This Row],[Loyalty_Level]]),"Silver",Customer_Data_[[#This Row],[Loyalty_Level]])</f>
        <v>Silver</v>
      </c>
    </row>
    <row r="167" spans="1:10" x14ac:dyDescent="0.35">
      <c r="A167" s="6" t="s">
        <v>547</v>
      </c>
      <c r="B167" s="1" t="s">
        <v>548</v>
      </c>
      <c r="C167" s="1" t="str">
        <f>TRIM(Customer_Data_[[#This Row],[Name]])</f>
        <v>Jason Wheeler</v>
      </c>
      <c r="D167" s="1" t="str">
        <f>PROPER(Customer_Data_[[#This Row],[Name 1]])</f>
        <v>Jason Wheeler</v>
      </c>
      <c r="E167" s="1">
        <v>47</v>
      </c>
      <c r="F167" s="1" t="s">
        <v>14</v>
      </c>
      <c r="G167" s="1" t="s">
        <v>549</v>
      </c>
      <c r="H167" s="1" t="s">
        <v>191</v>
      </c>
      <c r="I167" s="7" t="s">
        <v>17</v>
      </c>
      <c r="J167" s="1" t="str">
        <f>IF(ISBLANK(Customer_Data_[[#This Row],[Loyalty_Level]]),"Silver",Customer_Data_[[#This Row],[Loyalty_Level]])</f>
        <v>Platinum</v>
      </c>
    </row>
    <row r="168" spans="1:10" x14ac:dyDescent="0.35">
      <c r="A168" s="6" t="s">
        <v>550</v>
      </c>
      <c r="B168" s="1" t="s">
        <v>551</v>
      </c>
      <c r="C168" s="1" t="str">
        <f>TRIM(Customer_Data_[[#This Row],[Name]])</f>
        <v>Patricia Gardner</v>
      </c>
      <c r="D168" s="1" t="str">
        <f>PROPER(Customer_Data_[[#This Row],[Name 1]])</f>
        <v>Patricia Gardner</v>
      </c>
      <c r="E168" s="1">
        <v>25</v>
      </c>
      <c r="F168" s="1" t="s">
        <v>14</v>
      </c>
      <c r="G168" s="1" t="s">
        <v>552</v>
      </c>
      <c r="H168" s="1" t="s">
        <v>154</v>
      </c>
      <c r="I168" s="7" t="s">
        <v>29</v>
      </c>
      <c r="J168" s="1" t="str">
        <f>IF(ISBLANK(Customer_Data_[[#This Row],[Loyalty_Level]]),"Silver",Customer_Data_[[#This Row],[Loyalty_Level]])</f>
        <v>Silver</v>
      </c>
    </row>
    <row r="169" spans="1:10" x14ac:dyDescent="0.35">
      <c r="A169" s="6" t="s">
        <v>553</v>
      </c>
      <c r="B169" s="1" t="s">
        <v>554</v>
      </c>
      <c r="C169" s="1" t="str">
        <f>TRIM(Customer_Data_[[#This Row],[Name]])</f>
        <v>Antonio Wade</v>
      </c>
      <c r="D169" s="1" t="str">
        <f>PROPER(Customer_Data_[[#This Row],[Name 1]])</f>
        <v>Antonio Wade</v>
      </c>
      <c r="E169" s="1">
        <v>36</v>
      </c>
      <c r="F169" s="1" t="s">
        <v>14</v>
      </c>
      <c r="G169" s="1" t="s">
        <v>555</v>
      </c>
      <c r="H169" s="1" t="s">
        <v>234</v>
      </c>
      <c r="I169" s="7" t="s">
        <v>11</v>
      </c>
      <c r="J169" s="1" t="str">
        <f>IF(ISBLANK(Customer_Data_[[#This Row],[Loyalty_Level]]),"Silver",Customer_Data_[[#This Row],[Loyalty_Level]])</f>
        <v>Gold</v>
      </c>
    </row>
    <row r="170" spans="1:10" x14ac:dyDescent="0.35">
      <c r="A170" s="6" t="s">
        <v>556</v>
      </c>
      <c r="B170" s="1" t="s">
        <v>557</v>
      </c>
      <c r="C170" s="1" t="str">
        <f>TRIM(Customer_Data_[[#This Row],[Name]])</f>
        <v>Daniel Contreras</v>
      </c>
      <c r="D170" s="1" t="str">
        <f>PROPER(Customer_Data_[[#This Row],[Name 1]])</f>
        <v>Daniel Contreras</v>
      </c>
      <c r="E170" s="1">
        <v>36</v>
      </c>
      <c r="F170" s="1" t="s">
        <v>14</v>
      </c>
      <c r="G170" s="1" t="s">
        <v>558</v>
      </c>
      <c r="H170" s="1" t="s">
        <v>247</v>
      </c>
      <c r="I170" s="7" t="s">
        <v>17</v>
      </c>
      <c r="J170" s="1" t="str">
        <f>IF(ISBLANK(Customer_Data_[[#This Row],[Loyalty_Level]]),"Silver",Customer_Data_[[#This Row],[Loyalty_Level]])</f>
        <v>Platinum</v>
      </c>
    </row>
    <row r="171" spans="1:10" x14ac:dyDescent="0.35">
      <c r="A171" s="6" t="s">
        <v>559</v>
      </c>
      <c r="B171" s="1" t="s">
        <v>560</v>
      </c>
      <c r="C171" s="1" t="str">
        <f>TRIM(Customer_Data_[[#This Row],[Name]])</f>
        <v>Steve Mclaughlin</v>
      </c>
      <c r="D171" s="1" t="str">
        <f>PROPER(Customer_Data_[[#This Row],[Name 1]])</f>
        <v>Steve Mclaughlin</v>
      </c>
      <c r="E171" s="1">
        <v>64</v>
      </c>
      <c r="F171" s="1" t="s">
        <v>8</v>
      </c>
      <c r="G171" s="1" t="s">
        <v>561</v>
      </c>
      <c r="H171" s="1" t="s">
        <v>45</v>
      </c>
      <c r="I171" s="7" t="s">
        <v>24</v>
      </c>
      <c r="J171" s="1" t="str">
        <f>IF(ISBLANK(Customer_Data_[[#This Row],[Loyalty_Level]]),"Silver",Customer_Data_[[#This Row],[Loyalty_Level]])</f>
        <v>Bronze</v>
      </c>
    </row>
    <row r="172" spans="1:10" x14ac:dyDescent="0.35">
      <c r="A172" s="6" t="s">
        <v>562</v>
      </c>
      <c r="B172" s="1" t="s">
        <v>563</v>
      </c>
      <c r="C172" s="1" t="str">
        <f>TRIM(Customer_Data_[[#This Row],[Name]])</f>
        <v>Christopher Garcia DDS</v>
      </c>
      <c r="D172" s="1" t="str">
        <f>PROPER(Customer_Data_[[#This Row],[Name 1]])</f>
        <v>Christopher Garcia Dds</v>
      </c>
      <c r="E172" s="1">
        <v>18</v>
      </c>
      <c r="F172" s="1" t="s">
        <v>8</v>
      </c>
      <c r="G172" s="1" t="s">
        <v>564</v>
      </c>
      <c r="H172" s="1" t="s">
        <v>111</v>
      </c>
      <c r="I172" s="7" t="s">
        <v>11</v>
      </c>
      <c r="J172" s="1" t="str">
        <f>IF(ISBLANK(Customer_Data_[[#This Row],[Loyalty_Level]]),"Silver",Customer_Data_[[#This Row],[Loyalty_Level]])</f>
        <v>Gold</v>
      </c>
    </row>
    <row r="173" spans="1:10" x14ac:dyDescent="0.35">
      <c r="A173" s="6" t="s">
        <v>565</v>
      </c>
      <c r="B173" s="1" t="s">
        <v>566</v>
      </c>
      <c r="C173" s="1" t="str">
        <f>TRIM(Customer_Data_[[#This Row],[Name]])</f>
        <v>Amy Wilson</v>
      </c>
      <c r="D173" s="1" t="str">
        <f>PROPER(Customer_Data_[[#This Row],[Name 1]])</f>
        <v>Amy Wilson</v>
      </c>
      <c r="E173" s="1">
        <v>44</v>
      </c>
      <c r="F173" s="1" t="s">
        <v>14</v>
      </c>
      <c r="G173" s="1" t="s">
        <v>567</v>
      </c>
      <c r="H173" s="1" t="s">
        <v>251</v>
      </c>
      <c r="I173" s="7" t="s">
        <v>17</v>
      </c>
      <c r="J173" s="1" t="str">
        <f>IF(ISBLANK(Customer_Data_[[#This Row],[Loyalty_Level]]),"Silver",Customer_Data_[[#This Row],[Loyalty_Level]])</f>
        <v>Platinum</v>
      </c>
    </row>
    <row r="174" spans="1:10" x14ac:dyDescent="0.35">
      <c r="A174" s="6" t="s">
        <v>568</v>
      </c>
      <c r="B174" s="1" t="s">
        <v>569</v>
      </c>
      <c r="C174" s="1" t="str">
        <f>TRIM(Customer_Data_[[#This Row],[Name]])</f>
        <v>Thomas Rhodes</v>
      </c>
      <c r="D174" s="1" t="str">
        <f>PROPER(Customer_Data_[[#This Row],[Name 1]])</f>
        <v>Thomas Rhodes</v>
      </c>
      <c r="E174" s="1">
        <v>41</v>
      </c>
      <c r="F174" s="1" t="s">
        <v>14</v>
      </c>
      <c r="G174" s="1" t="s">
        <v>570</v>
      </c>
      <c r="H174" s="1" t="s">
        <v>41</v>
      </c>
      <c r="I174" s="7" t="s">
        <v>24</v>
      </c>
      <c r="J174" s="1" t="str">
        <f>IF(ISBLANK(Customer_Data_[[#This Row],[Loyalty_Level]]),"Silver",Customer_Data_[[#This Row],[Loyalty_Level]])</f>
        <v>Bronze</v>
      </c>
    </row>
    <row r="175" spans="1:10" x14ac:dyDescent="0.35">
      <c r="A175" s="6" t="s">
        <v>571</v>
      </c>
      <c r="B175" s="1" t="s">
        <v>572</v>
      </c>
      <c r="C175" s="1" t="str">
        <f>TRIM(Customer_Data_[[#This Row],[Name]])</f>
        <v>Teresa Stokes</v>
      </c>
      <c r="D175" s="1" t="str">
        <f>PROPER(Customer_Data_[[#This Row],[Name 1]])</f>
        <v>Teresa Stokes</v>
      </c>
      <c r="E175" s="1">
        <v>41</v>
      </c>
      <c r="F175" s="1" t="s">
        <v>14</v>
      </c>
      <c r="G175" s="1" t="s">
        <v>395</v>
      </c>
      <c r="H175" s="1" t="s">
        <v>264</v>
      </c>
      <c r="I175" s="7" t="s">
        <v>17</v>
      </c>
      <c r="J175" s="1" t="str">
        <f>IF(ISBLANK(Customer_Data_[[#This Row],[Loyalty_Level]]),"Silver",Customer_Data_[[#This Row],[Loyalty_Level]])</f>
        <v>Platinum</v>
      </c>
    </row>
    <row r="176" spans="1:10" x14ac:dyDescent="0.35">
      <c r="A176" s="6" t="s">
        <v>573</v>
      </c>
      <c r="B176" s="1" t="s">
        <v>574</v>
      </c>
      <c r="C176" s="1" t="str">
        <f>TRIM(Customer_Data_[[#This Row],[Name]])</f>
        <v>Maria Davis</v>
      </c>
      <c r="D176" s="1" t="str">
        <f>PROPER(Customer_Data_[[#This Row],[Name 1]])</f>
        <v>Maria Davis</v>
      </c>
      <c r="E176" s="1">
        <v>26</v>
      </c>
      <c r="F176" s="1" t="s">
        <v>14</v>
      </c>
      <c r="G176" s="1" t="s">
        <v>575</v>
      </c>
      <c r="H176" s="1" t="s">
        <v>169</v>
      </c>
      <c r="I176" s="7" t="s">
        <v>11</v>
      </c>
      <c r="J176" s="1" t="str">
        <f>IF(ISBLANK(Customer_Data_[[#This Row],[Loyalty_Level]]),"Silver",Customer_Data_[[#This Row],[Loyalty_Level]])</f>
        <v>Gold</v>
      </c>
    </row>
    <row r="177" spans="1:10" x14ac:dyDescent="0.35">
      <c r="A177" s="6" t="s">
        <v>576</v>
      </c>
      <c r="B177" s="1" t="s">
        <v>577</v>
      </c>
      <c r="C177" s="1" t="str">
        <f>TRIM(Customer_Data_[[#This Row],[Name]])</f>
        <v>Michelle Rogers</v>
      </c>
      <c r="D177" s="1" t="str">
        <f>PROPER(Customer_Data_[[#This Row],[Name 1]])</f>
        <v>Michelle Rogers</v>
      </c>
      <c r="E177" s="1">
        <v>56</v>
      </c>
      <c r="F177" s="1" t="s">
        <v>8</v>
      </c>
      <c r="G177" s="1" t="s">
        <v>578</v>
      </c>
      <c r="H177" s="1" t="s">
        <v>97</v>
      </c>
      <c r="I177" s="7" t="s">
        <v>17</v>
      </c>
      <c r="J177" s="1" t="str">
        <f>IF(ISBLANK(Customer_Data_[[#This Row],[Loyalty_Level]]),"Silver",Customer_Data_[[#This Row],[Loyalty_Level]])</f>
        <v>Platinum</v>
      </c>
    </row>
    <row r="178" spans="1:10" x14ac:dyDescent="0.35">
      <c r="A178" s="6" t="s">
        <v>579</v>
      </c>
      <c r="B178" s="1" t="s">
        <v>580</v>
      </c>
      <c r="C178" s="1" t="str">
        <f>TRIM(Customer_Data_[[#This Row],[Name]])</f>
        <v>John Bradford</v>
      </c>
      <c r="D178" s="1" t="str">
        <f>PROPER(Customer_Data_[[#This Row],[Name 1]])</f>
        <v>John Bradford</v>
      </c>
      <c r="E178" s="1">
        <v>48</v>
      </c>
      <c r="F178" s="1" t="s">
        <v>8</v>
      </c>
      <c r="G178" s="1" t="s">
        <v>581</v>
      </c>
      <c r="H178" s="1" t="s">
        <v>169</v>
      </c>
      <c r="I178" s="7" t="s">
        <v>29</v>
      </c>
      <c r="J178" s="1" t="str">
        <f>IF(ISBLANK(Customer_Data_[[#This Row],[Loyalty_Level]]),"Silver",Customer_Data_[[#This Row],[Loyalty_Level]])</f>
        <v>Silver</v>
      </c>
    </row>
    <row r="179" spans="1:10" x14ac:dyDescent="0.35">
      <c r="A179" s="6" t="s">
        <v>582</v>
      </c>
      <c r="B179" s="1" t="s">
        <v>583</v>
      </c>
      <c r="C179" s="1" t="str">
        <f>TRIM(Customer_Data_[[#This Row],[Name]])</f>
        <v>Curtis Lam</v>
      </c>
      <c r="D179" s="1" t="str">
        <f>PROPER(Customer_Data_[[#This Row],[Name 1]])</f>
        <v>Curtis Lam</v>
      </c>
      <c r="E179" s="1">
        <v>55</v>
      </c>
      <c r="F179" s="1" t="s">
        <v>8</v>
      </c>
      <c r="G179" s="1" t="s">
        <v>584</v>
      </c>
      <c r="H179" s="1" t="s">
        <v>585</v>
      </c>
      <c r="I179" s="7" t="s">
        <v>17</v>
      </c>
      <c r="J179" s="1" t="str">
        <f>IF(ISBLANK(Customer_Data_[[#This Row],[Loyalty_Level]]),"Silver",Customer_Data_[[#This Row],[Loyalty_Level]])</f>
        <v>Platinum</v>
      </c>
    </row>
    <row r="180" spans="1:10" x14ac:dyDescent="0.35">
      <c r="A180" s="6" t="s">
        <v>586</v>
      </c>
      <c r="B180" s="1" t="s">
        <v>587</v>
      </c>
      <c r="C180" s="1" t="str">
        <f>TRIM(Customer_Data_[[#This Row],[Name]])</f>
        <v>Michelle Myers</v>
      </c>
      <c r="D180" s="1" t="str">
        <f>PROPER(Customer_Data_[[#This Row],[Name 1]])</f>
        <v>Michelle Myers</v>
      </c>
      <c r="E180" s="1">
        <v>33</v>
      </c>
      <c r="F180" s="1" t="s">
        <v>14</v>
      </c>
      <c r="G180" s="1" t="s">
        <v>588</v>
      </c>
      <c r="H180" s="1" t="s">
        <v>314</v>
      </c>
      <c r="I180" s="7" t="s">
        <v>24</v>
      </c>
      <c r="J180" s="1" t="str">
        <f>IF(ISBLANK(Customer_Data_[[#This Row],[Loyalty_Level]]),"Silver",Customer_Data_[[#This Row],[Loyalty_Level]])</f>
        <v>Bronze</v>
      </c>
    </row>
    <row r="181" spans="1:10" x14ac:dyDescent="0.35">
      <c r="A181" s="6" t="s">
        <v>589</v>
      </c>
      <c r="B181" s="1" t="s">
        <v>590</v>
      </c>
      <c r="C181" s="1" t="str">
        <f>TRIM(Customer_Data_[[#This Row],[Name]])</f>
        <v>Nicholas Bradshaw</v>
      </c>
      <c r="D181" s="1" t="str">
        <f>PROPER(Customer_Data_[[#This Row],[Name 1]])</f>
        <v>Nicholas Bradshaw</v>
      </c>
      <c r="E181" s="1">
        <v>43</v>
      </c>
      <c r="F181" s="1" t="s">
        <v>14</v>
      </c>
      <c r="G181" s="1" t="s">
        <v>591</v>
      </c>
      <c r="H181" s="1" t="s">
        <v>115</v>
      </c>
      <c r="I181" s="7" t="s">
        <v>29</v>
      </c>
      <c r="J181" s="1" t="str">
        <f>IF(ISBLANK(Customer_Data_[[#This Row],[Loyalty_Level]]),"Silver",Customer_Data_[[#This Row],[Loyalty_Level]])</f>
        <v>Silver</v>
      </c>
    </row>
    <row r="182" spans="1:10" x14ac:dyDescent="0.35">
      <c r="A182" s="6" t="s">
        <v>592</v>
      </c>
      <c r="B182" s="1" t="s">
        <v>593</v>
      </c>
      <c r="C182" s="1" t="str">
        <f>TRIM(Customer_Data_[[#This Row],[Name]])</f>
        <v>Wesley Thompson</v>
      </c>
      <c r="D182" s="1" t="str">
        <f>PROPER(Customer_Data_[[#This Row],[Name 1]])</f>
        <v>Wesley Thompson</v>
      </c>
      <c r="E182" s="1">
        <v>38</v>
      </c>
      <c r="F182" s="1" t="s">
        <v>8</v>
      </c>
      <c r="G182" s="1" t="s">
        <v>594</v>
      </c>
      <c r="H182" s="1" t="s">
        <v>431</v>
      </c>
      <c r="I182" s="7" t="s">
        <v>24</v>
      </c>
      <c r="J182" s="1" t="str">
        <f>IF(ISBLANK(Customer_Data_[[#This Row],[Loyalty_Level]]),"Silver",Customer_Data_[[#This Row],[Loyalty_Level]])</f>
        <v>Bronze</v>
      </c>
    </row>
    <row r="183" spans="1:10" x14ac:dyDescent="0.35">
      <c r="A183" s="6" t="s">
        <v>595</v>
      </c>
      <c r="B183" s="1" t="s">
        <v>596</v>
      </c>
      <c r="C183" s="1" t="str">
        <f>TRIM(Customer_Data_[[#This Row],[Name]])</f>
        <v>Erin Ward</v>
      </c>
      <c r="D183" s="1" t="str">
        <f>PROPER(Customer_Data_[[#This Row],[Name 1]])</f>
        <v>Erin Ward</v>
      </c>
      <c r="E183" s="1">
        <v>60</v>
      </c>
      <c r="F183" s="1" t="s">
        <v>8</v>
      </c>
      <c r="G183" s="1" t="s">
        <v>597</v>
      </c>
      <c r="H183" s="1" t="s">
        <v>56</v>
      </c>
      <c r="I183" s="7" t="s">
        <v>24</v>
      </c>
      <c r="J183" s="1" t="str">
        <f>IF(ISBLANK(Customer_Data_[[#This Row],[Loyalty_Level]]),"Silver",Customer_Data_[[#This Row],[Loyalty_Level]])</f>
        <v>Bronze</v>
      </c>
    </row>
    <row r="184" spans="1:10" x14ac:dyDescent="0.35">
      <c r="A184" s="6" t="s">
        <v>598</v>
      </c>
      <c r="B184" s="1" t="s">
        <v>599</v>
      </c>
      <c r="C184" s="1" t="str">
        <f>TRIM(Customer_Data_[[#This Row],[Name]])</f>
        <v>Melissa Hamilton</v>
      </c>
      <c r="D184" s="1" t="str">
        <f>PROPER(Customer_Data_[[#This Row],[Name 1]])</f>
        <v>Melissa Hamilton</v>
      </c>
      <c r="E184" s="1">
        <v>23</v>
      </c>
      <c r="F184" s="1" t="s">
        <v>14</v>
      </c>
      <c r="G184" s="1" t="s">
        <v>600</v>
      </c>
      <c r="H184" s="1" t="s">
        <v>94</v>
      </c>
      <c r="I184" s="7" t="s">
        <v>29</v>
      </c>
      <c r="J184" s="1" t="str">
        <f>IF(ISBLANK(Customer_Data_[[#This Row],[Loyalty_Level]]),"Silver",Customer_Data_[[#This Row],[Loyalty_Level]])</f>
        <v>Silver</v>
      </c>
    </row>
    <row r="185" spans="1:10" x14ac:dyDescent="0.35">
      <c r="A185" s="6" t="s">
        <v>601</v>
      </c>
      <c r="B185" s="1" t="s">
        <v>602</v>
      </c>
      <c r="C185" s="1" t="str">
        <f>TRIM(Customer_Data_[[#This Row],[Name]])</f>
        <v>Mario Jacobs</v>
      </c>
      <c r="D185" s="1" t="str">
        <f>PROPER(Customer_Data_[[#This Row],[Name 1]])</f>
        <v>Mario Jacobs</v>
      </c>
      <c r="E185" s="1">
        <v>18</v>
      </c>
      <c r="F185" s="1" t="s">
        <v>8</v>
      </c>
      <c r="G185" s="1" t="s">
        <v>603</v>
      </c>
      <c r="H185" s="1" t="s">
        <v>56</v>
      </c>
      <c r="I185" s="7" t="s">
        <v>17</v>
      </c>
      <c r="J185" s="1" t="str">
        <f>IF(ISBLANK(Customer_Data_[[#This Row],[Loyalty_Level]]),"Silver",Customer_Data_[[#This Row],[Loyalty_Level]])</f>
        <v>Platinum</v>
      </c>
    </row>
    <row r="186" spans="1:10" x14ac:dyDescent="0.35">
      <c r="A186" s="6" t="s">
        <v>604</v>
      </c>
      <c r="B186" s="1" t="s">
        <v>605</v>
      </c>
      <c r="C186" s="1" t="str">
        <f>TRIM(Customer_Data_[[#This Row],[Name]])</f>
        <v>Leonard Cochran</v>
      </c>
      <c r="D186" s="1" t="str">
        <f>PROPER(Customer_Data_[[#This Row],[Name 1]])</f>
        <v>Leonard Cochran</v>
      </c>
      <c r="E186" s="1">
        <v>46</v>
      </c>
      <c r="F186" s="1" t="s">
        <v>14</v>
      </c>
      <c r="G186" s="1" t="s">
        <v>606</v>
      </c>
      <c r="H186" s="1" t="s">
        <v>16</v>
      </c>
      <c r="I186" s="7" t="s">
        <v>29</v>
      </c>
      <c r="J186" s="1" t="str">
        <f>IF(ISBLANK(Customer_Data_[[#This Row],[Loyalty_Level]]),"Silver",Customer_Data_[[#This Row],[Loyalty_Level]])</f>
        <v>Silver</v>
      </c>
    </row>
    <row r="187" spans="1:10" x14ac:dyDescent="0.35">
      <c r="A187" s="6" t="s">
        <v>607</v>
      </c>
      <c r="B187" s="1" t="s">
        <v>608</v>
      </c>
      <c r="C187" s="1" t="str">
        <f>TRIM(Customer_Data_[[#This Row],[Name]])</f>
        <v>Brent Rivas</v>
      </c>
      <c r="D187" s="1" t="str">
        <f>PROPER(Customer_Data_[[#This Row],[Name 1]])</f>
        <v>Brent Rivas</v>
      </c>
      <c r="E187" s="1">
        <v>54</v>
      </c>
      <c r="F187" s="1" t="s">
        <v>14</v>
      </c>
      <c r="G187" s="1" t="s">
        <v>609</v>
      </c>
      <c r="H187" s="1" t="s">
        <v>86</v>
      </c>
      <c r="I187" s="7" t="s">
        <v>17</v>
      </c>
      <c r="J187" s="1" t="str">
        <f>IF(ISBLANK(Customer_Data_[[#This Row],[Loyalty_Level]]),"Silver",Customer_Data_[[#This Row],[Loyalty_Level]])</f>
        <v>Platinum</v>
      </c>
    </row>
    <row r="188" spans="1:10" x14ac:dyDescent="0.35">
      <c r="A188" s="6" t="s">
        <v>610</v>
      </c>
      <c r="B188" s="1" t="s">
        <v>611</v>
      </c>
      <c r="C188" s="1" t="str">
        <f>TRIM(Customer_Data_[[#This Row],[Name]])</f>
        <v>Jennifer Pruitt</v>
      </c>
      <c r="D188" s="1" t="str">
        <f>PROPER(Customer_Data_[[#This Row],[Name 1]])</f>
        <v>Jennifer Pruitt</v>
      </c>
      <c r="E188" s="1">
        <v>53</v>
      </c>
      <c r="F188" s="1" t="s">
        <v>8</v>
      </c>
      <c r="G188" s="1" t="s">
        <v>612</v>
      </c>
      <c r="H188" s="1" t="s">
        <v>111</v>
      </c>
      <c r="I188" s="7" t="s">
        <v>29</v>
      </c>
      <c r="J188" s="1" t="str">
        <f>IF(ISBLANK(Customer_Data_[[#This Row],[Loyalty_Level]]),"Silver",Customer_Data_[[#This Row],[Loyalty_Level]])</f>
        <v>Silver</v>
      </c>
    </row>
    <row r="189" spans="1:10" x14ac:dyDescent="0.35">
      <c r="A189" s="6" t="s">
        <v>613</v>
      </c>
      <c r="B189" s="1" t="s">
        <v>614</v>
      </c>
      <c r="C189" s="1" t="str">
        <f>TRIM(Customer_Data_[[#This Row],[Name]])</f>
        <v>Dr. Suzanne Bullock</v>
      </c>
      <c r="D189" s="1" t="str">
        <f>PROPER(Customer_Data_[[#This Row],[Name 1]])</f>
        <v>Dr. Suzanne Bullock</v>
      </c>
      <c r="E189" s="1">
        <v>60</v>
      </c>
      <c r="F189" s="1" t="s">
        <v>14</v>
      </c>
      <c r="G189" s="1" t="s">
        <v>615</v>
      </c>
      <c r="H189" s="1" t="s">
        <v>20</v>
      </c>
      <c r="I189" s="7" t="s">
        <v>17</v>
      </c>
      <c r="J189" s="1" t="str">
        <f>IF(ISBLANK(Customer_Data_[[#This Row],[Loyalty_Level]]),"Silver",Customer_Data_[[#This Row],[Loyalty_Level]])</f>
        <v>Platinum</v>
      </c>
    </row>
    <row r="190" spans="1:10" x14ac:dyDescent="0.35">
      <c r="A190" s="6" t="s">
        <v>616</v>
      </c>
      <c r="B190" s="1" t="s">
        <v>617</v>
      </c>
      <c r="C190" s="1" t="str">
        <f>TRIM(Customer_Data_[[#This Row],[Name]])</f>
        <v>Kimberly Brooks</v>
      </c>
      <c r="D190" s="1" t="str">
        <f>PROPER(Customer_Data_[[#This Row],[Name 1]])</f>
        <v>Kimberly Brooks</v>
      </c>
      <c r="E190" s="1">
        <v>42</v>
      </c>
      <c r="F190" s="1" t="s">
        <v>8</v>
      </c>
      <c r="G190" s="1" t="s">
        <v>618</v>
      </c>
      <c r="H190" s="1" t="s">
        <v>230</v>
      </c>
      <c r="I190" s="7" t="s">
        <v>29</v>
      </c>
      <c r="J190" s="1" t="str">
        <f>IF(ISBLANK(Customer_Data_[[#This Row],[Loyalty_Level]]),"Silver",Customer_Data_[[#This Row],[Loyalty_Level]])</f>
        <v>Silver</v>
      </c>
    </row>
    <row r="191" spans="1:10" x14ac:dyDescent="0.35">
      <c r="A191" s="6" t="s">
        <v>619</v>
      </c>
      <c r="B191" s="1" t="s">
        <v>620</v>
      </c>
      <c r="C191" s="1" t="str">
        <f>TRIM(Customer_Data_[[#This Row],[Name]])</f>
        <v>Daniel Austin</v>
      </c>
      <c r="D191" s="1" t="str">
        <f>PROPER(Customer_Data_[[#This Row],[Name 1]])</f>
        <v>Daniel Austin</v>
      </c>
      <c r="E191" s="1">
        <v>29</v>
      </c>
      <c r="F191" s="1" t="s">
        <v>8</v>
      </c>
      <c r="G191" s="1" t="s">
        <v>621</v>
      </c>
      <c r="H191" s="1" t="s">
        <v>585</v>
      </c>
      <c r="I191" s="7" t="s">
        <v>11</v>
      </c>
      <c r="J191" s="1" t="str">
        <f>IF(ISBLANK(Customer_Data_[[#This Row],[Loyalty_Level]]),"Silver",Customer_Data_[[#This Row],[Loyalty_Level]])</f>
        <v>Gold</v>
      </c>
    </row>
    <row r="192" spans="1:10" x14ac:dyDescent="0.35">
      <c r="A192" s="6" t="s">
        <v>622</v>
      </c>
      <c r="B192" s="1" t="s">
        <v>623</v>
      </c>
      <c r="C192" s="1" t="str">
        <f>TRIM(Customer_Data_[[#This Row],[Name]])</f>
        <v>Christopher Stewart</v>
      </c>
      <c r="D192" s="1" t="str">
        <f>PROPER(Customer_Data_[[#This Row],[Name 1]])</f>
        <v>Christopher Stewart</v>
      </c>
      <c r="E192" s="1">
        <v>21</v>
      </c>
      <c r="F192" s="1" t="s">
        <v>8</v>
      </c>
      <c r="G192" s="1" t="s">
        <v>624</v>
      </c>
      <c r="H192" s="1" t="s">
        <v>56</v>
      </c>
      <c r="I192" s="7" t="s">
        <v>24</v>
      </c>
      <c r="J192" s="1" t="str">
        <f>IF(ISBLANK(Customer_Data_[[#This Row],[Loyalty_Level]]),"Silver",Customer_Data_[[#This Row],[Loyalty_Level]])</f>
        <v>Bronze</v>
      </c>
    </row>
    <row r="193" spans="1:10" x14ac:dyDescent="0.35">
      <c r="A193" s="6" t="s">
        <v>625</v>
      </c>
      <c r="B193" s="1" t="s">
        <v>626</v>
      </c>
      <c r="C193" s="1" t="str">
        <f>TRIM(Customer_Data_[[#This Row],[Name]])</f>
        <v>Todd Poole</v>
      </c>
      <c r="D193" s="1" t="str">
        <f>PROPER(Customer_Data_[[#This Row],[Name 1]])</f>
        <v>Todd Poole</v>
      </c>
      <c r="E193" s="1">
        <v>29</v>
      </c>
      <c r="F193" s="1" t="s">
        <v>14</v>
      </c>
      <c r="G193" s="1" t="s">
        <v>627</v>
      </c>
      <c r="H193" s="1" t="s">
        <v>23</v>
      </c>
      <c r="I193" s="7" t="s">
        <v>24</v>
      </c>
      <c r="J193" s="1" t="str">
        <f>IF(ISBLANK(Customer_Data_[[#This Row],[Loyalty_Level]]),"Silver",Customer_Data_[[#This Row],[Loyalty_Level]])</f>
        <v>Bronze</v>
      </c>
    </row>
    <row r="194" spans="1:10" x14ac:dyDescent="0.35">
      <c r="A194" s="6" t="s">
        <v>628</v>
      </c>
      <c r="B194" s="1" t="s">
        <v>629</v>
      </c>
      <c r="C194" s="1" t="str">
        <f>TRIM(Customer_Data_[[#This Row],[Name]])</f>
        <v>Jacob Wood</v>
      </c>
      <c r="D194" s="1" t="str">
        <f>PROPER(Customer_Data_[[#This Row],[Name 1]])</f>
        <v>Jacob Wood</v>
      </c>
      <c r="E194" s="1">
        <v>26</v>
      </c>
      <c r="F194" s="1" t="s">
        <v>8</v>
      </c>
      <c r="G194" s="1" t="s">
        <v>630</v>
      </c>
      <c r="H194" s="1" t="s">
        <v>104</v>
      </c>
      <c r="I194" s="7" t="s">
        <v>11</v>
      </c>
      <c r="J194" s="1" t="str">
        <f>IF(ISBLANK(Customer_Data_[[#This Row],[Loyalty_Level]]),"Silver",Customer_Data_[[#This Row],[Loyalty_Level]])</f>
        <v>Gold</v>
      </c>
    </row>
    <row r="195" spans="1:10" x14ac:dyDescent="0.35">
      <c r="A195" s="6" t="s">
        <v>631</v>
      </c>
      <c r="B195" s="1" t="s">
        <v>632</v>
      </c>
      <c r="C195" s="1" t="str">
        <f>TRIM(Customer_Data_[[#This Row],[Name]])</f>
        <v>David Roberts</v>
      </c>
      <c r="D195" s="1" t="str">
        <f>PROPER(Customer_Data_[[#This Row],[Name 1]])</f>
        <v>David Roberts</v>
      </c>
      <c r="E195" s="1">
        <v>38</v>
      </c>
      <c r="F195" s="1" t="s">
        <v>8</v>
      </c>
      <c r="G195" s="1" t="s">
        <v>633</v>
      </c>
      <c r="H195" s="1" t="s">
        <v>79</v>
      </c>
      <c r="I195" s="7" t="s">
        <v>11</v>
      </c>
      <c r="J195" s="1" t="str">
        <f>IF(ISBLANK(Customer_Data_[[#This Row],[Loyalty_Level]]),"Silver",Customer_Data_[[#This Row],[Loyalty_Level]])</f>
        <v>Gold</v>
      </c>
    </row>
    <row r="196" spans="1:10" x14ac:dyDescent="0.35">
      <c r="A196" s="6" t="s">
        <v>634</v>
      </c>
      <c r="B196" s="1" t="s">
        <v>635</v>
      </c>
      <c r="C196" s="1" t="str">
        <f>TRIM(Customer_Data_[[#This Row],[Name]])</f>
        <v>Ashley Ferguson</v>
      </c>
      <c r="D196" s="1" t="str">
        <f>PROPER(Customer_Data_[[#This Row],[Name 1]])</f>
        <v>Ashley Ferguson</v>
      </c>
      <c r="E196" s="1">
        <v>46</v>
      </c>
      <c r="F196" s="1" t="s">
        <v>8</v>
      </c>
      <c r="G196" s="1" t="s">
        <v>636</v>
      </c>
      <c r="H196" s="1" t="s">
        <v>49</v>
      </c>
      <c r="I196" s="7" t="s">
        <v>11</v>
      </c>
      <c r="J196" s="1" t="str">
        <f>IF(ISBLANK(Customer_Data_[[#This Row],[Loyalty_Level]]),"Silver",Customer_Data_[[#This Row],[Loyalty_Level]])</f>
        <v>Gold</v>
      </c>
    </row>
    <row r="197" spans="1:10" x14ac:dyDescent="0.35">
      <c r="A197" s="6" t="s">
        <v>637</v>
      </c>
      <c r="B197" s="1" t="s">
        <v>638</v>
      </c>
      <c r="C197" s="1" t="str">
        <f>TRIM(Customer_Data_[[#This Row],[Name]])</f>
        <v>Anthony Garcia</v>
      </c>
      <c r="D197" s="1" t="str">
        <f>PROPER(Customer_Data_[[#This Row],[Name 1]])</f>
        <v>Anthony Garcia</v>
      </c>
      <c r="E197" s="1">
        <v>60</v>
      </c>
      <c r="F197" s="1" t="s">
        <v>8</v>
      </c>
      <c r="G197" s="1" t="s">
        <v>639</v>
      </c>
      <c r="H197" s="1" t="s">
        <v>131</v>
      </c>
      <c r="I197" s="7" t="s">
        <v>29</v>
      </c>
      <c r="J197" s="1" t="str">
        <f>IF(ISBLANK(Customer_Data_[[#This Row],[Loyalty_Level]]),"Silver",Customer_Data_[[#This Row],[Loyalty_Level]])</f>
        <v>Silver</v>
      </c>
    </row>
    <row r="198" spans="1:10" x14ac:dyDescent="0.35">
      <c r="A198" s="6" t="s">
        <v>640</v>
      </c>
      <c r="B198" s="1" t="s">
        <v>641</v>
      </c>
      <c r="C198" s="1" t="str">
        <f>TRIM(Customer_Data_[[#This Row],[Name]])</f>
        <v>Megan Greer</v>
      </c>
      <c r="D198" s="1" t="str">
        <f>PROPER(Customer_Data_[[#This Row],[Name 1]])</f>
        <v>Megan Greer</v>
      </c>
      <c r="E198" s="1">
        <v>18</v>
      </c>
      <c r="F198" s="1" t="s">
        <v>14</v>
      </c>
      <c r="G198" s="1" t="s">
        <v>642</v>
      </c>
      <c r="H198" s="1" t="s">
        <v>161</v>
      </c>
      <c r="I198" s="7" t="s">
        <v>17</v>
      </c>
      <c r="J198" s="1" t="str">
        <f>IF(ISBLANK(Customer_Data_[[#This Row],[Loyalty_Level]]),"Silver",Customer_Data_[[#This Row],[Loyalty_Level]])</f>
        <v>Platinum</v>
      </c>
    </row>
    <row r="199" spans="1:10" x14ac:dyDescent="0.35">
      <c r="A199" s="6" t="s">
        <v>643</v>
      </c>
      <c r="B199" s="1" t="s">
        <v>644</v>
      </c>
      <c r="C199" s="1" t="str">
        <f>TRIM(Customer_Data_[[#This Row],[Name]])</f>
        <v>Andrea Jacobs</v>
      </c>
      <c r="D199" s="1" t="str">
        <f>PROPER(Customer_Data_[[#This Row],[Name 1]])</f>
        <v>Andrea Jacobs</v>
      </c>
      <c r="E199" s="1">
        <v>45</v>
      </c>
      <c r="F199" s="1" t="s">
        <v>14</v>
      </c>
      <c r="G199" s="1" t="s">
        <v>204</v>
      </c>
      <c r="H199" s="1" t="s">
        <v>198</v>
      </c>
      <c r="I199" s="7" t="s">
        <v>17</v>
      </c>
      <c r="J199" s="1" t="str">
        <f>IF(ISBLANK(Customer_Data_[[#This Row],[Loyalty_Level]]),"Silver",Customer_Data_[[#This Row],[Loyalty_Level]])</f>
        <v>Platinum</v>
      </c>
    </row>
    <row r="200" spans="1:10" x14ac:dyDescent="0.35">
      <c r="A200" s="6" t="s">
        <v>645</v>
      </c>
      <c r="B200" s="1" t="s">
        <v>646</v>
      </c>
      <c r="C200" s="1" t="str">
        <f>TRIM(Customer_Data_[[#This Row],[Name]])</f>
        <v>Wanda Snyder</v>
      </c>
      <c r="D200" s="1" t="str">
        <f>PROPER(Customer_Data_[[#This Row],[Name 1]])</f>
        <v>Wanda Snyder</v>
      </c>
      <c r="E200" s="1">
        <v>54</v>
      </c>
      <c r="F200" s="1" t="s">
        <v>8</v>
      </c>
      <c r="G200" s="1" t="s">
        <v>647</v>
      </c>
      <c r="H200" s="1" t="s">
        <v>169</v>
      </c>
      <c r="I200" s="7" t="s">
        <v>24</v>
      </c>
      <c r="J200" s="1" t="str">
        <f>IF(ISBLANK(Customer_Data_[[#This Row],[Loyalty_Level]]),"Silver",Customer_Data_[[#This Row],[Loyalty_Level]])</f>
        <v>Bronze</v>
      </c>
    </row>
    <row r="201" spans="1:10" x14ac:dyDescent="0.35">
      <c r="A201" s="6" t="s">
        <v>648</v>
      </c>
      <c r="B201" s="1" t="s">
        <v>649</v>
      </c>
      <c r="C201" s="1" t="str">
        <f>TRIM(Customer_Data_[[#This Row],[Name]])</f>
        <v>Carmen Price</v>
      </c>
      <c r="D201" s="1" t="str">
        <f>PROPER(Customer_Data_[[#This Row],[Name 1]])</f>
        <v>Carmen Price</v>
      </c>
      <c r="E201" s="1">
        <v>46</v>
      </c>
      <c r="F201" s="1" t="s">
        <v>8</v>
      </c>
      <c r="G201" s="1" t="s">
        <v>650</v>
      </c>
      <c r="H201" s="1" t="s">
        <v>234</v>
      </c>
      <c r="I201" s="7" t="s">
        <v>24</v>
      </c>
      <c r="J201" s="1" t="str">
        <f>IF(ISBLANK(Customer_Data_[[#This Row],[Loyalty_Level]]),"Silver",Customer_Data_[[#This Row],[Loyalty_Level]])</f>
        <v>Bronze</v>
      </c>
    </row>
    <row r="202" spans="1:10" x14ac:dyDescent="0.35">
      <c r="A202" s="6" t="s">
        <v>651</v>
      </c>
      <c r="B202" s="1" t="s">
        <v>652</v>
      </c>
      <c r="C202" s="1" t="str">
        <f>TRIM(Customer_Data_[[#This Row],[Name]])</f>
        <v>Anna Perez</v>
      </c>
      <c r="D202" s="1" t="str">
        <f>PROPER(Customer_Data_[[#This Row],[Name 1]])</f>
        <v>Anna Perez</v>
      </c>
      <c r="E202" s="1">
        <v>30</v>
      </c>
      <c r="F202" s="1" t="s">
        <v>8</v>
      </c>
      <c r="G202" s="1" t="s">
        <v>653</v>
      </c>
      <c r="H202" s="1" t="s">
        <v>431</v>
      </c>
      <c r="I202" s="7" t="s">
        <v>17</v>
      </c>
      <c r="J202" s="1" t="str">
        <f>IF(ISBLANK(Customer_Data_[[#This Row],[Loyalty_Level]]),"Silver",Customer_Data_[[#This Row],[Loyalty_Level]])</f>
        <v>Platinum</v>
      </c>
    </row>
    <row r="203" spans="1:10" x14ac:dyDescent="0.35">
      <c r="A203" s="6" t="s">
        <v>654</v>
      </c>
      <c r="B203" s="1" t="s">
        <v>655</v>
      </c>
      <c r="C203" s="1" t="str">
        <f>TRIM(Customer_Data_[[#This Row],[Name]])</f>
        <v>Mary Boyd</v>
      </c>
      <c r="D203" s="1" t="str">
        <f>PROPER(Customer_Data_[[#This Row],[Name 1]])</f>
        <v>Mary Boyd</v>
      </c>
      <c r="E203" s="1">
        <v>25</v>
      </c>
      <c r="F203" s="1" t="s">
        <v>14</v>
      </c>
      <c r="G203" s="1" t="s">
        <v>656</v>
      </c>
      <c r="H203" s="1" t="s">
        <v>154</v>
      </c>
      <c r="I203" s="7" t="s">
        <v>24</v>
      </c>
      <c r="J203" s="1" t="str">
        <f>IF(ISBLANK(Customer_Data_[[#This Row],[Loyalty_Level]]),"Silver",Customer_Data_[[#This Row],[Loyalty_Level]])</f>
        <v>Bronze</v>
      </c>
    </row>
    <row r="204" spans="1:10" x14ac:dyDescent="0.35">
      <c r="A204" s="6" t="s">
        <v>657</v>
      </c>
      <c r="B204" s="1" t="s">
        <v>658</v>
      </c>
      <c r="C204" s="1" t="str">
        <f>TRIM(Customer_Data_[[#This Row],[Name]])</f>
        <v>Christina Garcia</v>
      </c>
      <c r="D204" s="1" t="str">
        <f>PROPER(Customer_Data_[[#This Row],[Name 1]])</f>
        <v>Christina Garcia</v>
      </c>
      <c r="E204" s="1">
        <v>37</v>
      </c>
      <c r="F204" s="1" t="s">
        <v>14</v>
      </c>
      <c r="G204" s="1" t="s">
        <v>659</v>
      </c>
      <c r="H204" s="1" t="s">
        <v>60</v>
      </c>
      <c r="I204" s="7" t="s">
        <v>17</v>
      </c>
      <c r="J204" s="1" t="str">
        <f>IF(ISBLANK(Customer_Data_[[#This Row],[Loyalty_Level]]),"Silver",Customer_Data_[[#This Row],[Loyalty_Level]])</f>
        <v>Platinum</v>
      </c>
    </row>
    <row r="205" spans="1:10" x14ac:dyDescent="0.35">
      <c r="A205" s="6" t="s">
        <v>660</v>
      </c>
      <c r="B205" s="1" t="s">
        <v>661</v>
      </c>
      <c r="C205" s="1" t="str">
        <f>TRIM(Customer_Data_[[#This Row],[Name]])</f>
        <v>Sarah Brady</v>
      </c>
      <c r="D205" s="1" t="str">
        <f>PROPER(Customer_Data_[[#This Row],[Name 1]])</f>
        <v>Sarah Brady</v>
      </c>
      <c r="E205" s="1">
        <v>47</v>
      </c>
      <c r="F205" s="1" t="s">
        <v>8</v>
      </c>
      <c r="G205" s="1" t="s">
        <v>662</v>
      </c>
      <c r="H205" s="1" t="s">
        <v>264</v>
      </c>
      <c r="I205" s="7" t="s">
        <v>17</v>
      </c>
      <c r="J205" s="1" t="str">
        <f>IF(ISBLANK(Customer_Data_[[#This Row],[Loyalty_Level]]),"Silver",Customer_Data_[[#This Row],[Loyalty_Level]])</f>
        <v>Platinum</v>
      </c>
    </row>
    <row r="206" spans="1:10" x14ac:dyDescent="0.35">
      <c r="A206" s="6" t="s">
        <v>663</v>
      </c>
      <c r="B206" s="1" t="s">
        <v>664</v>
      </c>
      <c r="C206" s="1" t="str">
        <f>TRIM(Customer_Data_[[#This Row],[Name]])</f>
        <v>Tiffany Herrera</v>
      </c>
      <c r="D206" s="1" t="str">
        <f>PROPER(Customer_Data_[[#This Row],[Name 1]])</f>
        <v>Tiffany Herrera</v>
      </c>
      <c r="E206" s="1">
        <v>52</v>
      </c>
      <c r="F206" s="1" t="s">
        <v>8</v>
      </c>
      <c r="G206" s="1" t="s">
        <v>665</v>
      </c>
      <c r="H206" s="1" t="s">
        <v>284</v>
      </c>
      <c r="I206" s="7" t="s">
        <v>17</v>
      </c>
      <c r="J206" s="1" t="str">
        <f>IF(ISBLANK(Customer_Data_[[#This Row],[Loyalty_Level]]),"Silver",Customer_Data_[[#This Row],[Loyalty_Level]])</f>
        <v>Platinum</v>
      </c>
    </row>
    <row r="207" spans="1:10" x14ac:dyDescent="0.35">
      <c r="A207" s="6" t="s">
        <v>666</v>
      </c>
      <c r="B207" s="1" t="s">
        <v>667</v>
      </c>
      <c r="C207" s="1" t="str">
        <f>TRIM(Customer_Data_[[#This Row],[Name]])</f>
        <v>Michelle Carpenter</v>
      </c>
      <c r="D207" s="1" t="str">
        <f>PROPER(Customer_Data_[[#This Row],[Name 1]])</f>
        <v>Michelle Carpenter</v>
      </c>
      <c r="E207" s="1">
        <v>44</v>
      </c>
      <c r="F207" s="1" t="s">
        <v>14</v>
      </c>
      <c r="G207" s="1" t="s">
        <v>668</v>
      </c>
      <c r="H207" s="1" t="s">
        <v>86</v>
      </c>
      <c r="I207" s="7" t="s">
        <v>11</v>
      </c>
      <c r="J207" s="1" t="str">
        <f>IF(ISBLANK(Customer_Data_[[#This Row],[Loyalty_Level]]),"Silver",Customer_Data_[[#This Row],[Loyalty_Level]])</f>
        <v>Gold</v>
      </c>
    </row>
    <row r="208" spans="1:10" x14ac:dyDescent="0.35">
      <c r="A208" s="6" t="s">
        <v>669</v>
      </c>
      <c r="B208" s="1" t="s">
        <v>670</v>
      </c>
      <c r="C208" s="1" t="str">
        <f>TRIM(Customer_Data_[[#This Row],[Name]])</f>
        <v>Ronald Jones</v>
      </c>
      <c r="D208" s="1" t="str">
        <f>PROPER(Customer_Data_[[#This Row],[Name 1]])</f>
        <v>Ronald Jones</v>
      </c>
      <c r="E208" s="1">
        <v>26</v>
      </c>
      <c r="F208" s="1" t="s">
        <v>14</v>
      </c>
      <c r="G208" s="1" t="s">
        <v>671</v>
      </c>
      <c r="H208" s="1" t="s">
        <v>234</v>
      </c>
      <c r="I208" s="7" t="s">
        <v>29</v>
      </c>
      <c r="J208" s="1" t="str">
        <f>IF(ISBLANK(Customer_Data_[[#This Row],[Loyalty_Level]]),"Silver",Customer_Data_[[#This Row],[Loyalty_Level]])</f>
        <v>Silver</v>
      </c>
    </row>
    <row r="209" spans="1:10" x14ac:dyDescent="0.35">
      <c r="A209" s="6" t="s">
        <v>672</v>
      </c>
      <c r="B209" s="1" t="s">
        <v>673</v>
      </c>
      <c r="C209" s="1" t="str">
        <f>TRIM(Customer_Data_[[#This Row],[Name]])</f>
        <v>Jacqueline Pacheco</v>
      </c>
      <c r="D209" s="1" t="str">
        <f>PROPER(Customer_Data_[[#This Row],[Name 1]])</f>
        <v>Jacqueline Pacheco</v>
      </c>
      <c r="E209" s="1">
        <v>28</v>
      </c>
      <c r="F209" s="1" t="s">
        <v>14</v>
      </c>
      <c r="G209" s="1" t="s">
        <v>674</v>
      </c>
      <c r="H209" s="1" t="s">
        <v>86</v>
      </c>
      <c r="I209" s="7" t="s">
        <v>24</v>
      </c>
      <c r="J209" s="1" t="str">
        <f>IF(ISBLANK(Customer_Data_[[#This Row],[Loyalty_Level]]),"Silver",Customer_Data_[[#This Row],[Loyalty_Level]])</f>
        <v>Bronze</v>
      </c>
    </row>
    <row r="210" spans="1:10" x14ac:dyDescent="0.35">
      <c r="A210" s="6" t="s">
        <v>675</v>
      </c>
      <c r="B210" s="1" t="s">
        <v>676</v>
      </c>
      <c r="C210" s="1" t="str">
        <f>TRIM(Customer_Data_[[#This Row],[Name]])</f>
        <v>John Perez</v>
      </c>
      <c r="D210" s="1" t="str">
        <f>PROPER(Customer_Data_[[#This Row],[Name 1]])</f>
        <v>John Perez</v>
      </c>
      <c r="E210" s="1">
        <v>54</v>
      </c>
      <c r="F210" s="1" t="s">
        <v>8</v>
      </c>
      <c r="G210" s="1" t="s">
        <v>677</v>
      </c>
      <c r="H210" s="1" t="s">
        <v>325</v>
      </c>
      <c r="I210" s="7" t="s">
        <v>17</v>
      </c>
      <c r="J210" s="1" t="str">
        <f>IF(ISBLANK(Customer_Data_[[#This Row],[Loyalty_Level]]),"Silver",Customer_Data_[[#This Row],[Loyalty_Level]])</f>
        <v>Platinum</v>
      </c>
    </row>
    <row r="211" spans="1:10" x14ac:dyDescent="0.35">
      <c r="A211" s="6" t="s">
        <v>678</v>
      </c>
      <c r="B211" s="1" t="s">
        <v>679</v>
      </c>
      <c r="C211" s="1" t="str">
        <f>TRIM(Customer_Data_[[#This Row],[Name]])</f>
        <v>Joan Johnson</v>
      </c>
      <c r="D211" s="1" t="str">
        <f>PROPER(Customer_Data_[[#This Row],[Name 1]])</f>
        <v>Joan Johnson</v>
      </c>
      <c r="E211" s="1">
        <v>50</v>
      </c>
      <c r="F211" s="1" t="s">
        <v>14</v>
      </c>
      <c r="G211" s="1" t="s">
        <v>680</v>
      </c>
      <c r="H211" s="1" t="s">
        <v>431</v>
      </c>
      <c r="I211" s="7" t="s">
        <v>17</v>
      </c>
      <c r="J211" s="1" t="str">
        <f>IF(ISBLANK(Customer_Data_[[#This Row],[Loyalty_Level]]),"Silver",Customer_Data_[[#This Row],[Loyalty_Level]])</f>
        <v>Platinum</v>
      </c>
    </row>
    <row r="212" spans="1:10" x14ac:dyDescent="0.35">
      <c r="A212" s="6" t="s">
        <v>681</v>
      </c>
      <c r="B212" s="1" t="s">
        <v>682</v>
      </c>
      <c r="C212" s="1" t="str">
        <f>TRIM(Customer_Data_[[#This Row],[Name]])</f>
        <v>Antonio Jones</v>
      </c>
      <c r="D212" s="1" t="str">
        <f>PROPER(Customer_Data_[[#This Row],[Name 1]])</f>
        <v>Antonio Jones</v>
      </c>
      <c r="E212" s="1">
        <v>48</v>
      </c>
      <c r="F212" s="1" t="s">
        <v>8</v>
      </c>
      <c r="G212" s="1" t="s">
        <v>683</v>
      </c>
      <c r="H212" s="1" t="s">
        <v>79</v>
      </c>
      <c r="I212" s="7" t="s">
        <v>29</v>
      </c>
      <c r="J212" s="1" t="str">
        <f>IF(ISBLANK(Customer_Data_[[#This Row],[Loyalty_Level]]),"Silver",Customer_Data_[[#This Row],[Loyalty_Level]])</f>
        <v>Silver</v>
      </c>
    </row>
    <row r="213" spans="1:10" x14ac:dyDescent="0.35">
      <c r="A213" s="6" t="s">
        <v>684</v>
      </c>
      <c r="B213" s="1" t="s">
        <v>685</v>
      </c>
      <c r="C213" s="1" t="str">
        <f>TRIM(Customer_Data_[[#This Row],[Name]])</f>
        <v>Rodney Huffman</v>
      </c>
      <c r="D213" s="1" t="str">
        <f>PROPER(Customer_Data_[[#This Row],[Name 1]])</f>
        <v>Rodney Huffman</v>
      </c>
      <c r="E213" s="1">
        <v>20</v>
      </c>
      <c r="F213" s="1" t="s">
        <v>14</v>
      </c>
      <c r="G213" s="1" t="s">
        <v>686</v>
      </c>
      <c r="H213" s="1" t="s">
        <v>90</v>
      </c>
      <c r="I213" s="7" t="s">
        <v>29</v>
      </c>
      <c r="J213" s="1" t="str">
        <f>IF(ISBLANK(Customer_Data_[[#This Row],[Loyalty_Level]]),"Silver",Customer_Data_[[#This Row],[Loyalty_Level]])</f>
        <v>Silver</v>
      </c>
    </row>
    <row r="214" spans="1:10" x14ac:dyDescent="0.35">
      <c r="A214" s="6" t="s">
        <v>687</v>
      </c>
      <c r="B214" s="1" t="s">
        <v>688</v>
      </c>
      <c r="C214" s="1" t="str">
        <f>TRIM(Customer_Data_[[#This Row],[Name]])</f>
        <v>Blake Harrison</v>
      </c>
      <c r="D214" s="1" t="str">
        <f>PROPER(Customer_Data_[[#This Row],[Name 1]])</f>
        <v>Blake Harrison</v>
      </c>
      <c r="E214" s="1">
        <v>63</v>
      </c>
      <c r="F214" s="1" t="s">
        <v>14</v>
      </c>
      <c r="G214" s="1" t="s">
        <v>689</v>
      </c>
      <c r="H214" s="1" t="s">
        <v>72</v>
      </c>
      <c r="I214" s="7" t="s">
        <v>17</v>
      </c>
      <c r="J214" s="1" t="str">
        <f>IF(ISBLANK(Customer_Data_[[#This Row],[Loyalty_Level]]),"Silver",Customer_Data_[[#This Row],[Loyalty_Level]])</f>
        <v>Platinum</v>
      </c>
    </row>
    <row r="215" spans="1:10" x14ac:dyDescent="0.35">
      <c r="A215" s="6" t="s">
        <v>690</v>
      </c>
      <c r="B215" s="1" t="s">
        <v>691</v>
      </c>
      <c r="C215" s="1" t="str">
        <f>TRIM(Customer_Data_[[#This Row],[Name]])</f>
        <v>Stuart Johnson</v>
      </c>
      <c r="D215" s="1" t="str">
        <f>PROPER(Customer_Data_[[#This Row],[Name 1]])</f>
        <v>Stuart Johnson</v>
      </c>
      <c r="E215" s="1">
        <v>42</v>
      </c>
      <c r="F215" s="1" t="s">
        <v>14</v>
      </c>
      <c r="G215" s="1" t="s">
        <v>692</v>
      </c>
      <c r="H215" s="1" t="s">
        <v>16</v>
      </c>
      <c r="I215" s="7" t="s">
        <v>17</v>
      </c>
      <c r="J215" s="1" t="str">
        <f>IF(ISBLANK(Customer_Data_[[#This Row],[Loyalty_Level]]),"Silver",Customer_Data_[[#This Row],[Loyalty_Level]])</f>
        <v>Platinum</v>
      </c>
    </row>
    <row r="216" spans="1:10" x14ac:dyDescent="0.35">
      <c r="A216" s="6" t="s">
        <v>693</v>
      </c>
      <c r="B216" s="1" t="s">
        <v>694</v>
      </c>
      <c r="C216" s="1" t="str">
        <f>TRIM(Customer_Data_[[#This Row],[Name]])</f>
        <v>Eric Todd</v>
      </c>
      <c r="D216" s="1" t="str">
        <f>PROPER(Customer_Data_[[#This Row],[Name 1]])</f>
        <v>Eric Todd</v>
      </c>
      <c r="E216" s="1">
        <v>61</v>
      </c>
      <c r="F216" s="1" t="s">
        <v>8</v>
      </c>
      <c r="G216" s="1" t="s">
        <v>695</v>
      </c>
      <c r="H216" s="1" t="s">
        <v>64</v>
      </c>
      <c r="I216" s="7" t="s">
        <v>11</v>
      </c>
      <c r="J216" s="1" t="str">
        <f>IF(ISBLANK(Customer_Data_[[#This Row],[Loyalty_Level]]),"Silver",Customer_Data_[[#This Row],[Loyalty_Level]])</f>
        <v>Gold</v>
      </c>
    </row>
    <row r="217" spans="1:10" x14ac:dyDescent="0.35">
      <c r="A217" s="6" t="s">
        <v>696</v>
      </c>
      <c r="B217" s="1" t="s">
        <v>697</v>
      </c>
      <c r="C217" s="1" t="str">
        <f>TRIM(Customer_Data_[[#This Row],[Name]])</f>
        <v>Steve Medina</v>
      </c>
      <c r="D217" s="1" t="str">
        <f>PROPER(Customer_Data_[[#This Row],[Name 1]])</f>
        <v>Steve Medina</v>
      </c>
      <c r="E217" s="1">
        <v>50</v>
      </c>
      <c r="F217" s="1" t="s">
        <v>14</v>
      </c>
      <c r="G217" s="1" t="s">
        <v>698</v>
      </c>
      <c r="H217" s="1" t="s">
        <v>33</v>
      </c>
      <c r="I217" s="7" t="s">
        <v>11</v>
      </c>
      <c r="J217" s="1" t="str">
        <f>IF(ISBLANK(Customer_Data_[[#This Row],[Loyalty_Level]]),"Silver",Customer_Data_[[#This Row],[Loyalty_Level]])</f>
        <v>Gold</v>
      </c>
    </row>
    <row r="218" spans="1:10" x14ac:dyDescent="0.35">
      <c r="A218" s="6" t="s">
        <v>699</v>
      </c>
      <c r="B218" s="1" t="s">
        <v>700</v>
      </c>
      <c r="C218" s="1" t="str">
        <f>TRIM(Customer_Data_[[#This Row],[Name]])</f>
        <v>Kathryn Garcia</v>
      </c>
      <c r="D218" s="1" t="str">
        <f>PROPER(Customer_Data_[[#This Row],[Name 1]])</f>
        <v>Kathryn Garcia</v>
      </c>
      <c r="E218" s="1">
        <v>44</v>
      </c>
      <c r="F218" s="1" t="s">
        <v>8</v>
      </c>
      <c r="G218" s="1" t="s">
        <v>701</v>
      </c>
      <c r="H218" s="1" t="s">
        <v>28</v>
      </c>
      <c r="I218" s="7" t="s">
        <v>17</v>
      </c>
      <c r="J218" s="1" t="str">
        <f>IF(ISBLANK(Customer_Data_[[#This Row],[Loyalty_Level]]),"Silver",Customer_Data_[[#This Row],[Loyalty_Level]])</f>
        <v>Platinum</v>
      </c>
    </row>
    <row r="219" spans="1:10" x14ac:dyDescent="0.35">
      <c r="A219" s="6" t="s">
        <v>702</v>
      </c>
      <c r="B219" s="1" t="s">
        <v>703</v>
      </c>
      <c r="C219" s="1" t="str">
        <f>TRIM(Customer_Data_[[#This Row],[Name]])</f>
        <v>Kathy Copeland</v>
      </c>
      <c r="D219" s="1" t="str">
        <f>PROPER(Customer_Data_[[#This Row],[Name 1]])</f>
        <v>Kathy Copeland</v>
      </c>
      <c r="E219" s="1">
        <v>42</v>
      </c>
      <c r="F219" s="1" t="s">
        <v>8</v>
      </c>
      <c r="G219" s="1" t="s">
        <v>704</v>
      </c>
      <c r="H219" s="1" t="s">
        <v>111</v>
      </c>
      <c r="I219" s="7" t="s">
        <v>29</v>
      </c>
      <c r="J219" s="1" t="str">
        <f>IF(ISBLANK(Customer_Data_[[#This Row],[Loyalty_Level]]),"Silver",Customer_Data_[[#This Row],[Loyalty_Level]])</f>
        <v>Silver</v>
      </c>
    </row>
    <row r="220" spans="1:10" x14ac:dyDescent="0.35">
      <c r="A220" s="6" t="s">
        <v>705</v>
      </c>
      <c r="B220" s="1" t="s">
        <v>706</v>
      </c>
      <c r="C220" s="1" t="str">
        <f>TRIM(Customer_Data_[[#This Row],[Name]])</f>
        <v>Julia Jackson</v>
      </c>
      <c r="D220" s="1" t="str">
        <f>PROPER(Customer_Data_[[#This Row],[Name 1]])</f>
        <v>Julia Jackson</v>
      </c>
      <c r="E220" s="1">
        <v>46</v>
      </c>
      <c r="F220" s="1" t="s">
        <v>8</v>
      </c>
      <c r="G220" s="1" t="s">
        <v>707</v>
      </c>
      <c r="H220" s="1" t="s">
        <v>28</v>
      </c>
      <c r="I220" s="7" t="s">
        <v>17</v>
      </c>
      <c r="J220" s="1" t="str">
        <f>IF(ISBLANK(Customer_Data_[[#This Row],[Loyalty_Level]]),"Silver",Customer_Data_[[#This Row],[Loyalty_Level]])</f>
        <v>Platinum</v>
      </c>
    </row>
    <row r="221" spans="1:10" x14ac:dyDescent="0.35">
      <c r="A221" s="6" t="s">
        <v>708</v>
      </c>
      <c r="B221" s="1" t="s">
        <v>709</v>
      </c>
      <c r="C221" s="1" t="str">
        <f>TRIM(Customer_Data_[[#This Row],[Name]])</f>
        <v>Jordan Wells</v>
      </c>
      <c r="D221" s="1" t="str">
        <f>PROPER(Customer_Data_[[#This Row],[Name 1]])</f>
        <v>Jordan Wells</v>
      </c>
      <c r="E221" s="1">
        <v>47</v>
      </c>
      <c r="F221" s="1" t="s">
        <v>14</v>
      </c>
      <c r="G221" s="1" t="s">
        <v>2314</v>
      </c>
      <c r="H221" s="1" t="s">
        <v>86</v>
      </c>
      <c r="I221" s="7" t="s">
        <v>11</v>
      </c>
      <c r="J221" s="1" t="str">
        <f>IF(ISBLANK(Customer_Data_[[#This Row],[Loyalty_Level]]),"Silver",Customer_Data_[[#This Row],[Loyalty_Level]])</f>
        <v>Gold</v>
      </c>
    </row>
    <row r="222" spans="1:10" x14ac:dyDescent="0.35">
      <c r="A222" s="6" t="s">
        <v>710</v>
      </c>
      <c r="B222" s="1" t="s">
        <v>711</v>
      </c>
      <c r="C222" s="1" t="str">
        <f>TRIM(Customer_Data_[[#This Row],[Name]])</f>
        <v>George Davis</v>
      </c>
      <c r="D222" s="1" t="str">
        <f>PROPER(Customer_Data_[[#This Row],[Name 1]])</f>
        <v>George Davis</v>
      </c>
      <c r="E222" s="1">
        <v>50</v>
      </c>
      <c r="F222" s="1" t="s">
        <v>14</v>
      </c>
      <c r="G222" s="1" t="s">
        <v>2313</v>
      </c>
      <c r="H222" s="1" t="s">
        <v>712</v>
      </c>
      <c r="I222" s="7" t="s">
        <v>24</v>
      </c>
      <c r="J222" s="1" t="str">
        <f>IF(ISBLANK(Customer_Data_[[#This Row],[Loyalty_Level]]),"Silver",Customer_Data_[[#This Row],[Loyalty_Level]])</f>
        <v>Bronze</v>
      </c>
    </row>
    <row r="223" spans="1:10" x14ac:dyDescent="0.35">
      <c r="A223" s="6" t="s">
        <v>713</v>
      </c>
      <c r="B223" s="1" t="s">
        <v>714</v>
      </c>
      <c r="C223" s="1" t="str">
        <f>TRIM(Customer_Data_[[#This Row],[Name]])</f>
        <v>Lisa Young</v>
      </c>
      <c r="D223" s="1" t="str">
        <f>PROPER(Customer_Data_[[#This Row],[Name 1]])</f>
        <v>Lisa Young</v>
      </c>
      <c r="E223" s="1">
        <v>38</v>
      </c>
      <c r="F223" s="1" t="s">
        <v>8</v>
      </c>
      <c r="G223" s="1" t="s">
        <v>715</v>
      </c>
      <c r="H223" s="1" t="s">
        <v>79</v>
      </c>
      <c r="I223" s="7" t="s">
        <v>17</v>
      </c>
      <c r="J223" s="1" t="str">
        <f>IF(ISBLANK(Customer_Data_[[#This Row],[Loyalty_Level]]),"Silver",Customer_Data_[[#This Row],[Loyalty_Level]])</f>
        <v>Platinum</v>
      </c>
    </row>
    <row r="224" spans="1:10" x14ac:dyDescent="0.35">
      <c r="A224" s="6" t="s">
        <v>716</v>
      </c>
      <c r="B224" s="1" t="s">
        <v>717</v>
      </c>
      <c r="C224" s="1" t="str">
        <f>TRIM(Customer_Data_[[#This Row],[Name]])</f>
        <v>Alejandro Doyle</v>
      </c>
      <c r="D224" s="1" t="str">
        <f>PROPER(Customer_Data_[[#This Row],[Name 1]])</f>
        <v>Alejandro Doyle</v>
      </c>
      <c r="E224" s="1">
        <v>35</v>
      </c>
      <c r="F224" s="1" t="s">
        <v>8</v>
      </c>
      <c r="G224" s="1" t="s">
        <v>718</v>
      </c>
      <c r="H224" s="1" t="s">
        <v>230</v>
      </c>
      <c r="I224" s="7" t="s">
        <v>17</v>
      </c>
      <c r="J224" s="1" t="str">
        <f>IF(ISBLANK(Customer_Data_[[#This Row],[Loyalty_Level]]),"Silver",Customer_Data_[[#This Row],[Loyalty_Level]])</f>
        <v>Platinum</v>
      </c>
    </row>
    <row r="225" spans="1:10" x14ac:dyDescent="0.35">
      <c r="A225" s="6" t="s">
        <v>719</v>
      </c>
      <c r="B225" s="1" t="s">
        <v>720</v>
      </c>
      <c r="C225" s="1" t="str">
        <f>TRIM(Customer_Data_[[#This Row],[Name]])</f>
        <v>Robert Harris</v>
      </c>
      <c r="D225" s="1" t="str">
        <f>PROPER(Customer_Data_[[#This Row],[Name 1]])</f>
        <v>Robert Harris</v>
      </c>
      <c r="E225" s="1">
        <v>50</v>
      </c>
      <c r="F225" s="1" t="s">
        <v>8</v>
      </c>
      <c r="G225" s="1" t="s">
        <v>2315</v>
      </c>
      <c r="H225" s="1" t="s">
        <v>264</v>
      </c>
      <c r="I225" s="7" t="s">
        <v>17</v>
      </c>
      <c r="J225" s="1" t="str">
        <f>IF(ISBLANK(Customer_Data_[[#This Row],[Loyalty_Level]]),"Silver",Customer_Data_[[#This Row],[Loyalty_Level]])</f>
        <v>Platinum</v>
      </c>
    </row>
    <row r="226" spans="1:10" x14ac:dyDescent="0.35">
      <c r="A226" s="6" t="s">
        <v>721</v>
      </c>
      <c r="B226" s="1" t="s">
        <v>722</v>
      </c>
      <c r="C226" s="1" t="str">
        <f>TRIM(Customer_Data_[[#This Row],[Name]])</f>
        <v>Anthony Morgan</v>
      </c>
      <c r="D226" s="1" t="str">
        <f>PROPER(Customer_Data_[[#This Row],[Name 1]])</f>
        <v>Anthony Morgan</v>
      </c>
      <c r="E226" s="1">
        <v>29</v>
      </c>
      <c r="F226" s="1" t="s">
        <v>8</v>
      </c>
      <c r="G226" s="1" t="s">
        <v>723</v>
      </c>
      <c r="H226" s="1" t="s">
        <v>111</v>
      </c>
      <c r="I226" s="7" t="s">
        <v>29</v>
      </c>
      <c r="J226" s="1" t="str">
        <f>IF(ISBLANK(Customer_Data_[[#This Row],[Loyalty_Level]]),"Silver",Customer_Data_[[#This Row],[Loyalty_Level]])</f>
        <v>Silver</v>
      </c>
    </row>
    <row r="227" spans="1:10" x14ac:dyDescent="0.35">
      <c r="A227" s="6" t="s">
        <v>724</v>
      </c>
      <c r="B227" s="1" t="s">
        <v>725</v>
      </c>
      <c r="C227" s="1" t="str">
        <f>TRIM(Customer_Data_[[#This Row],[Name]])</f>
        <v>Elizabeth Stanley</v>
      </c>
      <c r="D227" s="1" t="str">
        <f>PROPER(Customer_Data_[[#This Row],[Name 1]])</f>
        <v>Elizabeth Stanley</v>
      </c>
      <c r="E227" s="1">
        <v>46</v>
      </c>
      <c r="F227" s="1" t="s">
        <v>14</v>
      </c>
      <c r="G227" s="1" t="s">
        <v>726</v>
      </c>
      <c r="H227" s="1" t="s">
        <v>115</v>
      </c>
      <c r="I227" s="7" t="s">
        <v>17</v>
      </c>
      <c r="J227" s="1" t="str">
        <f>IF(ISBLANK(Customer_Data_[[#This Row],[Loyalty_Level]]),"Silver",Customer_Data_[[#This Row],[Loyalty_Level]])</f>
        <v>Platinum</v>
      </c>
    </row>
    <row r="228" spans="1:10" x14ac:dyDescent="0.35">
      <c r="A228" s="6" t="s">
        <v>727</v>
      </c>
      <c r="B228" s="1" t="s">
        <v>728</v>
      </c>
      <c r="C228" s="1" t="str">
        <f>TRIM(Customer_Data_[[#This Row],[Name]])</f>
        <v>Alexis Castaneda</v>
      </c>
      <c r="D228" s="1" t="str">
        <f>PROPER(Customer_Data_[[#This Row],[Name 1]])</f>
        <v>Alexis Castaneda</v>
      </c>
      <c r="E228" s="1">
        <v>54</v>
      </c>
      <c r="F228" s="1" t="s">
        <v>8</v>
      </c>
      <c r="G228" s="1" t="s">
        <v>213</v>
      </c>
      <c r="H228" s="1" t="s">
        <v>161</v>
      </c>
      <c r="I228" s="7" t="s">
        <v>11</v>
      </c>
      <c r="J228" s="1" t="str">
        <f>IF(ISBLANK(Customer_Data_[[#This Row],[Loyalty_Level]]),"Silver",Customer_Data_[[#This Row],[Loyalty_Level]])</f>
        <v>Gold</v>
      </c>
    </row>
    <row r="229" spans="1:10" x14ac:dyDescent="0.35">
      <c r="A229" s="6" t="s">
        <v>729</v>
      </c>
      <c r="B229" s="1" t="s">
        <v>730</v>
      </c>
      <c r="C229" s="1" t="str">
        <f>TRIM(Customer_Data_[[#This Row],[Name]])</f>
        <v>Gregory Pham</v>
      </c>
      <c r="D229" s="1" t="str">
        <f>PROPER(Customer_Data_[[#This Row],[Name 1]])</f>
        <v>Gregory Pham</v>
      </c>
      <c r="E229" s="1">
        <v>63</v>
      </c>
      <c r="F229" s="1" t="s">
        <v>14</v>
      </c>
      <c r="G229" s="1" t="s">
        <v>731</v>
      </c>
      <c r="H229" s="1" t="s">
        <v>60</v>
      </c>
      <c r="I229" s="7" t="s">
        <v>11</v>
      </c>
      <c r="J229" s="1" t="str">
        <f>IF(ISBLANK(Customer_Data_[[#This Row],[Loyalty_Level]]),"Silver",Customer_Data_[[#This Row],[Loyalty_Level]])</f>
        <v>Gold</v>
      </c>
    </row>
    <row r="230" spans="1:10" x14ac:dyDescent="0.35">
      <c r="A230" s="6" t="s">
        <v>732</v>
      </c>
      <c r="B230" s="1" t="s">
        <v>733</v>
      </c>
      <c r="C230" s="1" t="str">
        <f>TRIM(Customer_Data_[[#This Row],[Name]])</f>
        <v>Casey Flores</v>
      </c>
      <c r="D230" s="1" t="str">
        <f>PROPER(Customer_Data_[[#This Row],[Name 1]])</f>
        <v>Casey Flores</v>
      </c>
      <c r="E230" s="1">
        <v>52</v>
      </c>
      <c r="F230" s="1" t="s">
        <v>14</v>
      </c>
      <c r="G230" s="1" t="s">
        <v>392</v>
      </c>
      <c r="H230" s="1" t="s">
        <v>115</v>
      </c>
      <c r="I230" s="7" t="s">
        <v>11</v>
      </c>
      <c r="J230" s="1" t="str">
        <f>IF(ISBLANK(Customer_Data_[[#This Row],[Loyalty_Level]]),"Silver",Customer_Data_[[#This Row],[Loyalty_Level]])</f>
        <v>Gold</v>
      </c>
    </row>
    <row r="231" spans="1:10" x14ac:dyDescent="0.35">
      <c r="A231" s="6" t="s">
        <v>734</v>
      </c>
      <c r="B231" s="1" t="s">
        <v>735</v>
      </c>
      <c r="C231" s="1" t="str">
        <f>TRIM(Customer_Data_[[#This Row],[Name]])</f>
        <v>Tanner Thompson</v>
      </c>
      <c r="D231" s="1" t="str">
        <f>PROPER(Customer_Data_[[#This Row],[Name 1]])</f>
        <v>Tanner Thompson</v>
      </c>
      <c r="E231" s="1">
        <v>32</v>
      </c>
      <c r="F231" s="1" t="s">
        <v>14</v>
      </c>
      <c r="G231" s="1" t="s">
        <v>736</v>
      </c>
      <c r="H231" s="1" t="s">
        <v>138</v>
      </c>
      <c r="I231" s="7" t="s">
        <v>24</v>
      </c>
      <c r="J231" s="1" t="str">
        <f>IF(ISBLANK(Customer_Data_[[#This Row],[Loyalty_Level]]),"Silver",Customer_Data_[[#This Row],[Loyalty_Level]])</f>
        <v>Bronze</v>
      </c>
    </row>
    <row r="232" spans="1:10" x14ac:dyDescent="0.35">
      <c r="A232" s="6" t="s">
        <v>737</v>
      </c>
      <c r="B232" s="1" t="s">
        <v>738</v>
      </c>
      <c r="C232" s="1" t="str">
        <f>TRIM(Customer_Data_[[#This Row],[Name]])</f>
        <v>Timothy Sanders</v>
      </c>
      <c r="D232" s="1" t="str">
        <f>PROPER(Customer_Data_[[#This Row],[Name 1]])</f>
        <v>Timothy Sanders</v>
      </c>
      <c r="E232" s="1">
        <v>29</v>
      </c>
      <c r="F232" s="1" t="s">
        <v>8</v>
      </c>
      <c r="G232" s="1" t="s">
        <v>739</v>
      </c>
      <c r="H232" s="1" t="s">
        <v>247</v>
      </c>
      <c r="I232" s="7" t="s">
        <v>24</v>
      </c>
      <c r="J232" s="1" t="str">
        <f>IF(ISBLANK(Customer_Data_[[#This Row],[Loyalty_Level]]),"Silver",Customer_Data_[[#This Row],[Loyalty_Level]])</f>
        <v>Bronze</v>
      </c>
    </row>
    <row r="233" spans="1:10" x14ac:dyDescent="0.35">
      <c r="A233" s="6" t="s">
        <v>740</v>
      </c>
      <c r="B233" s="1" t="s">
        <v>741</v>
      </c>
      <c r="C233" s="1" t="str">
        <f>TRIM(Customer_Data_[[#This Row],[Name]])</f>
        <v>Timothy Juarez</v>
      </c>
      <c r="D233" s="1" t="str">
        <f>PROPER(Customer_Data_[[#This Row],[Name 1]])</f>
        <v>Timothy Juarez</v>
      </c>
      <c r="E233" s="1">
        <v>22</v>
      </c>
      <c r="F233" s="1" t="s">
        <v>14</v>
      </c>
      <c r="G233" s="1" t="s">
        <v>742</v>
      </c>
      <c r="H233" s="1" t="s">
        <v>314</v>
      </c>
      <c r="I233" s="7" t="s">
        <v>24</v>
      </c>
      <c r="J233" s="1" t="str">
        <f>IF(ISBLANK(Customer_Data_[[#This Row],[Loyalty_Level]]),"Silver",Customer_Data_[[#This Row],[Loyalty_Level]])</f>
        <v>Bronze</v>
      </c>
    </row>
    <row r="234" spans="1:10" x14ac:dyDescent="0.35">
      <c r="A234" s="6" t="s">
        <v>743</v>
      </c>
      <c r="B234" s="1" t="s">
        <v>744</v>
      </c>
      <c r="C234" s="1" t="str">
        <f>TRIM(Customer_Data_[[#This Row],[Name]])</f>
        <v>Christy Hill</v>
      </c>
      <c r="D234" s="1" t="str">
        <f>PROPER(Customer_Data_[[#This Row],[Name 1]])</f>
        <v>Christy Hill</v>
      </c>
      <c r="E234" s="1">
        <v>27</v>
      </c>
      <c r="F234" s="1" t="s">
        <v>14</v>
      </c>
      <c r="G234" s="1" t="s">
        <v>745</v>
      </c>
      <c r="H234" s="1" t="s">
        <v>86</v>
      </c>
      <c r="I234" s="7" t="s">
        <v>17</v>
      </c>
      <c r="J234" s="1" t="str">
        <f>IF(ISBLANK(Customer_Data_[[#This Row],[Loyalty_Level]]),"Silver",Customer_Data_[[#This Row],[Loyalty_Level]])</f>
        <v>Platinum</v>
      </c>
    </row>
    <row r="235" spans="1:10" x14ac:dyDescent="0.35">
      <c r="A235" s="6" t="s">
        <v>746</v>
      </c>
      <c r="B235" s="1" t="s">
        <v>747</v>
      </c>
      <c r="C235" s="1" t="str">
        <f>TRIM(Customer_Data_[[#This Row],[Name]])</f>
        <v>Michelle Gonzalez</v>
      </c>
      <c r="D235" s="1" t="str">
        <f>PROPER(Customer_Data_[[#This Row],[Name 1]])</f>
        <v>Michelle Gonzalez</v>
      </c>
      <c r="E235" s="1">
        <v>59</v>
      </c>
      <c r="F235" s="1" t="s">
        <v>8</v>
      </c>
      <c r="G235" s="1" t="s">
        <v>748</v>
      </c>
      <c r="H235" s="1" t="s">
        <v>41</v>
      </c>
      <c r="I235" s="7" t="s">
        <v>29</v>
      </c>
      <c r="J235" s="1" t="str">
        <f>IF(ISBLANK(Customer_Data_[[#This Row],[Loyalty_Level]]),"Silver",Customer_Data_[[#This Row],[Loyalty_Level]])</f>
        <v>Silver</v>
      </c>
    </row>
    <row r="236" spans="1:10" x14ac:dyDescent="0.35">
      <c r="A236" s="6" t="s">
        <v>749</v>
      </c>
      <c r="B236" s="1" t="s">
        <v>750</v>
      </c>
      <c r="C236" s="1" t="str">
        <f>TRIM(Customer_Data_[[#This Row],[Name]])</f>
        <v>Nathaniel Hill</v>
      </c>
      <c r="D236" s="1" t="str">
        <f>PROPER(Customer_Data_[[#This Row],[Name 1]])</f>
        <v>Nathaniel Hill</v>
      </c>
      <c r="E236" s="1">
        <v>43</v>
      </c>
      <c r="F236" s="1" t="s">
        <v>14</v>
      </c>
      <c r="G236" s="1" t="s">
        <v>751</v>
      </c>
      <c r="H236" s="1" t="s">
        <v>60</v>
      </c>
      <c r="I236" s="7" t="s">
        <v>11</v>
      </c>
      <c r="J236" s="1" t="str">
        <f>IF(ISBLANK(Customer_Data_[[#This Row],[Loyalty_Level]]),"Silver",Customer_Data_[[#This Row],[Loyalty_Level]])</f>
        <v>Gold</v>
      </c>
    </row>
    <row r="237" spans="1:10" x14ac:dyDescent="0.35">
      <c r="A237" s="6" t="s">
        <v>752</v>
      </c>
      <c r="B237" s="1" t="s">
        <v>753</v>
      </c>
      <c r="C237" s="1" t="str">
        <f>TRIM(Customer_Data_[[#This Row],[Name]])</f>
        <v>Jon Ortiz</v>
      </c>
      <c r="D237" s="1" t="str">
        <f>PROPER(Customer_Data_[[#This Row],[Name 1]])</f>
        <v>Jon Ortiz</v>
      </c>
      <c r="E237" s="1">
        <v>28</v>
      </c>
      <c r="F237" s="1" t="s">
        <v>14</v>
      </c>
      <c r="G237" s="1" t="s">
        <v>754</v>
      </c>
      <c r="H237" s="1" t="s">
        <v>90</v>
      </c>
      <c r="I237" s="7" t="s">
        <v>24</v>
      </c>
      <c r="J237" s="1" t="str">
        <f>IF(ISBLANK(Customer_Data_[[#This Row],[Loyalty_Level]]),"Silver",Customer_Data_[[#This Row],[Loyalty_Level]])</f>
        <v>Bronze</v>
      </c>
    </row>
    <row r="238" spans="1:10" x14ac:dyDescent="0.35">
      <c r="A238" s="6" t="s">
        <v>755</v>
      </c>
      <c r="B238" s="1" t="s">
        <v>756</v>
      </c>
      <c r="C238" s="1" t="str">
        <f>TRIM(Customer_Data_[[#This Row],[Name]])</f>
        <v>Joshua Wilson</v>
      </c>
      <c r="D238" s="1" t="str">
        <f>PROPER(Customer_Data_[[#This Row],[Name 1]])</f>
        <v>Joshua Wilson</v>
      </c>
      <c r="E238" s="1">
        <v>42</v>
      </c>
      <c r="F238" s="1" t="s">
        <v>14</v>
      </c>
      <c r="G238" s="1" t="s">
        <v>757</v>
      </c>
      <c r="H238" s="1" t="s">
        <v>284</v>
      </c>
      <c r="I238" s="7" t="s">
        <v>24</v>
      </c>
      <c r="J238" s="1" t="str">
        <f>IF(ISBLANK(Customer_Data_[[#This Row],[Loyalty_Level]]),"Silver",Customer_Data_[[#This Row],[Loyalty_Level]])</f>
        <v>Bronze</v>
      </c>
    </row>
    <row r="239" spans="1:10" x14ac:dyDescent="0.35">
      <c r="A239" s="6" t="s">
        <v>758</v>
      </c>
      <c r="B239" s="1" t="s">
        <v>759</v>
      </c>
      <c r="C239" s="1" t="str">
        <f>TRIM(Customer_Data_[[#This Row],[Name]])</f>
        <v>Wesley Short</v>
      </c>
      <c r="D239" s="1" t="str">
        <f>PROPER(Customer_Data_[[#This Row],[Name 1]])</f>
        <v>Wesley Short</v>
      </c>
      <c r="E239" s="1">
        <v>41</v>
      </c>
      <c r="F239" s="1" t="s">
        <v>14</v>
      </c>
      <c r="G239" s="1" t="s">
        <v>760</v>
      </c>
      <c r="H239" s="1" t="s">
        <v>64</v>
      </c>
      <c r="I239" s="7" t="s">
        <v>11</v>
      </c>
      <c r="J239" s="1" t="str">
        <f>IF(ISBLANK(Customer_Data_[[#This Row],[Loyalty_Level]]),"Silver",Customer_Data_[[#This Row],[Loyalty_Level]])</f>
        <v>Gold</v>
      </c>
    </row>
    <row r="240" spans="1:10" x14ac:dyDescent="0.35">
      <c r="A240" s="6" t="s">
        <v>761</v>
      </c>
      <c r="B240" s="1" t="s">
        <v>762</v>
      </c>
      <c r="C240" s="1" t="str">
        <f>TRIM(Customer_Data_[[#This Row],[Name]])</f>
        <v>Steven Smith</v>
      </c>
      <c r="D240" s="1" t="str">
        <f>PROPER(Customer_Data_[[#This Row],[Name 1]])</f>
        <v>Steven Smith</v>
      </c>
      <c r="E240" s="1">
        <v>40</v>
      </c>
      <c r="F240" s="1" t="s">
        <v>8</v>
      </c>
      <c r="G240" s="1" t="s">
        <v>763</v>
      </c>
      <c r="H240" s="1" t="s">
        <v>41</v>
      </c>
      <c r="I240" s="7" t="s">
        <v>17</v>
      </c>
      <c r="J240" s="1" t="str">
        <f>IF(ISBLANK(Customer_Data_[[#This Row],[Loyalty_Level]]),"Silver",Customer_Data_[[#This Row],[Loyalty_Level]])</f>
        <v>Platinum</v>
      </c>
    </row>
    <row r="241" spans="1:10" x14ac:dyDescent="0.35">
      <c r="A241" s="6" t="s">
        <v>764</v>
      </c>
      <c r="B241" s="1" t="s">
        <v>765</v>
      </c>
      <c r="C241" s="1" t="str">
        <f>TRIM(Customer_Data_[[#This Row],[Name]])</f>
        <v>Maria Hill</v>
      </c>
      <c r="D241" s="1" t="str">
        <f>PROPER(Customer_Data_[[#This Row],[Name 1]])</f>
        <v>Maria Hill</v>
      </c>
      <c r="E241" s="1">
        <v>58</v>
      </c>
      <c r="F241" s="1" t="s">
        <v>14</v>
      </c>
      <c r="G241" s="1" t="s">
        <v>766</v>
      </c>
      <c r="H241" s="1" t="s">
        <v>182</v>
      </c>
      <c r="I241" s="7" t="s">
        <v>17</v>
      </c>
      <c r="J241" s="1" t="str">
        <f>IF(ISBLANK(Customer_Data_[[#This Row],[Loyalty_Level]]),"Silver",Customer_Data_[[#This Row],[Loyalty_Level]])</f>
        <v>Platinum</v>
      </c>
    </row>
    <row r="242" spans="1:10" x14ac:dyDescent="0.35">
      <c r="A242" s="6" t="s">
        <v>767</v>
      </c>
      <c r="B242" s="1" t="s">
        <v>768</v>
      </c>
      <c r="C242" s="1" t="str">
        <f>TRIM(Customer_Data_[[#This Row],[Name]])</f>
        <v>William Hull</v>
      </c>
      <c r="D242" s="1" t="str">
        <f>PROPER(Customer_Data_[[#This Row],[Name 1]])</f>
        <v>William Hull</v>
      </c>
      <c r="E242" s="1">
        <v>59</v>
      </c>
      <c r="F242" s="1" t="s">
        <v>14</v>
      </c>
      <c r="G242" s="1" t="s">
        <v>769</v>
      </c>
      <c r="H242" s="1" t="s">
        <v>154</v>
      </c>
      <c r="I242" s="7" t="s">
        <v>17</v>
      </c>
      <c r="J242" s="1" t="str">
        <f>IF(ISBLANK(Customer_Data_[[#This Row],[Loyalty_Level]]),"Silver",Customer_Data_[[#This Row],[Loyalty_Level]])</f>
        <v>Platinum</v>
      </c>
    </row>
    <row r="243" spans="1:10" x14ac:dyDescent="0.35">
      <c r="A243" s="6" t="s">
        <v>770</v>
      </c>
      <c r="B243" s="1" t="s">
        <v>771</v>
      </c>
      <c r="C243" s="1" t="str">
        <f>TRIM(Customer_Data_[[#This Row],[Name]])</f>
        <v>Mr. William Horton</v>
      </c>
      <c r="D243" s="1" t="str">
        <f>PROPER(Customer_Data_[[#This Row],[Name 1]])</f>
        <v>Mr. William Horton</v>
      </c>
      <c r="E243" s="1">
        <v>31</v>
      </c>
      <c r="F243" s="1" t="s">
        <v>8</v>
      </c>
      <c r="G243" s="1" t="s">
        <v>772</v>
      </c>
      <c r="H243" s="1" t="s">
        <v>284</v>
      </c>
      <c r="I243" s="7" t="s">
        <v>17</v>
      </c>
      <c r="J243" s="1" t="str">
        <f>IF(ISBLANK(Customer_Data_[[#This Row],[Loyalty_Level]]),"Silver",Customer_Data_[[#This Row],[Loyalty_Level]])</f>
        <v>Platinum</v>
      </c>
    </row>
    <row r="244" spans="1:10" x14ac:dyDescent="0.35">
      <c r="A244" s="6" t="s">
        <v>773</v>
      </c>
      <c r="B244" s="1" t="s">
        <v>774</v>
      </c>
      <c r="C244" s="1" t="str">
        <f>TRIM(Customer_Data_[[#This Row],[Name]])</f>
        <v>William Jackson</v>
      </c>
      <c r="D244" s="1" t="str">
        <f>PROPER(Customer_Data_[[#This Row],[Name 1]])</f>
        <v>William Jackson</v>
      </c>
      <c r="E244" s="1">
        <v>58</v>
      </c>
      <c r="F244" s="1" t="s">
        <v>14</v>
      </c>
      <c r="G244" s="1" t="s">
        <v>775</v>
      </c>
      <c r="H244" s="1" t="s">
        <v>165</v>
      </c>
      <c r="I244" s="7" t="s">
        <v>29</v>
      </c>
      <c r="J244" s="1" t="str">
        <f>IF(ISBLANK(Customer_Data_[[#This Row],[Loyalty_Level]]),"Silver",Customer_Data_[[#This Row],[Loyalty_Level]])</f>
        <v>Silver</v>
      </c>
    </row>
    <row r="245" spans="1:10" x14ac:dyDescent="0.35">
      <c r="A245" s="6" t="s">
        <v>776</v>
      </c>
      <c r="B245" s="1" t="s">
        <v>777</v>
      </c>
      <c r="C245" s="1" t="str">
        <f>TRIM(Customer_Data_[[#This Row],[Name]])</f>
        <v>Brian Hammond</v>
      </c>
      <c r="D245" s="1" t="str">
        <f>PROPER(Customer_Data_[[#This Row],[Name 1]])</f>
        <v>Brian Hammond</v>
      </c>
      <c r="E245" s="1">
        <v>56</v>
      </c>
      <c r="F245" s="1" t="s">
        <v>14</v>
      </c>
      <c r="G245" s="1" t="s">
        <v>778</v>
      </c>
      <c r="H245" s="1" t="s">
        <v>356</v>
      </c>
      <c r="I245" s="7" t="s">
        <v>11</v>
      </c>
      <c r="J245" s="1" t="str">
        <f>IF(ISBLANK(Customer_Data_[[#This Row],[Loyalty_Level]]),"Silver",Customer_Data_[[#This Row],[Loyalty_Level]])</f>
        <v>Gold</v>
      </c>
    </row>
    <row r="246" spans="1:10" x14ac:dyDescent="0.35">
      <c r="A246" s="6" t="s">
        <v>779</v>
      </c>
      <c r="B246" s="1" t="s">
        <v>780</v>
      </c>
      <c r="C246" s="1" t="str">
        <f>TRIM(Customer_Data_[[#This Row],[Name]])</f>
        <v>Nancy Page</v>
      </c>
      <c r="D246" s="1" t="str">
        <f>PROPER(Customer_Data_[[#This Row],[Name 1]])</f>
        <v>Nancy Page</v>
      </c>
      <c r="E246" s="1">
        <v>19</v>
      </c>
      <c r="F246" s="1" t="s">
        <v>8</v>
      </c>
      <c r="G246" s="1" t="s">
        <v>781</v>
      </c>
      <c r="H246" s="1" t="s">
        <v>115</v>
      </c>
      <c r="I246" s="7" t="s">
        <v>24</v>
      </c>
      <c r="J246" s="1" t="str">
        <f>IF(ISBLANK(Customer_Data_[[#This Row],[Loyalty_Level]]),"Silver",Customer_Data_[[#This Row],[Loyalty_Level]])</f>
        <v>Bronze</v>
      </c>
    </row>
    <row r="247" spans="1:10" x14ac:dyDescent="0.35">
      <c r="A247" s="6" t="s">
        <v>782</v>
      </c>
      <c r="B247" s="1" t="s">
        <v>783</v>
      </c>
      <c r="C247" s="1" t="str">
        <f>TRIM(Customer_Data_[[#This Row],[Name]])</f>
        <v>Laura Soto</v>
      </c>
      <c r="D247" s="1" t="str">
        <f>PROPER(Customer_Data_[[#This Row],[Name 1]])</f>
        <v>Laura Soto</v>
      </c>
      <c r="E247" s="1">
        <v>57</v>
      </c>
      <c r="F247" s="1" t="s">
        <v>14</v>
      </c>
      <c r="G247" s="1" t="s">
        <v>784</v>
      </c>
      <c r="H247" s="1" t="s">
        <v>154</v>
      </c>
      <c r="I247" s="7" t="s">
        <v>17</v>
      </c>
      <c r="J247" s="1" t="str">
        <f>IF(ISBLANK(Customer_Data_[[#This Row],[Loyalty_Level]]),"Silver",Customer_Data_[[#This Row],[Loyalty_Level]])</f>
        <v>Platinum</v>
      </c>
    </row>
    <row r="248" spans="1:10" x14ac:dyDescent="0.35">
      <c r="A248" s="6" t="s">
        <v>785</v>
      </c>
      <c r="B248" s="1" t="s">
        <v>786</v>
      </c>
      <c r="C248" s="1" t="str">
        <f>TRIM(Customer_Data_[[#This Row],[Name]])</f>
        <v>Mary Russell</v>
      </c>
      <c r="D248" s="1" t="str">
        <f>PROPER(Customer_Data_[[#This Row],[Name 1]])</f>
        <v>Mary Russell</v>
      </c>
      <c r="E248" s="1">
        <v>58</v>
      </c>
      <c r="F248" s="1" t="s">
        <v>8</v>
      </c>
      <c r="G248" s="1" t="s">
        <v>787</v>
      </c>
      <c r="H248" s="1" t="s">
        <v>288</v>
      </c>
      <c r="I248" s="7" t="s">
        <v>24</v>
      </c>
      <c r="J248" s="1" t="str">
        <f>IF(ISBLANK(Customer_Data_[[#This Row],[Loyalty_Level]]),"Silver",Customer_Data_[[#This Row],[Loyalty_Level]])</f>
        <v>Bronze</v>
      </c>
    </row>
    <row r="249" spans="1:10" x14ac:dyDescent="0.35">
      <c r="A249" s="6" t="s">
        <v>788</v>
      </c>
      <c r="B249" s="1" t="s">
        <v>789</v>
      </c>
      <c r="C249" s="1" t="str">
        <f>TRIM(Customer_Data_[[#This Row],[Name]])</f>
        <v>Douglas Rhodes</v>
      </c>
      <c r="D249" s="1" t="str">
        <f>PROPER(Customer_Data_[[#This Row],[Name 1]])</f>
        <v>Douglas Rhodes</v>
      </c>
      <c r="E249" s="1">
        <v>32</v>
      </c>
      <c r="F249" s="1" t="s">
        <v>8</v>
      </c>
      <c r="G249" s="1" t="s">
        <v>790</v>
      </c>
      <c r="H249" s="1" t="s">
        <v>45</v>
      </c>
      <c r="I249" s="7" t="s">
        <v>17</v>
      </c>
      <c r="J249" s="1" t="str">
        <f>IF(ISBLANK(Customer_Data_[[#This Row],[Loyalty_Level]]),"Silver",Customer_Data_[[#This Row],[Loyalty_Level]])</f>
        <v>Platinum</v>
      </c>
    </row>
    <row r="250" spans="1:10" x14ac:dyDescent="0.35">
      <c r="A250" s="6" t="s">
        <v>791</v>
      </c>
      <c r="B250" s="1" t="s">
        <v>792</v>
      </c>
      <c r="C250" s="1" t="str">
        <f>TRIM(Customer_Data_[[#This Row],[Name]])</f>
        <v>Nicholas Webb</v>
      </c>
      <c r="D250" s="1" t="str">
        <f>PROPER(Customer_Data_[[#This Row],[Name 1]])</f>
        <v>Nicholas Webb</v>
      </c>
      <c r="E250" s="1">
        <v>19</v>
      </c>
      <c r="F250" s="1" t="s">
        <v>8</v>
      </c>
      <c r="G250" s="1" t="s">
        <v>793</v>
      </c>
      <c r="H250" s="1" t="s">
        <v>182</v>
      </c>
      <c r="I250" s="7" t="s">
        <v>11</v>
      </c>
      <c r="J250" s="1" t="str">
        <f>IF(ISBLANK(Customer_Data_[[#This Row],[Loyalty_Level]]),"Silver",Customer_Data_[[#This Row],[Loyalty_Level]])</f>
        <v>Gold</v>
      </c>
    </row>
    <row r="251" spans="1:10" x14ac:dyDescent="0.35">
      <c r="A251" s="6" t="s">
        <v>794</v>
      </c>
      <c r="B251" s="1" t="s">
        <v>795</v>
      </c>
      <c r="C251" s="1" t="str">
        <f>TRIM(Customer_Data_[[#This Row],[Name]])</f>
        <v>Lauren George</v>
      </c>
      <c r="D251" s="1" t="str">
        <f>PROPER(Customer_Data_[[#This Row],[Name 1]])</f>
        <v>Lauren George</v>
      </c>
      <c r="E251" s="1">
        <v>41</v>
      </c>
      <c r="F251" s="1" t="s">
        <v>14</v>
      </c>
      <c r="G251" s="1" t="s">
        <v>796</v>
      </c>
      <c r="H251" s="1" t="s">
        <v>56</v>
      </c>
      <c r="I251" s="7" t="s">
        <v>11</v>
      </c>
      <c r="J251" s="1" t="str">
        <f>IF(ISBLANK(Customer_Data_[[#This Row],[Loyalty_Level]]),"Silver",Customer_Data_[[#This Row],[Loyalty_Level]])</f>
        <v>Gold</v>
      </c>
    </row>
    <row r="252" spans="1:10" x14ac:dyDescent="0.35">
      <c r="A252" s="6" t="s">
        <v>797</v>
      </c>
      <c r="B252" s="1" t="s">
        <v>798</v>
      </c>
      <c r="C252" s="1" t="str">
        <f>TRIM(Customer_Data_[[#This Row],[Name]])</f>
        <v>Veronica Newman</v>
      </c>
      <c r="D252" s="1" t="str">
        <f>PROPER(Customer_Data_[[#This Row],[Name 1]])</f>
        <v>Veronica Newman</v>
      </c>
      <c r="E252" s="1">
        <v>48</v>
      </c>
      <c r="F252" s="1" t="s">
        <v>8</v>
      </c>
      <c r="G252" s="1" t="s">
        <v>799</v>
      </c>
      <c r="H252" s="1" t="s">
        <v>90</v>
      </c>
      <c r="I252" s="7" t="s">
        <v>17</v>
      </c>
      <c r="J252" s="1" t="str">
        <f>IF(ISBLANK(Customer_Data_[[#This Row],[Loyalty_Level]]),"Silver",Customer_Data_[[#This Row],[Loyalty_Level]])</f>
        <v>Platinum</v>
      </c>
    </row>
    <row r="253" spans="1:10" x14ac:dyDescent="0.35">
      <c r="A253" s="6" t="s">
        <v>800</v>
      </c>
      <c r="B253" s="1" t="s">
        <v>801</v>
      </c>
      <c r="C253" s="1" t="str">
        <f>TRIM(Customer_Data_[[#This Row],[Name]])</f>
        <v>Tyler Garner</v>
      </c>
      <c r="D253" s="1" t="str">
        <f>PROPER(Customer_Data_[[#This Row],[Name 1]])</f>
        <v>Tyler Garner</v>
      </c>
      <c r="E253" s="1">
        <v>64</v>
      </c>
      <c r="F253" s="1" t="s">
        <v>8</v>
      </c>
      <c r="G253" s="1" t="s">
        <v>802</v>
      </c>
      <c r="H253" s="1" t="s">
        <v>20</v>
      </c>
      <c r="I253" s="7" t="s">
        <v>29</v>
      </c>
      <c r="J253" s="1" t="str">
        <f>IF(ISBLANK(Customer_Data_[[#This Row],[Loyalty_Level]]),"Silver",Customer_Data_[[#This Row],[Loyalty_Level]])</f>
        <v>Silver</v>
      </c>
    </row>
    <row r="254" spans="1:10" x14ac:dyDescent="0.35">
      <c r="A254" s="6" t="s">
        <v>803</v>
      </c>
      <c r="B254" s="1" t="s">
        <v>804</v>
      </c>
      <c r="C254" s="1" t="str">
        <f>TRIM(Customer_Data_[[#This Row],[Name]])</f>
        <v>John Mccoy</v>
      </c>
      <c r="D254" s="1" t="str">
        <f>PROPER(Customer_Data_[[#This Row],[Name 1]])</f>
        <v>John Mccoy</v>
      </c>
      <c r="E254" s="1">
        <v>26</v>
      </c>
      <c r="F254" s="1" t="s">
        <v>8</v>
      </c>
      <c r="G254" s="1" t="s">
        <v>805</v>
      </c>
      <c r="H254" s="1" t="s">
        <v>37</v>
      </c>
      <c r="I254" s="7" t="s">
        <v>29</v>
      </c>
      <c r="J254" s="1" t="str">
        <f>IF(ISBLANK(Customer_Data_[[#This Row],[Loyalty_Level]]),"Silver",Customer_Data_[[#This Row],[Loyalty_Level]])</f>
        <v>Silver</v>
      </c>
    </row>
    <row r="255" spans="1:10" x14ac:dyDescent="0.35">
      <c r="A255" s="6" t="s">
        <v>806</v>
      </c>
      <c r="B255" s="1" t="s">
        <v>807</v>
      </c>
      <c r="C255" s="1" t="str">
        <f>TRIM(Customer_Data_[[#This Row],[Name]])</f>
        <v>Dr. Ashley Yates MD</v>
      </c>
      <c r="D255" s="1" t="str">
        <f>PROPER(Customer_Data_[[#This Row],[Name 1]])</f>
        <v>Dr. Ashley Yates Md</v>
      </c>
      <c r="E255" s="1">
        <v>32</v>
      </c>
      <c r="F255" s="1" t="s">
        <v>8</v>
      </c>
      <c r="G255" s="1" t="s">
        <v>808</v>
      </c>
      <c r="H255" s="1" t="s">
        <v>321</v>
      </c>
      <c r="I255" s="7" t="s">
        <v>24</v>
      </c>
      <c r="J255" s="1" t="str">
        <f>IF(ISBLANK(Customer_Data_[[#This Row],[Loyalty_Level]]),"Silver",Customer_Data_[[#This Row],[Loyalty_Level]])</f>
        <v>Bronze</v>
      </c>
    </row>
    <row r="256" spans="1:10" x14ac:dyDescent="0.35">
      <c r="A256" s="6" t="s">
        <v>809</v>
      </c>
      <c r="B256" s="1" t="s">
        <v>810</v>
      </c>
      <c r="C256" s="1" t="str">
        <f>TRIM(Customer_Data_[[#This Row],[Name]])</f>
        <v>Linda Kline</v>
      </c>
      <c r="D256" s="1" t="str">
        <f>PROPER(Customer_Data_[[#This Row],[Name 1]])</f>
        <v>Linda Kline</v>
      </c>
      <c r="E256" s="1">
        <v>34</v>
      </c>
      <c r="F256" s="1" t="s">
        <v>8</v>
      </c>
      <c r="G256" s="1" t="s">
        <v>811</v>
      </c>
      <c r="H256" s="1" t="s">
        <v>161</v>
      </c>
      <c r="I256" s="7" t="s">
        <v>29</v>
      </c>
      <c r="J256" s="1" t="str">
        <f>IF(ISBLANK(Customer_Data_[[#This Row],[Loyalty_Level]]),"Silver",Customer_Data_[[#This Row],[Loyalty_Level]])</f>
        <v>Silver</v>
      </c>
    </row>
    <row r="257" spans="1:10" x14ac:dyDescent="0.35">
      <c r="A257" s="6" t="s">
        <v>812</v>
      </c>
      <c r="B257" s="1" t="s">
        <v>813</v>
      </c>
      <c r="C257" s="1" t="str">
        <f>TRIM(Customer_Data_[[#This Row],[Name]])</f>
        <v>Damon Perez</v>
      </c>
      <c r="D257" s="1" t="str">
        <f>PROPER(Customer_Data_[[#This Row],[Name 1]])</f>
        <v>Damon Perez</v>
      </c>
      <c r="E257" s="1">
        <v>21</v>
      </c>
      <c r="F257" s="1" t="s">
        <v>8</v>
      </c>
      <c r="G257" s="1" t="s">
        <v>814</v>
      </c>
      <c r="H257" s="1" t="s">
        <v>23</v>
      </c>
      <c r="I257" s="7" t="s">
        <v>11</v>
      </c>
      <c r="J257" s="1" t="str">
        <f>IF(ISBLANK(Customer_Data_[[#This Row],[Loyalty_Level]]),"Silver",Customer_Data_[[#This Row],[Loyalty_Level]])</f>
        <v>Gold</v>
      </c>
    </row>
    <row r="258" spans="1:10" x14ac:dyDescent="0.35">
      <c r="A258" s="6" t="s">
        <v>815</v>
      </c>
      <c r="B258" s="1" t="s">
        <v>816</v>
      </c>
      <c r="C258" s="1" t="str">
        <f>TRIM(Customer_Data_[[#This Row],[Name]])</f>
        <v>Kristen Fischer</v>
      </c>
      <c r="D258" s="1" t="str">
        <f>PROPER(Customer_Data_[[#This Row],[Name 1]])</f>
        <v>Kristen Fischer</v>
      </c>
      <c r="E258" s="1">
        <v>57</v>
      </c>
      <c r="F258" s="1" t="s">
        <v>8</v>
      </c>
      <c r="G258" s="1" t="s">
        <v>817</v>
      </c>
      <c r="H258" s="1" t="s">
        <v>288</v>
      </c>
      <c r="I258" s="7" t="s">
        <v>17</v>
      </c>
      <c r="J258" s="1" t="str">
        <f>IF(ISBLANK(Customer_Data_[[#This Row],[Loyalty_Level]]),"Silver",Customer_Data_[[#This Row],[Loyalty_Level]])</f>
        <v>Platinum</v>
      </c>
    </row>
    <row r="259" spans="1:10" x14ac:dyDescent="0.35">
      <c r="A259" s="6" t="s">
        <v>818</v>
      </c>
      <c r="B259" s="1" t="s">
        <v>819</v>
      </c>
      <c r="C259" s="1" t="str">
        <f>TRIM(Customer_Data_[[#This Row],[Name]])</f>
        <v>Christopher David</v>
      </c>
      <c r="D259" s="1" t="str">
        <f>PROPER(Customer_Data_[[#This Row],[Name 1]])</f>
        <v>Christopher David</v>
      </c>
      <c r="E259" s="1">
        <v>42</v>
      </c>
      <c r="F259" s="1" t="s">
        <v>8</v>
      </c>
      <c r="G259" s="1" t="s">
        <v>820</v>
      </c>
      <c r="H259" s="1" t="s">
        <v>712</v>
      </c>
      <c r="I259" s="7" t="s">
        <v>29</v>
      </c>
      <c r="J259" s="1" t="str">
        <f>IF(ISBLANK(Customer_Data_[[#This Row],[Loyalty_Level]]),"Silver",Customer_Data_[[#This Row],[Loyalty_Level]])</f>
        <v>Silver</v>
      </c>
    </row>
    <row r="260" spans="1:10" x14ac:dyDescent="0.35">
      <c r="A260" s="6" t="s">
        <v>821</v>
      </c>
      <c r="B260" s="1" t="s">
        <v>822</v>
      </c>
      <c r="C260" s="1" t="str">
        <f>TRIM(Customer_Data_[[#This Row],[Name]])</f>
        <v>Sarah Stewart</v>
      </c>
      <c r="D260" s="1" t="str">
        <f>PROPER(Customer_Data_[[#This Row],[Name 1]])</f>
        <v>Sarah Stewart</v>
      </c>
      <c r="E260" s="1">
        <v>24</v>
      </c>
      <c r="F260" s="1" t="s">
        <v>14</v>
      </c>
      <c r="G260" s="1" t="s">
        <v>823</v>
      </c>
      <c r="H260" s="1" t="s">
        <v>356</v>
      </c>
      <c r="I260" s="7" t="s">
        <v>17</v>
      </c>
      <c r="J260" s="1" t="str">
        <f>IF(ISBLANK(Customer_Data_[[#This Row],[Loyalty_Level]]),"Silver",Customer_Data_[[#This Row],[Loyalty_Level]])</f>
        <v>Platinum</v>
      </c>
    </row>
    <row r="261" spans="1:10" x14ac:dyDescent="0.35">
      <c r="A261" s="6" t="s">
        <v>824</v>
      </c>
      <c r="B261" s="1" t="s">
        <v>825</v>
      </c>
      <c r="C261" s="1" t="str">
        <f>TRIM(Customer_Data_[[#This Row],[Name]])</f>
        <v>Beth Allen</v>
      </c>
      <c r="D261" s="1" t="str">
        <f>PROPER(Customer_Data_[[#This Row],[Name 1]])</f>
        <v>Beth Allen</v>
      </c>
      <c r="E261" s="1">
        <v>32</v>
      </c>
      <c r="F261" s="1" t="s">
        <v>14</v>
      </c>
      <c r="G261" s="1" t="s">
        <v>826</v>
      </c>
      <c r="H261" s="1" t="s">
        <v>94</v>
      </c>
      <c r="I261" s="7" t="s">
        <v>29</v>
      </c>
      <c r="J261" s="1" t="str">
        <f>IF(ISBLANK(Customer_Data_[[#This Row],[Loyalty_Level]]),"Silver",Customer_Data_[[#This Row],[Loyalty_Level]])</f>
        <v>Silver</v>
      </c>
    </row>
    <row r="262" spans="1:10" x14ac:dyDescent="0.35">
      <c r="A262" s="6" t="s">
        <v>827</v>
      </c>
      <c r="B262" s="1" t="s">
        <v>828</v>
      </c>
      <c r="C262" s="1" t="str">
        <f>TRIM(Customer_Data_[[#This Row],[Name]])</f>
        <v>Russell Lamb</v>
      </c>
      <c r="D262" s="1" t="str">
        <f>PROPER(Customer_Data_[[#This Row],[Name 1]])</f>
        <v>Russell Lamb</v>
      </c>
      <c r="E262" s="1">
        <v>63</v>
      </c>
      <c r="F262" s="1" t="s">
        <v>14</v>
      </c>
      <c r="G262" s="1" t="s">
        <v>829</v>
      </c>
      <c r="H262" s="1" t="s">
        <v>131</v>
      </c>
      <c r="I262" s="7" t="s">
        <v>17</v>
      </c>
      <c r="J262" s="1" t="str">
        <f>IF(ISBLANK(Customer_Data_[[#This Row],[Loyalty_Level]]),"Silver",Customer_Data_[[#This Row],[Loyalty_Level]])</f>
        <v>Platinum</v>
      </c>
    </row>
    <row r="263" spans="1:10" x14ac:dyDescent="0.35">
      <c r="A263" s="6" t="s">
        <v>830</v>
      </c>
      <c r="B263" s="1" t="s">
        <v>831</v>
      </c>
      <c r="C263" s="1" t="str">
        <f>TRIM(Customer_Data_[[#This Row],[Name]])</f>
        <v>Carol Bishop</v>
      </c>
      <c r="D263" s="1" t="str">
        <f>PROPER(Customer_Data_[[#This Row],[Name 1]])</f>
        <v>Carol Bishop</v>
      </c>
      <c r="E263" s="1">
        <v>27</v>
      </c>
      <c r="F263" s="1" t="s">
        <v>14</v>
      </c>
      <c r="G263" s="1" t="s">
        <v>832</v>
      </c>
      <c r="H263" s="1" t="s">
        <v>33</v>
      </c>
      <c r="I263" s="7" t="s">
        <v>29</v>
      </c>
      <c r="J263" s="1" t="str">
        <f>IF(ISBLANK(Customer_Data_[[#This Row],[Loyalty_Level]]),"Silver",Customer_Data_[[#This Row],[Loyalty_Level]])</f>
        <v>Silver</v>
      </c>
    </row>
    <row r="264" spans="1:10" x14ac:dyDescent="0.35">
      <c r="A264" s="6" t="s">
        <v>833</v>
      </c>
      <c r="B264" s="1" t="s">
        <v>834</v>
      </c>
      <c r="C264" s="1" t="str">
        <f>TRIM(Customer_Data_[[#This Row],[Name]])</f>
        <v>Katherine Cowan</v>
      </c>
      <c r="D264" s="1" t="str">
        <f>PROPER(Customer_Data_[[#This Row],[Name 1]])</f>
        <v>Katherine Cowan</v>
      </c>
      <c r="E264" s="1">
        <v>60</v>
      </c>
      <c r="F264" s="1" t="s">
        <v>14</v>
      </c>
      <c r="G264" s="1" t="s">
        <v>835</v>
      </c>
      <c r="H264" s="1" t="s">
        <v>64</v>
      </c>
      <c r="I264" s="7" t="s">
        <v>29</v>
      </c>
      <c r="J264" s="1" t="str">
        <f>IF(ISBLANK(Customer_Data_[[#This Row],[Loyalty_Level]]),"Silver",Customer_Data_[[#This Row],[Loyalty_Level]])</f>
        <v>Silver</v>
      </c>
    </row>
    <row r="265" spans="1:10" x14ac:dyDescent="0.35">
      <c r="A265" s="6" t="s">
        <v>836</v>
      </c>
      <c r="B265" s="1" t="s">
        <v>837</v>
      </c>
      <c r="C265" s="1" t="str">
        <f>TRIM(Customer_Data_[[#This Row],[Name]])</f>
        <v>Crystal Davis</v>
      </c>
      <c r="D265" s="1" t="str">
        <f>PROPER(Customer_Data_[[#This Row],[Name 1]])</f>
        <v>Crystal Davis</v>
      </c>
      <c r="E265" s="1">
        <v>50</v>
      </c>
      <c r="F265" s="1" t="s">
        <v>8</v>
      </c>
      <c r="G265" s="1" t="s">
        <v>838</v>
      </c>
      <c r="H265" s="1" t="s">
        <v>325</v>
      </c>
      <c r="I265" s="7" t="s">
        <v>24</v>
      </c>
      <c r="J265" s="1" t="str">
        <f>IF(ISBLANK(Customer_Data_[[#This Row],[Loyalty_Level]]),"Silver",Customer_Data_[[#This Row],[Loyalty_Level]])</f>
        <v>Bronze</v>
      </c>
    </row>
    <row r="266" spans="1:10" x14ac:dyDescent="0.35">
      <c r="A266" s="6" t="s">
        <v>839</v>
      </c>
      <c r="B266" s="1" t="s">
        <v>840</v>
      </c>
      <c r="C266" s="1" t="str">
        <f>TRIM(Customer_Data_[[#This Row],[Name]])</f>
        <v>Matthew Payne</v>
      </c>
      <c r="D266" s="1" t="str">
        <f>PROPER(Customer_Data_[[#This Row],[Name 1]])</f>
        <v>Matthew Payne</v>
      </c>
      <c r="E266" s="1">
        <v>25</v>
      </c>
      <c r="F266" s="1" t="s">
        <v>8</v>
      </c>
      <c r="G266" s="1" t="s">
        <v>841</v>
      </c>
      <c r="H266" s="1" t="s">
        <v>842</v>
      </c>
      <c r="I266" s="7" t="s">
        <v>11</v>
      </c>
      <c r="J266" s="1" t="str">
        <f>IF(ISBLANK(Customer_Data_[[#This Row],[Loyalty_Level]]),"Silver",Customer_Data_[[#This Row],[Loyalty_Level]])</f>
        <v>Gold</v>
      </c>
    </row>
    <row r="267" spans="1:10" x14ac:dyDescent="0.35">
      <c r="A267" s="6" t="s">
        <v>843</v>
      </c>
      <c r="B267" s="1" t="s">
        <v>844</v>
      </c>
      <c r="C267" s="1" t="str">
        <f>TRIM(Customer_Data_[[#This Row],[Name]])</f>
        <v>Tracy Kelly</v>
      </c>
      <c r="D267" s="1" t="str">
        <f>PROPER(Customer_Data_[[#This Row],[Name 1]])</f>
        <v>Tracy Kelly</v>
      </c>
      <c r="E267" s="1">
        <v>38</v>
      </c>
      <c r="F267" s="1" t="s">
        <v>8</v>
      </c>
      <c r="G267" s="1" t="s">
        <v>845</v>
      </c>
      <c r="H267" s="1" t="s">
        <v>234</v>
      </c>
      <c r="I267" s="7" t="s">
        <v>29</v>
      </c>
      <c r="J267" s="1" t="str">
        <f>IF(ISBLANK(Customer_Data_[[#This Row],[Loyalty_Level]]),"Silver",Customer_Data_[[#This Row],[Loyalty_Level]])</f>
        <v>Silver</v>
      </c>
    </row>
    <row r="268" spans="1:10" x14ac:dyDescent="0.35">
      <c r="A268" s="6" t="s">
        <v>846</v>
      </c>
      <c r="B268" s="1" t="s">
        <v>847</v>
      </c>
      <c r="C268" s="1" t="str">
        <f>TRIM(Customer_Data_[[#This Row],[Name]])</f>
        <v>Cynthia Payne</v>
      </c>
      <c r="D268" s="1" t="str">
        <f>PROPER(Customer_Data_[[#This Row],[Name 1]])</f>
        <v>Cynthia Payne</v>
      </c>
      <c r="E268" s="1">
        <v>32</v>
      </c>
      <c r="F268" s="1" t="s">
        <v>14</v>
      </c>
      <c r="G268" s="1" t="s">
        <v>848</v>
      </c>
      <c r="H268" s="1" t="s">
        <v>585</v>
      </c>
      <c r="I268" s="7" t="s">
        <v>24</v>
      </c>
      <c r="J268" s="1" t="str">
        <f>IF(ISBLANK(Customer_Data_[[#This Row],[Loyalty_Level]]),"Silver",Customer_Data_[[#This Row],[Loyalty_Level]])</f>
        <v>Bronze</v>
      </c>
    </row>
    <row r="269" spans="1:10" x14ac:dyDescent="0.35">
      <c r="A269" s="6" t="s">
        <v>849</v>
      </c>
      <c r="B269" s="1" t="s">
        <v>850</v>
      </c>
      <c r="C269" s="1" t="str">
        <f>TRIM(Customer_Data_[[#This Row],[Name]])</f>
        <v>Zachary Shelton</v>
      </c>
      <c r="D269" s="1" t="str">
        <f>PROPER(Customer_Data_[[#This Row],[Name 1]])</f>
        <v>Zachary Shelton</v>
      </c>
      <c r="E269" s="1">
        <v>18</v>
      </c>
      <c r="F269" s="1" t="s">
        <v>8</v>
      </c>
      <c r="G269" s="1" t="s">
        <v>778</v>
      </c>
      <c r="H269" s="1" t="s">
        <v>64</v>
      </c>
      <c r="I269" s="7" t="s">
        <v>24</v>
      </c>
      <c r="J269" s="1" t="str">
        <f>IF(ISBLANK(Customer_Data_[[#This Row],[Loyalty_Level]]),"Silver",Customer_Data_[[#This Row],[Loyalty_Level]])</f>
        <v>Bronze</v>
      </c>
    </row>
    <row r="270" spans="1:10" x14ac:dyDescent="0.35">
      <c r="A270" s="6" t="s">
        <v>851</v>
      </c>
      <c r="B270" s="1" t="s">
        <v>852</v>
      </c>
      <c r="C270" s="1" t="str">
        <f>TRIM(Customer_Data_[[#This Row],[Name]])</f>
        <v>Kevin Orr</v>
      </c>
      <c r="D270" s="1" t="str">
        <f>PROPER(Customer_Data_[[#This Row],[Name 1]])</f>
        <v>Kevin Orr</v>
      </c>
      <c r="E270" s="1">
        <v>53</v>
      </c>
      <c r="F270" s="1" t="s">
        <v>14</v>
      </c>
      <c r="G270" s="1" t="s">
        <v>853</v>
      </c>
      <c r="H270" s="1" t="s">
        <v>198</v>
      </c>
      <c r="I270" s="7" t="s">
        <v>24</v>
      </c>
      <c r="J270" s="1" t="str">
        <f>IF(ISBLANK(Customer_Data_[[#This Row],[Loyalty_Level]]),"Silver",Customer_Data_[[#This Row],[Loyalty_Level]])</f>
        <v>Bronze</v>
      </c>
    </row>
    <row r="271" spans="1:10" x14ac:dyDescent="0.35">
      <c r="A271" s="6" t="s">
        <v>854</v>
      </c>
      <c r="B271" s="1" t="s">
        <v>855</v>
      </c>
      <c r="C271" s="1" t="str">
        <f>TRIM(Customer_Data_[[#This Row],[Name]])</f>
        <v>Tyrone Olson</v>
      </c>
      <c r="D271" s="1" t="str">
        <f>PROPER(Customer_Data_[[#This Row],[Name 1]])</f>
        <v>Tyrone Olson</v>
      </c>
      <c r="E271" s="1">
        <v>45</v>
      </c>
      <c r="F271" s="1" t="s">
        <v>14</v>
      </c>
      <c r="G271" s="1" t="s">
        <v>856</v>
      </c>
      <c r="H271" s="1" t="s">
        <v>28</v>
      </c>
      <c r="I271" s="7" t="s">
        <v>29</v>
      </c>
      <c r="J271" s="1" t="str">
        <f>IF(ISBLANK(Customer_Data_[[#This Row],[Loyalty_Level]]),"Silver",Customer_Data_[[#This Row],[Loyalty_Level]])</f>
        <v>Silver</v>
      </c>
    </row>
    <row r="272" spans="1:10" x14ac:dyDescent="0.35">
      <c r="A272" s="6" t="s">
        <v>857</v>
      </c>
      <c r="B272" s="1" t="s">
        <v>858</v>
      </c>
      <c r="C272" s="1" t="str">
        <f>TRIM(Customer_Data_[[#This Row],[Name]])</f>
        <v>Brian Garcia</v>
      </c>
      <c r="D272" s="1" t="str">
        <f>PROPER(Customer_Data_[[#This Row],[Name 1]])</f>
        <v>Brian Garcia</v>
      </c>
      <c r="E272" s="1">
        <v>31</v>
      </c>
      <c r="F272" s="1" t="s">
        <v>14</v>
      </c>
      <c r="G272" s="1" t="s">
        <v>859</v>
      </c>
      <c r="H272" s="1" t="s">
        <v>325</v>
      </c>
      <c r="I272" s="7" t="s">
        <v>11</v>
      </c>
      <c r="J272" s="1" t="str">
        <f>IF(ISBLANK(Customer_Data_[[#This Row],[Loyalty_Level]]),"Silver",Customer_Data_[[#This Row],[Loyalty_Level]])</f>
        <v>Gold</v>
      </c>
    </row>
    <row r="273" spans="1:10" x14ac:dyDescent="0.35">
      <c r="A273" s="6" t="s">
        <v>860</v>
      </c>
      <c r="B273" s="1" t="s">
        <v>861</v>
      </c>
      <c r="C273" s="1" t="str">
        <f>TRIM(Customer_Data_[[#This Row],[Name]])</f>
        <v>Daisy Johnson DDS</v>
      </c>
      <c r="D273" s="1" t="str">
        <f>PROPER(Customer_Data_[[#This Row],[Name 1]])</f>
        <v>Daisy Johnson Dds</v>
      </c>
      <c r="E273" s="1">
        <v>64</v>
      </c>
      <c r="F273" s="1" t="s">
        <v>8</v>
      </c>
      <c r="G273" s="1" t="s">
        <v>862</v>
      </c>
      <c r="H273" s="1" t="s">
        <v>68</v>
      </c>
      <c r="I273" s="7" t="s">
        <v>17</v>
      </c>
      <c r="J273" s="1" t="str">
        <f>IF(ISBLANK(Customer_Data_[[#This Row],[Loyalty_Level]]),"Silver",Customer_Data_[[#This Row],[Loyalty_Level]])</f>
        <v>Platinum</v>
      </c>
    </row>
    <row r="274" spans="1:10" x14ac:dyDescent="0.35">
      <c r="A274" s="6" t="s">
        <v>863</v>
      </c>
      <c r="B274" s="1" t="s">
        <v>864</v>
      </c>
      <c r="C274" s="1" t="str">
        <f>TRIM(Customer_Data_[[#This Row],[Name]])</f>
        <v>Adam Rowland</v>
      </c>
      <c r="D274" s="1" t="str">
        <f>PROPER(Customer_Data_[[#This Row],[Name 1]])</f>
        <v>Adam Rowland</v>
      </c>
      <c r="E274" s="1">
        <v>48</v>
      </c>
      <c r="F274" s="1" t="s">
        <v>14</v>
      </c>
      <c r="G274" s="1" t="s">
        <v>865</v>
      </c>
      <c r="H274" s="1" t="s">
        <v>28</v>
      </c>
      <c r="I274" s="7" t="s">
        <v>11</v>
      </c>
      <c r="J274" s="1" t="str">
        <f>IF(ISBLANK(Customer_Data_[[#This Row],[Loyalty_Level]]),"Silver",Customer_Data_[[#This Row],[Loyalty_Level]])</f>
        <v>Gold</v>
      </c>
    </row>
    <row r="275" spans="1:10" x14ac:dyDescent="0.35">
      <c r="A275" s="6" t="s">
        <v>866</v>
      </c>
      <c r="B275" s="1" t="s">
        <v>867</v>
      </c>
      <c r="C275" s="1" t="str">
        <f>TRIM(Customer_Data_[[#This Row],[Name]])</f>
        <v>Samantha Robinson</v>
      </c>
      <c r="D275" s="1" t="str">
        <f>PROPER(Customer_Data_[[#This Row],[Name 1]])</f>
        <v>Samantha Robinson</v>
      </c>
      <c r="E275" s="1">
        <v>23</v>
      </c>
      <c r="F275" s="1" t="s">
        <v>8</v>
      </c>
      <c r="G275" s="1" t="s">
        <v>868</v>
      </c>
      <c r="H275" s="1" t="s">
        <v>310</v>
      </c>
      <c r="I275" s="7" t="s">
        <v>24</v>
      </c>
      <c r="J275" s="1" t="str">
        <f>IF(ISBLANK(Customer_Data_[[#This Row],[Loyalty_Level]]),"Silver",Customer_Data_[[#This Row],[Loyalty_Level]])</f>
        <v>Bronze</v>
      </c>
    </row>
    <row r="276" spans="1:10" x14ac:dyDescent="0.35">
      <c r="A276" s="6" t="s">
        <v>869</v>
      </c>
      <c r="B276" s="1" t="s">
        <v>870</v>
      </c>
      <c r="C276" s="1" t="str">
        <f>TRIM(Customer_Data_[[#This Row],[Name]])</f>
        <v>Sarah Lane</v>
      </c>
      <c r="D276" s="1" t="str">
        <f>PROPER(Customer_Data_[[#This Row],[Name 1]])</f>
        <v>Sarah Lane</v>
      </c>
      <c r="E276" s="1">
        <v>38</v>
      </c>
      <c r="F276" s="1" t="s">
        <v>8</v>
      </c>
      <c r="G276" s="1" t="s">
        <v>871</v>
      </c>
      <c r="H276" s="1" t="s">
        <v>169</v>
      </c>
      <c r="I276" s="7" t="s">
        <v>29</v>
      </c>
      <c r="J276" s="1" t="str">
        <f>IF(ISBLANK(Customer_Data_[[#This Row],[Loyalty_Level]]),"Silver",Customer_Data_[[#This Row],[Loyalty_Level]])</f>
        <v>Silver</v>
      </c>
    </row>
    <row r="277" spans="1:10" x14ac:dyDescent="0.35">
      <c r="A277" s="6" t="s">
        <v>872</v>
      </c>
      <c r="B277" s="1" t="s">
        <v>873</v>
      </c>
      <c r="C277" s="1" t="str">
        <f>TRIM(Customer_Data_[[#This Row],[Name]])</f>
        <v>Shannon Miller</v>
      </c>
      <c r="D277" s="1" t="str">
        <f>PROPER(Customer_Data_[[#This Row],[Name 1]])</f>
        <v>Shannon Miller</v>
      </c>
      <c r="E277" s="1">
        <v>22</v>
      </c>
      <c r="F277" s="1" t="s">
        <v>8</v>
      </c>
      <c r="G277" s="1" t="s">
        <v>874</v>
      </c>
      <c r="H277" s="1" t="s">
        <v>585</v>
      </c>
      <c r="I277" s="7" t="s">
        <v>11</v>
      </c>
      <c r="J277" s="1" t="str">
        <f>IF(ISBLANK(Customer_Data_[[#This Row],[Loyalty_Level]]),"Silver",Customer_Data_[[#This Row],[Loyalty_Level]])</f>
        <v>Gold</v>
      </c>
    </row>
    <row r="278" spans="1:10" x14ac:dyDescent="0.35">
      <c r="A278" s="6" t="s">
        <v>875</v>
      </c>
      <c r="B278" s="1" t="s">
        <v>876</v>
      </c>
      <c r="C278" s="1" t="str">
        <f>TRIM(Customer_Data_[[#This Row],[Name]])</f>
        <v>Arthur Warren</v>
      </c>
      <c r="D278" s="1" t="str">
        <f>PROPER(Customer_Data_[[#This Row],[Name 1]])</f>
        <v>Arthur Warren</v>
      </c>
      <c r="E278" s="1">
        <v>38</v>
      </c>
      <c r="F278" s="1" t="s">
        <v>8</v>
      </c>
      <c r="G278" s="1" t="s">
        <v>877</v>
      </c>
      <c r="H278" s="1" t="s">
        <v>182</v>
      </c>
      <c r="I278" s="7" t="s">
        <v>11</v>
      </c>
      <c r="J278" s="1" t="str">
        <f>IF(ISBLANK(Customer_Data_[[#This Row],[Loyalty_Level]]),"Silver",Customer_Data_[[#This Row],[Loyalty_Level]])</f>
        <v>Gold</v>
      </c>
    </row>
    <row r="279" spans="1:10" x14ac:dyDescent="0.35">
      <c r="A279" s="6" t="s">
        <v>878</v>
      </c>
      <c r="B279" s="1" t="s">
        <v>879</v>
      </c>
      <c r="C279" s="1" t="str">
        <f>TRIM(Customer_Data_[[#This Row],[Name]])</f>
        <v>Jeffrey Gomez</v>
      </c>
      <c r="D279" s="1" t="str">
        <f>PROPER(Customer_Data_[[#This Row],[Name 1]])</f>
        <v>Jeffrey Gomez</v>
      </c>
      <c r="E279" s="1">
        <v>22</v>
      </c>
      <c r="F279" s="1" t="s">
        <v>14</v>
      </c>
      <c r="G279" s="1" t="s">
        <v>880</v>
      </c>
      <c r="H279" s="1" t="s">
        <v>271</v>
      </c>
      <c r="I279" s="7" t="s">
        <v>17</v>
      </c>
      <c r="J279" s="1" t="str">
        <f>IF(ISBLANK(Customer_Data_[[#This Row],[Loyalty_Level]]),"Silver",Customer_Data_[[#This Row],[Loyalty_Level]])</f>
        <v>Platinum</v>
      </c>
    </row>
    <row r="280" spans="1:10" x14ac:dyDescent="0.35">
      <c r="A280" s="6" t="s">
        <v>881</v>
      </c>
      <c r="B280" s="1" t="s">
        <v>882</v>
      </c>
      <c r="C280" s="1" t="str">
        <f>TRIM(Customer_Data_[[#This Row],[Name]])</f>
        <v>Stephen Fowler</v>
      </c>
      <c r="D280" s="1" t="str">
        <f>PROPER(Customer_Data_[[#This Row],[Name 1]])</f>
        <v>Stephen Fowler</v>
      </c>
      <c r="E280" s="1">
        <v>42</v>
      </c>
      <c r="F280" s="1" t="s">
        <v>14</v>
      </c>
      <c r="G280" s="1" t="s">
        <v>883</v>
      </c>
      <c r="H280" s="1" t="s">
        <v>214</v>
      </c>
      <c r="I280" s="7" t="s">
        <v>17</v>
      </c>
      <c r="J280" s="1" t="str">
        <f>IF(ISBLANK(Customer_Data_[[#This Row],[Loyalty_Level]]),"Silver",Customer_Data_[[#This Row],[Loyalty_Level]])</f>
        <v>Platinum</v>
      </c>
    </row>
    <row r="281" spans="1:10" x14ac:dyDescent="0.35">
      <c r="A281" s="6" t="s">
        <v>884</v>
      </c>
      <c r="B281" s="1" t="s">
        <v>885</v>
      </c>
      <c r="C281" s="1" t="str">
        <f>TRIM(Customer_Data_[[#This Row],[Name]])</f>
        <v>Aaron Luna</v>
      </c>
      <c r="D281" s="1" t="str">
        <f>PROPER(Customer_Data_[[#This Row],[Name 1]])</f>
        <v>Aaron Luna</v>
      </c>
      <c r="E281" s="1">
        <v>21</v>
      </c>
      <c r="F281" s="1" t="s">
        <v>14</v>
      </c>
      <c r="G281" s="1" t="s">
        <v>886</v>
      </c>
      <c r="H281" s="1" t="s">
        <v>23</v>
      </c>
      <c r="I281" s="7" t="s">
        <v>24</v>
      </c>
      <c r="J281" s="1" t="str">
        <f>IF(ISBLANK(Customer_Data_[[#This Row],[Loyalty_Level]]),"Silver",Customer_Data_[[#This Row],[Loyalty_Level]])</f>
        <v>Bronze</v>
      </c>
    </row>
    <row r="282" spans="1:10" x14ac:dyDescent="0.35">
      <c r="A282" s="6" t="s">
        <v>887</v>
      </c>
      <c r="B282" s="1" t="s">
        <v>888</v>
      </c>
      <c r="C282" s="1" t="str">
        <f>TRIM(Customer_Data_[[#This Row],[Name]])</f>
        <v>Antonio Leon</v>
      </c>
      <c r="D282" s="1" t="str">
        <f>PROPER(Customer_Data_[[#This Row],[Name 1]])</f>
        <v>Antonio Leon</v>
      </c>
      <c r="E282" s="1">
        <v>48</v>
      </c>
      <c r="F282" s="1" t="s">
        <v>8</v>
      </c>
      <c r="G282" s="1" t="s">
        <v>889</v>
      </c>
      <c r="H282" s="1" t="s">
        <v>97</v>
      </c>
      <c r="I282" s="7" t="s">
        <v>24</v>
      </c>
      <c r="J282" s="1" t="str">
        <f>IF(ISBLANK(Customer_Data_[[#This Row],[Loyalty_Level]]),"Silver",Customer_Data_[[#This Row],[Loyalty_Level]])</f>
        <v>Bronze</v>
      </c>
    </row>
    <row r="283" spans="1:10" x14ac:dyDescent="0.35">
      <c r="A283" s="6" t="s">
        <v>890</v>
      </c>
      <c r="B283" s="1" t="s">
        <v>891</v>
      </c>
      <c r="C283" s="1" t="str">
        <f>TRIM(Customer_Data_[[#This Row],[Name]])</f>
        <v>Brittany Watson</v>
      </c>
      <c r="D283" s="1" t="str">
        <f>PROPER(Customer_Data_[[#This Row],[Name 1]])</f>
        <v>Brittany Watson</v>
      </c>
      <c r="E283" s="1">
        <v>59</v>
      </c>
      <c r="F283" s="1" t="s">
        <v>8</v>
      </c>
      <c r="G283" s="1" t="s">
        <v>892</v>
      </c>
      <c r="H283" s="1" t="s">
        <v>165</v>
      </c>
      <c r="I283" s="7" t="s">
        <v>17</v>
      </c>
      <c r="J283" s="1" t="str">
        <f>IF(ISBLANK(Customer_Data_[[#This Row],[Loyalty_Level]]),"Silver",Customer_Data_[[#This Row],[Loyalty_Level]])</f>
        <v>Platinum</v>
      </c>
    </row>
    <row r="284" spans="1:10" x14ac:dyDescent="0.35">
      <c r="A284" s="6" t="s">
        <v>893</v>
      </c>
      <c r="B284" s="1" t="s">
        <v>894</v>
      </c>
      <c r="C284" s="1" t="str">
        <f>TRIM(Customer_Data_[[#This Row],[Name]])</f>
        <v>Kristi Lopez</v>
      </c>
      <c r="D284" s="1" t="str">
        <f>PROPER(Customer_Data_[[#This Row],[Name 1]])</f>
        <v>Kristi Lopez</v>
      </c>
      <c r="E284" s="1">
        <v>46</v>
      </c>
      <c r="F284" s="1" t="s">
        <v>14</v>
      </c>
      <c r="G284" s="1" t="s">
        <v>895</v>
      </c>
      <c r="H284" s="1" t="s">
        <v>86</v>
      </c>
      <c r="I284" s="7" t="s">
        <v>11</v>
      </c>
      <c r="J284" s="1" t="str">
        <f>IF(ISBLANK(Customer_Data_[[#This Row],[Loyalty_Level]]),"Silver",Customer_Data_[[#This Row],[Loyalty_Level]])</f>
        <v>Gold</v>
      </c>
    </row>
    <row r="285" spans="1:10" x14ac:dyDescent="0.35">
      <c r="A285" s="6" t="s">
        <v>896</v>
      </c>
      <c r="B285" s="1" t="s">
        <v>897</v>
      </c>
      <c r="C285" s="1" t="str">
        <f>TRIM(Customer_Data_[[#This Row],[Name]])</f>
        <v>Bryan Garcia</v>
      </c>
      <c r="D285" s="1" t="str">
        <f>PROPER(Customer_Data_[[#This Row],[Name 1]])</f>
        <v>Bryan Garcia</v>
      </c>
      <c r="E285" s="1">
        <v>54</v>
      </c>
      <c r="F285" s="1" t="s">
        <v>14</v>
      </c>
      <c r="G285" s="1" t="s">
        <v>898</v>
      </c>
      <c r="H285" s="1" t="s">
        <v>842</v>
      </c>
      <c r="I285" s="7" t="s">
        <v>29</v>
      </c>
      <c r="J285" s="1" t="str">
        <f>IF(ISBLANK(Customer_Data_[[#This Row],[Loyalty_Level]]),"Silver",Customer_Data_[[#This Row],[Loyalty_Level]])</f>
        <v>Silver</v>
      </c>
    </row>
    <row r="286" spans="1:10" x14ac:dyDescent="0.35">
      <c r="A286" s="6" t="s">
        <v>899</v>
      </c>
      <c r="B286" s="1" t="s">
        <v>900</v>
      </c>
      <c r="C286" s="1" t="str">
        <f>TRIM(Customer_Data_[[#This Row],[Name]])</f>
        <v>Hunter Sutton</v>
      </c>
      <c r="D286" s="1" t="str">
        <f>PROPER(Customer_Data_[[#This Row],[Name 1]])</f>
        <v>Hunter Sutton</v>
      </c>
      <c r="E286" s="1">
        <v>54</v>
      </c>
      <c r="F286" s="1" t="s">
        <v>8</v>
      </c>
      <c r="G286" s="1" t="s">
        <v>901</v>
      </c>
      <c r="H286" s="1" t="s">
        <v>165</v>
      </c>
      <c r="I286" s="7" t="s">
        <v>11</v>
      </c>
      <c r="J286" s="1" t="str">
        <f>IF(ISBLANK(Customer_Data_[[#This Row],[Loyalty_Level]]),"Silver",Customer_Data_[[#This Row],[Loyalty_Level]])</f>
        <v>Gold</v>
      </c>
    </row>
    <row r="287" spans="1:10" x14ac:dyDescent="0.35">
      <c r="A287" s="6" t="s">
        <v>902</v>
      </c>
      <c r="B287" s="1" t="s">
        <v>903</v>
      </c>
      <c r="C287" s="1" t="str">
        <f>TRIM(Customer_Data_[[#This Row],[Name]])</f>
        <v>Donna Guerra</v>
      </c>
      <c r="D287" s="1" t="str">
        <f>PROPER(Customer_Data_[[#This Row],[Name 1]])</f>
        <v>Donna Guerra</v>
      </c>
      <c r="E287" s="1">
        <v>46</v>
      </c>
      <c r="F287" s="1" t="s">
        <v>14</v>
      </c>
      <c r="G287" s="1" t="s">
        <v>904</v>
      </c>
      <c r="H287" s="1" t="s">
        <v>712</v>
      </c>
      <c r="I287" s="7" t="s">
        <v>29</v>
      </c>
      <c r="J287" s="1" t="str">
        <f>IF(ISBLANK(Customer_Data_[[#This Row],[Loyalty_Level]]),"Silver",Customer_Data_[[#This Row],[Loyalty_Level]])</f>
        <v>Silver</v>
      </c>
    </row>
    <row r="288" spans="1:10" x14ac:dyDescent="0.35">
      <c r="A288" s="6" t="s">
        <v>905</v>
      </c>
      <c r="B288" s="1" t="s">
        <v>906</v>
      </c>
      <c r="C288" s="1" t="str">
        <f>TRIM(Customer_Data_[[#This Row],[Name]])</f>
        <v>Tommy Roberts</v>
      </c>
      <c r="D288" s="1" t="str">
        <f>PROPER(Customer_Data_[[#This Row],[Name 1]])</f>
        <v>Tommy Roberts</v>
      </c>
      <c r="E288" s="1">
        <v>22</v>
      </c>
      <c r="F288" s="1" t="s">
        <v>8</v>
      </c>
      <c r="G288" s="1" t="s">
        <v>907</v>
      </c>
      <c r="H288" s="1" t="s">
        <v>37</v>
      </c>
      <c r="I288" s="7" t="s">
        <v>29</v>
      </c>
      <c r="J288" s="1" t="str">
        <f>IF(ISBLANK(Customer_Data_[[#This Row],[Loyalty_Level]]),"Silver",Customer_Data_[[#This Row],[Loyalty_Level]])</f>
        <v>Silver</v>
      </c>
    </row>
    <row r="289" spans="1:10" x14ac:dyDescent="0.35">
      <c r="A289" s="6" t="s">
        <v>908</v>
      </c>
      <c r="B289" s="1" t="s">
        <v>909</v>
      </c>
      <c r="C289" s="1" t="str">
        <f>TRIM(Customer_Data_[[#This Row],[Name]])</f>
        <v>Cynthia Roberts</v>
      </c>
      <c r="D289" s="1" t="str">
        <f>PROPER(Customer_Data_[[#This Row],[Name 1]])</f>
        <v>Cynthia Roberts</v>
      </c>
      <c r="E289" s="1">
        <v>22</v>
      </c>
      <c r="F289" s="1" t="s">
        <v>14</v>
      </c>
      <c r="G289" s="1" t="s">
        <v>910</v>
      </c>
      <c r="H289" s="1" t="s">
        <v>169</v>
      </c>
      <c r="I289" s="7" t="s">
        <v>11</v>
      </c>
      <c r="J289" s="1" t="str">
        <f>IF(ISBLANK(Customer_Data_[[#This Row],[Loyalty_Level]]),"Silver",Customer_Data_[[#This Row],[Loyalty_Level]])</f>
        <v>Gold</v>
      </c>
    </row>
    <row r="290" spans="1:10" x14ac:dyDescent="0.35">
      <c r="A290" s="6" t="s">
        <v>911</v>
      </c>
      <c r="B290" s="1" t="s">
        <v>912</v>
      </c>
      <c r="C290" s="1" t="str">
        <f>TRIM(Customer_Data_[[#This Row],[Name]])</f>
        <v>Misty Ferguson</v>
      </c>
      <c r="D290" s="1" t="str">
        <f>PROPER(Customer_Data_[[#This Row],[Name 1]])</f>
        <v>Misty Ferguson</v>
      </c>
      <c r="E290" s="1">
        <v>58</v>
      </c>
      <c r="F290" s="1" t="s">
        <v>8</v>
      </c>
      <c r="G290" s="1" t="s">
        <v>913</v>
      </c>
      <c r="H290" s="1" t="s">
        <v>165</v>
      </c>
      <c r="I290" s="7" t="s">
        <v>11</v>
      </c>
      <c r="J290" s="1" t="str">
        <f>IF(ISBLANK(Customer_Data_[[#This Row],[Loyalty_Level]]),"Silver",Customer_Data_[[#This Row],[Loyalty_Level]])</f>
        <v>Gold</v>
      </c>
    </row>
    <row r="291" spans="1:10" x14ac:dyDescent="0.35">
      <c r="A291" s="6" t="s">
        <v>914</v>
      </c>
      <c r="B291" s="1" t="s">
        <v>915</v>
      </c>
      <c r="C291" s="1" t="str">
        <f>TRIM(Customer_Data_[[#This Row],[Name]])</f>
        <v>Jennifer Figueroa</v>
      </c>
      <c r="D291" s="1" t="str">
        <f>PROPER(Customer_Data_[[#This Row],[Name 1]])</f>
        <v>Jennifer Figueroa</v>
      </c>
      <c r="E291" s="1">
        <v>45</v>
      </c>
      <c r="F291" s="1" t="s">
        <v>8</v>
      </c>
      <c r="G291" s="1" t="s">
        <v>916</v>
      </c>
      <c r="H291" s="1" t="s">
        <v>23</v>
      </c>
      <c r="I291" s="7" t="s">
        <v>24</v>
      </c>
      <c r="J291" s="1" t="str">
        <f>IF(ISBLANK(Customer_Data_[[#This Row],[Loyalty_Level]]),"Silver",Customer_Data_[[#This Row],[Loyalty_Level]])</f>
        <v>Bronze</v>
      </c>
    </row>
    <row r="292" spans="1:10" x14ac:dyDescent="0.35">
      <c r="A292" s="6" t="s">
        <v>917</v>
      </c>
      <c r="B292" s="1" t="s">
        <v>918</v>
      </c>
      <c r="C292" s="1" t="str">
        <f>TRIM(Customer_Data_[[#This Row],[Name]])</f>
        <v>Chase Williams MD</v>
      </c>
      <c r="D292" s="1" t="str">
        <f>PROPER(Customer_Data_[[#This Row],[Name 1]])</f>
        <v>Chase Williams Md</v>
      </c>
      <c r="E292" s="1">
        <v>52</v>
      </c>
      <c r="F292" s="1" t="s">
        <v>14</v>
      </c>
      <c r="G292" s="1" t="s">
        <v>919</v>
      </c>
      <c r="H292" s="1" t="s">
        <v>284</v>
      </c>
      <c r="I292" s="7" t="s">
        <v>29</v>
      </c>
      <c r="J292" s="1" t="str">
        <f>IF(ISBLANK(Customer_Data_[[#This Row],[Loyalty_Level]]),"Silver",Customer_Data_[[#This Row],[Loyalty_Level]])</f>
        <v>Silver</v>
      </c>
    </row>
    <row r="293" spans="1:10" x14ac:dyDescent="0.35">
      <c r="A293" s="6" t="s">
        <v>920</v>
      </c>
      <c r="B293" s="1" t="s">
        <v>921</v>
      </c>
      <c r="C293" s="1" t="str">
        <f>TRIM(Customer_Data_[[#This Row],[Name]])</f>
        <v>James Powell</v>
      </c>
      <c r="D293" s="1" t="str">
        <f>PROPER(Customer_Data_[[#This Row],[Name 1]])</f>
        <v>James Powell</v>
      </c>
      <c r="E293" s="1">
        <v>40</v>
      </c>
      <c r="F293" s="1" t="s">
        <v>14</v>
      </c>
      <c r="G293" s="1" t="s">
        <v>922</v>
      </c>
      <c r="H293" s="1" t="s">
        <v>111</v>
      </c>
      <c r="I293" s="7" t="s">
        <v>24</v>
      </c>
      <c r="J293" s="1" t="str">
        <f>IF(ISBLANK(Customer_Data_[[#This Row],[Loyalty_Level]]),"Silver",Customer_Data_[[#This Row],[Loyalty_Level]])</f>
        <v>Bronze</v>
      </c>
    </row>
    <row r="294" spans="1:10" x14ac:dyDescent="0.35">
      <c r="A294" s="6" t="s">
        <v>923</v>
      </c>
      <c r="B294" s="1" t="s">
        <v>924</v>
      </c>
      <c r="C294" s="1" t="str">
        <f>TRIM(Customer_Data_[[#This Row],[Name]])</f>
        <v>Ricardo Jones</v>
      </c>
      <c r="D294" s="1" t="str">
        <f>PROPER(Customer_Data_[[#This Row],[Name 1]])</f>
        <v>Ricardo Jones</v>
      </c>
      <c r="E294" s="1">
        <v>30</v>
      </c>
      <c r="F294" s="1" t="s">
        <v>8</v>
      </c>
      <c r="G294" s="1" t="s">
        <v>925</v>
      </c>
      <c r="H294" s="1" t="s">
        <v>198</v>
      </c>
      <c r="I294" s="7" t="s">
        <v>29</v>
      </c>
      <c r="J294" s="1" t="str">
        <f>IF(ISBLANK(Customer_Data_[[#This Row],[Loyalty_Level]]),"Silver",Customer_Data_[[#This Row],[Loyalty_Level]])</f>
        <v>Silver</v>
      </c>
    </row>
    <row r="295" spans="1:10" x14ac:dyDescent="0.35">
      <c r="A295" s="6" t="s">
        <v>926</v>
      </c>
      <c r="B295" s="1" t="s">
        <v>927</v>
      </c>
      <c r="C295" s="1" t="str">
        <f>TRIM(Customer_Data_[[#This Row],[Name]])</f>
        <v>Gloria Taylor</v>
      </c>
      <c r="D295" s="1" t="str">
        <f>PROPER(Customer_Data_[[#This Row],[Name 1]])</f>
        <v>Gloria Taylor</v>
      </c>
      <c r="E295" s="1">
        <v>56</v>
      </c>
      <c r="F295" s="1" t="s">
        <v>14</v>
      </c>
      <c r="G295" s="1" t="s">
        <v>928</v>
      </c>
      <c r="H295" s="1" t="s">
        <v>325</v>
      </c>
      <c r="I295" s="7" t="s">
        <v>17</v>
      </c>
      <c r="J295" s="1" t="str">
        <f>IF(ISBLANK(Customer_Data_[[#This Row],[Loyalty_Level]]),"Silver",Customer_Data_[[#This Row],[Loyalty_Level]])</f>
        <v>Platinum</v>
      </c>
    </row>
    <row r="296" spans="1:10" x14ac:dyDescent="0.35">
      <c r="A296" s="6" t="s">
        <v>929</v>
      </c>
      <c r="B296" s="1" t="s">
        <v>930</v>
      </c>
      <c r="C296" s="1" t="str">
        <f>TRIM(Customer_Data_[[#This Row],[Name]])</f>
        <v>Lisa Chandler</v>
      </c>
      <c r="D296" s="1" t="str">
        <f>PROPER(Customer_Data_[[#This Row],[Name 1]])</f>
        <v>Lisa Chandler</v>
      </c>
      <c r="E296" s="1">
        <v>29</v>
      </c>
      <c r="F296" s="1" t="s">
        <v>8</v>
      </c>
      <c r="G296" s="1" t="s">
        <v>570</v>
      </c>
      <c r="H296" s="1" t="s">
        <v>64</v>
      </c>
      <c r="I296" s="7" t="s">
        <v>17</v>
      </c>
      <c r="J296" s="1" t="str">
        <f>IF(ISBLANK(Customer_Data_[[#This Row],[Loyalty_Level]]),"Silver",Customer_Data_[[#This Row],[Loyalty_Level]])</f>
        <v>Platinum</v>
      </c>
    </row>
    <row r="297" spans="1:10" x14ac:dyDescent="0.35">
      <c r="A297" s="6" t="s">
        <v>931</v>
      </c>
      <c r="B297" s="1" t="s">
        <v>932</v>
      </c>
      <c r="C297" s="1" t="str">
        <f>TRIM(Customer_Data_[[#This Row],[Name]])</f>
        <v>Crystal Waters</v>
      </c>
      <c r="D297" s="1" t="str">
        <f>PROPER(Customer_Data_[[#This Row],[Name 1]])</f>
        <v>Crystal Waters</v>
      </c>
      <c r="E297" s="1">
        <v>19</v>
      </c>
      <c r="F297" s="1" t="s">
        <v>14</v>
      </c>
      <c r="G297" s="1" t="s">
        <v>933</v>
      </c>
      <c r="H297" s="1" t="s">
        <v>60</v>
      </c>
      <c r="I297" s="7" t="s">
        <v>24</v>
      </c>
      <c r="J297" s="1" t="str">
        <f>IF(ISBLANK(Customer_Data_[[#This Row],[Loyalty_Level]]),"Silver",Customer_Data_[[#This Row],[Loyalty_Level]])</f>
        <v>Bronze</v>
      </c>
    </row>
    <row r="298" spans="1:10" x14ac:dyDescent="0.35">
      <c r="A298" s="6" t="s">
        <v>934</v>
      </c>
      <c r="B298" s="1" t="s">
        <v>935</v>
      </c>
      <c r="C298" s="1" t="str">
        <f>TRIM(Customer_Data_[[#This Row],[Name]])</f>
        <v>Jared Moran</v>
      </c>
      <c r="D298" s="1" t="str">
        <f>PROPER(Customer_Data_[[#This Row],[Name 1]])</f>
        <v>Jared Moran</v>
      </c>
      <c r="E298" s="1">
        <v>28</v>
      </c>
      <c r="F298" s="1" t="s">
        <v>14</v>
      </c>
      <c r="G298" s="1" t="s">
        <v>294</v>
      </c>
      <c r="H298" s="1" t="s">
        <v>41</v>
      </c>
      <c r="I298" s="7" t="s">
        <v>24</v>
      </c>
      <c r="J298" s="1" t="str">
        <f>IF(ISBLANK(Customer_Data_[[#This Row],[Loyalty_Level]]),"Silver",Customer_Data_[[#This Row],[Loyalty_Level]])</f>
        <v>Bronze</v>
      </c>
    </row>
    <row r="299" spans="1:10" x14ac:dyDescent="0.35">
      <c r="A299" s="6" t="s">
        <v>936</v>
      </c>
      <c r="B299" s="1" t="s">
        <v>937</v>
      </c>
      <c r="C299" s="1" t="str">
        <f>TRIM(Customer_Data_[[#This Row],[Name]])</f>
        <v>Jennifer Carr</v>
      </c>
      <c r="D299" s="1" t="str">
        <f>PROPER(Customer_Data_[[#This Row],[Name 1]])</f>
        <v>Jennifer Carr</v>
      </c>
      <c r="E299" s="1">
        <v>47</v>
      </c>
      <c r="F299" s="1" t="s">
        <v>14</v>
      </c>
      <c r="G299" s="1" t="s">
        <v>938</v>
      </c>
      <c r="H299" s="1" t="s">
        <v>111</v>
      </c>
      <c r="I299" s="7" t="s">
        <v>29</v>
      </c>
      <c r="J299" s="1" t="str">
        <f>IF(ISBLANK(Customer_Data_[[#This Row],[Loyalty_Level]]),"Silver",Customer_Data_[[#This Row],[Loyalty_Level]])</f>
        <v>Silver</v>
      </c>
    </row>
    <row r="300" spans="1:10" x14ac:dyDescent="0.35">
      <c r="A300" s="6" t="s">
        <v>939</v>
      </c>
      <c r="B300" s="1" t="s">
        <v>940</v>
      </c>
      <c r="C300" s="1" t="str">
        <f>TRIM(Customer_Data_[[#This Row],[Name]])</f>
        <v>Tracy Stephens</v>
      </c>
      <c r="D300" s="1" t="str">
        <f>PROPER(Customer_Data_[[#This Row],[Name 1]])</f>
        <v>Tracy Stephens</v>
      </c>
      <c r="E300" s="1">
        <v>64</v>
      </c>
      <c r="F300" s="1" t="s">
        <v>8</v>
      </c>
      <c r="G300" s="1" t="s">
        <v>941</v>
      </c>
      <c r="H300" s="1" t="s">
        <v>431</v>
      </c>
      <c r="I300" s="7" t="s">
        <v>17</v>
      </c>
      <c r="J300" s="1" t="str">
        <f>IF(ISBLANK(Customer_Data_[[#This Row],[Loyalty_Level]]),"Silver",Customer_Data_[[#This Row],[Loyalty_Level]])</f>
        <v>Platinum</v>
      </c>
    </row>
    <row r="301" spans="1:10" x14ac:dyDescent="0.35">
      <c r="A301" s="6" t="s">
        <v>942</v>
      </c>
      <c r="B301" s="1" t="s">
        <v>943</v>
      </c>
      <c r="C301" s="1" t="str">
        <f>TRIM(Customer_Data_[[#This Row],[Name]])</f>
        <v>Stephanie Jacobs</v>
      </c>
      <c r="D301" s="1" t="str">
        <f>PROPER(Customer_Data_[[#This Row],[Name 1]])</f>
        <v>Stephanie Jacobs</v>
      </c>
      <c r="E301" s="1">
        <v>48</v>
      </c>
      <c r="F301" s="1" t="s">
        <v>14</v>
      </c>
      <c r="G301" s="1" t="s">
        <v>944</v>
      </c>
      <c r="H301" s="1" t="s">
        <v>325</v>
      </c>
      <c r="I301" s="7" t="s">
        <v>17</v>
      </c>
      <c r="J301" s="1" t="str">
        <f>IF(ISBLANK(Customer_Data_[[#This Row],[Loyalty_Level]]),"Silver",Customer_Data_[[#This Row],[Loyalty_Level]])</f>
        <v>Platinum</v>
      </c>
    </row>
    <row r="302" spans="1:10" x14ac:dyDescent="0.35">
      <c r="A302" s="6" t="s">
        <v>945</v>
      </c>
      <c r="B302" s="1" t="s">
        <v>946</v>
      </c>
      <c r="C302" s="1" t="str">
        <f>TRIM(Customer_Data_[[#This Row],[Name]])</f>
        <v>Matthew Avery</v>
      </c>
      <c r="D302" s="1" t="str">
        <f>PROPER(Customer_Data_[[#This Row],[Name 1]])</f>
        <v>Matthew Avery</v>
      </c>
      <c r="E302" s="1">
        <v>29</v>
      </c>
      <c r="F302" s="1" t="s">
        <v>8</v>
      </c>
      <c r="G302" s="1" t="s">
        <v>947</v>
      </c>
      <c r="H302" s="1" t="s">
        <v>33</v>
      </c>
      <c r="I302" s="7" t="s">
        <v>29</v>
      </c>
      <c r="J302" s="1" t="str">
        <f>IF(ISBLANK(Customer_Data_[[#This Row],[Loyalty_Level]]),"Silver",Customer_Data_[[#This Row],[Loyalty_Level]])</f>
        <v>Silver</v>
      </c>
    </row>
    <row r="303" spans="1:10" x14ac:dyDescent="0.35">
      <c r="A303" s="6" t="s">
        <v>948</v>
      </c>
      <c r="B303" s="1" t="s">
        <v>949</v>
      </c>
      <c r="C303" s="1" t="str">
        <f>TRIM(Customer_Data_[[#This Row],[Name]])</f>
        <v>Ryan Kane</v>
      </c>
      <c r="D303" s="1" t="str">
        <f>PROPER(Customer_Data_[[#This Row],[Name 1]])</f>
        <v>Ryan Kane</v>
      </c>
      <c r="E303" s="1">
        <v>50</v>
      </c>
      <c r="F303" s="1" t="s">
        <v>8</v>
      </c>
      <c r="G303" s="1" t="s">
        <v>950</v>
      </c>
      <c r="H303" s="1" t="s">
        <v>284</v>
      </c>
      <c r="I303" s="7" t="s">
        <v>11</v>
      </c>
      <c r="J303" s="1" t="str">
        <f>IF(ISBLANK(Customer_Data_[[#This Row],[Loyalty_Level]]),"Silver",Customer_Data_[[#This Row],[Loyalty_Level]])</f>
        <v>Gold</v>
      </c>
    </row>
    <row r="304" spans="1:10" x14ac:dyDescent="0.35">
      <c r="A304" s="6" t="s">
        <v>951</v>
      </c>
      <c r="B304" s="1" t="s">
        <v>952</v>
      </c>
      <c r="C304" s="1" t="str">
        <f>TRIM(Customer_Data_[[#This Row],[Name]])</f>
        <v>Edward Cole</v>
      </c>
      <c r="D304" s="1" t="str">
        <f>PROPER(Customer_Data_[[#This Row],[Name 1]])</f>
        <v>Edward Cole</v>
      </c>
      <c r="E304" s="1">
        <v>36</v>
      </c>
      <c r="F304" s="1" t="s">
        <v>8</v>
      </c>
      <c r="G304" s="1" t="s">
        <v>953</v>
      </c>
      <c r="H304" s="1" t="s">
        <v>131</v>
      </c>
      <c r="I304" s="7" t="s">
        <v>11</v>
      </c>
      <c r="J304" s="1" t="str">
        <f>IF(ISBLANK(Customer_Data_[[#This Row],[Loyalty_Level]]),"Silver",Customer_Data_[[#This Row],[Loyalty_Level]])</f>
        <v>Gold</v>
      </c>
    </row>
    <row r="305" spans="1:10" x14ac:dyDescent="0.35">
      <c r="A305" s="6" t="s">
        <v>954</v>
      </c>
      <c r="B305" s="1" t="s">
        <v>955</v>
      </c>
      <c r="C305" s="1" t="str">
        <f>TRIM(Customer_Data_[[#This Row],[Name]])</f>
        <v>John Sloan</v>
      </c>
      <c r="D305" s="1" t="str">
        <f>PROPER(Customer_Data_[[#This Row],[Name 1]])</f>
        <v>John Sloan</v>
      </c>
      <c r="E305" s="1">
        <v>23</v>
      </c>
      <c r="F305" s="1" t="s">
        <v>14</v>
      </c>
      <c r="G305" s="1" t="s">
        <v>956</v>
      </c>
      <c r="H305" s="1" t="s">
        <v>90</v>
      </c>
      <c r="I305" s="7" t="s">
        <v>17</v>
      </c>
      <c r="J305" s="1" t="str">
        <f>IF(ISBLANK(Customer_Data_[[#This Row],[Loyalty_Level]]),"Silver",Customer_Data_[[#This Row],[Loyalty_Level]])</f>
        <v>Platinum</v>
      </c>
    </row>
    <row r="306" spans="1:10" x14ac:dyDescent="0.35">
      <c r="A306" s="6" t="s">
        <v>957</v>
      </c>
      <c r="B306" s="1" t="s">
        <v>958</v>
      </c>
      <c r="C306" s="1" t="str">
        <f>TRIM(Customer_Data_[[#This Row],[Name]])</f>
        <v>Miss Alexandria Li DVM</v>
      </c>
      <c r="D306" s="1" t="str">
        <f>PROPER(Customer_Data_[[#This Row],[Name 1]])</f>
        <v>Miss Alexandria Li Dvm</v>
      </c>
      <c r="E306" s="1">
        <v>41</v>
      </c>
      <c r="F306" s="1" t="s">
        <v>8</v>
      </c>
      <c r="G306" s="1" t="s">
        <v>959</v>
      </c>
      <c r="H306" s="1" t="s">
        <v>60</v>
      </c>
      <c r="I306" s="7" t="s">
        <v>29</v>
      </c>
      <c r="J306" s="1" t="str">
        <f>IF(ISBLANK(Customer_Data_[[#This Row],[Loyalty_Level]]),"Silver",Customer_Data_[[#This Row],[Loyalty_Level]])</f>
        <v>Silver</v>
      </c>
    </row>
    <row r="307" spans="1:10" x14ac:dyDescent="0.35">
      <c r="A307" s="6" t="s">
        <v>960</v>
      </c>
      <c r="B307" s="1" t="s">
        <v>961</v>
      </c>
      <c r="C307" s="1" t="str">
        <f>TRIM(Customer_Data_[[#This Row],[Name]])</f>
        <v>Roberta Green</v>
      </c>
      <c r="D307" s="1" t="str">
        <f>PROPER(Customer_Data_[[#This Row],[Name 1]])</f>
        <v>Roberta Green</v>
      </c>
      <c r="E307" s="1">
        <v>64</v>
      </c>
      <c r="F307" s="1" t="s">
        <v>8</v>
      </c>
      <c r="G307" s="1" t="s">
        <v>962</v>
      </c>
      <c r="H307" s="1" t="s">
        <v>72</v>
      </c>
      <c r="I307" s="7" t="s">
        <v>17</v>
      </c>
      <c r="J307" s="1" t="str">
        <f>IF(ISBLANK(Customer_Data_[[#This Row],[Loyalty_Level]]),"Silver",Customer_Data_[[#This Row],[Loyalty_Level]])</f>
        <v>Platinum</v>
      </c>
    </row>
    <row r="308" spans="1:10" x14ac:dyDescent="0.35">
      <c r="A308" s="6" t="s">
        <v>963</v>
      </c>
      <c r="B308" s="1" t="s">
        <v>964</v>
      </c>
      <c r="C308" s="1" t="str">
        <f>TRIM(Customer_Data_[[#This Row],[Name]])</f>
        <v>Angela Robinson</v>
      </c>
      <c r="D308" s="1" t="str">
        <f>PROPER(Customer_Data_[[#This Row],[Name 1]])</f>
        <v>Angela Robinson</v>
      </c>
      <c r="E308" s="1">
        <v>44</v>
      </c>
      <c r="F308" s="1" t="s">
        <v>8</v>
      </c>
      <c r="G308" s="1" t="s">
        <v>965</v>
      </c>
      <c r="H308" s="1" t="s">
        <v>234</v>
      </c>
      <c r="I308" s="7" t="s">
        <v>17</v>
      </c>
      <c r="J308" s="1" t="str">
        <f>IF(ISBLANK(Customer_Data_[[#This Row],[Loyalty_Level]]),"Silver",Customer_Data_[[#This Row],[Loyalty_Level]])</f>
        <v>Platinum</v>
      </c>
    </row>
    <row r="309" spans="1:10" x14ac:dyDescent="0.35">
      <c r="A309" s="6" t="s">
        <v>966</v>
      </c>
      <c r="B309" s="1" t="s">
        <v>967</v>
      </c>
      <c r="C309" s="1" t="str">
        <f>TRIM(Customer_Data_[[#This Row],[Name]])</f>
        <v>Brandy Thompson</v>
      </c>
      <c r="D309" s="1" t="str">
        <f>PROPER(Customer_Data_[[#This Row],[Name 1]])</f>
        <v>Brandy Thompson</v>
      </c>
      <c r="E309" s="1">
        <v>56</v>
      </c>
      <c r="F309" s="1" t="s">
        <v>14</v>
      </c>
      <c r="G309" s="1" t="s">
        <v>968</v>
      </c>
      <c r="H309" s="1" t="s">
        <v>20</v>
      </c>
      <c r="I309" s="7" t="s">
        <v>24</v>
      </c>
      <c r="J309" s="1" t="str">
        <f>IF(ISBLANK(Customer_Data_[[#This Row],[Loyalty_Level]]),"Silver",Customer_Data_[[#This Row],[Loyalty_Level]])</f>
        <v>Bronze</v>
      </c>
    </row>
    <row r="310" spans="1:10" x14ac:dyDescent="0.35">
      <c r="A310" s="6" t="s">
        <v>969</v>
      </c>
      <c r="B310" s="1" t="s">
        <v>970</v>
      </c>
      <c r="C310" s="1" t="str">
        <f>TRIM(Customer_Data_[[#This Row],[Name]])</f>
        <v>Jennifer Zamora</v>
      </c>
      <c r="D310" s="1" t="str">
        <f>PROPER(Customer_Data_[[#This Row],[Name 1]])</f>
        <v>Jennifer Zamora</v>
      </c>
      <c r="E310" s="1">
        <v>60</v>
      </c>
      <c r="F310" s="1" t="s">
        <v>14</v>
      </c>
      <c r="G310" s="1" t="s">
        <v>971</v>
      </c>
      <c r="H310" s="1" t="s">
        <v>264</v>
      </c>
      <c r="I310" s="7" t="s">
        <v>11</v>
      </c>
      <c r="J310" s="1" t="str">
        <f>IF(ISBLANK(Customer_Data_[[#This Row],[Loyalty_Level]]),"Silver",Customer_Data_[[#This Row],[Loyalty_Level]])</f>
        <v>Gold</v>
      </c>
    </row>
    <row r="311" spans="1:10" x14ac:dyDescent="0.35">
      <c r="A311" s="6" t="s">
        <v>972</v>
      </c>
      <c r="B311" s="1" t="s">
        <v>973</v>
      </c>
      <c r="C311" s="1" t="str">
        <f>TRIM(Customer_Data_[[#This Row],[Name]])</f>
        <v>Stacy Collins</v>
      </c>
      <c r="D311" s="1" t="str">
        <f>PROPER(Customer_Data_[[#This Row],[Name 1]])</f>
        <v>Stacy Collins</v>
      </c>
      <c r="E311" s="1">
        <v>41</v>
      </c>
      <c r="F311" s="1" t="s">
        <v>14</v>
      </c>
      <c r="G311" s="1" t="s">
        <v>974</v>
      </c>
      <c r="H311" s="1" t="s">
        <v>28</v>
      </c>
      <c r="I311" s="7" t="s">
        <v>24</v>
      </c>
      <c r="J311" s="1" t="str">
        <f>IF(ISBLANK(Customer_Data_[[#This Row],[Loyalty_Level]]),"Silver",Customer_Data_[[#This Row],[Loyalty_Level]])</f>
        <v>Bronze</v>
      </c>
    </row>
    <row r="312" spans="1:10" x14ac:dyDescent="0.35">
      <c r="A312" s="6" t="s">
        <v>975</v>
      </c>
      <c r="B312" s="1" t="s">
        <v>976</v>
      </c>
      <c r="C312" s="1" t="str">
        <f>TRIM(Customer_Data_[[#This Row],[Name]])</f>
        <v>Kara Dodson</v>
      </c>
      <c r="D312" s="1" t="str">
        <f>PROPER(Customer_Data_[[#This Row],[Name 1]])</f>
        <v>Kara Dodson</v>
      </c>
      <c r="E312" s="1">
        <v>20</v>
      </c>
      <c r="F312" s="1" t="s">
        <v>8</v>
      </c>
      <c r="G312" s="1" t="s">
        <v>977</v>
      </c>
      <c r="H312" s="1" t="s">
        <v>169</v>
      </c>
      <c r="I312" s="7" t="s">
        <v>29</v>
      </c>
      <c r="J312" s="1" t="str">
        <f>IF(ISBLANK(Customer_Data_[[#This Row],[Loyalty_Level]]),"Silver",Customer_Data_[[#This Row],[Loyalty_Level]])</f>
        <v>Silver</v>
      </c>
    </row>
    <row r="313" spans="1:10" x14ac:dyDescent="0.35">
      <c r="A313" s="6" t="s">
        <v>978</v>
      </c>
      <c r="B313" s="1" t="s">
        <v>979</v>
      </c>
      <c r="C313" s="1" t="str">
        <f>TRIM(Customer_Data_[[#This Row],[Name]])</f>
        <v>Kevin Larson</v>
      </c>
      <c r="D313" s="1" t="str">
        <f>PROPER(Customer_Data_[[#This Row],[Name 1]])</f>
        <v>Kevin Larson</v>
      </c>
      <c r="E313" s="1">
        <v>35</v>
      </c>
      <c r="F313" s="1" t="s">
        <v>8</v>
      </c>
      <c r="G313" s="1" t="s">
        <v>980</v>
      </c>
      <c r="H313" s="1" t="s">
        <v>33</v>
      </c>
      <c r="I313" s="7" t="s">
        <v>17</v>
      </c>
      <c r="J313" s="1" t="str">
        <f>IF(ISBLANK(Customer_Data_[[#This Row],[Loyalty_Level]]),"Silver",Customer_Data_[[#This Row],[Loyalty_Level]])</f>
        <v>Platinum</v>
      </c>
    </row>
    <row r="314" spans="1:10" x14ac:dyDescent="0.35">
      <c r="A314" s="6" t="s">
        <v>981</v>
      </c>
      <c r="B314" s="1" t="s">
        <v>982</v>
      </c>
      <c r="C314" s="1" t="str">
        <f>TRIM(Customer_Data_[[#This Row],[Name]])</f>
        <v>Jason Mullins</v>
      </c>
      <c r="D314" s="1" t="str">
        <f>PROPER(Customer_Data_[[#This Row],[Name 1]])</f>
        <v>Jason Mullins</v>
      </c>
      <c r="E314" s="1">
        <v>47</v>
      </c>
      <c r="F314" s="1" t="s">
        <v>14</v>
      </c>
      <c r="G314" s="1" t="s">
        <v>983</v>
      </c>
      <c r="H314" s="1" t="s">
        <v>90</v>
      </c>
      <c r="I314" s="7" t="s">
        <v>29</v>
      </c>
      <c r="J314" s="1" t="str">
        <f>IF(ISBLANK(Customer_Data_[[#This Row],[Loyalty_Level]]),"Silver",Customer_Data_[[#This Row],[Loyalty_Level]])</f>
        <v>Silver</v>
      </c>
    </row>
    <row r="315" spans="1:10" x14ac:dyDescent="0.35">
      <c r="A315" s="6" t="s">
        <v>984</v>
      </c>
      <c r="B315" s="1" t="s">
        <v>985</v>
      </c>
      <c r="C315" s="1" t="str">
        <f>TRIM(Customer_Data_[[#This Row],[Name]])</f>
        <v>Elizabeth Jones</v>
      </c>
      <c r="D315" s="1" t="str">
        <f>PROPER(Customer_Data_[[#This Row],[Name 1]])</f>
        <v>Elizabeth Jones</v>
      </c>
      <c r="E315" s="1">
        <v>62</v>
      </c>
      <c r="F315" s="1" t="s">
        <v>8</v>
      </c>
      <c r="G315" s="1" t="s">
        <v>986</v>
      </c>
      <c r="H315" s="1" t="s">
        <v>138</v>
      </c>
      <c r="I315" s="7" t="s">
        <v>17</v>
      </c>
      <c r="J315" s="1" t="str">
        <f>IF(ISBLANK(Customer_Data_[[#This Row],[Loyalty_Level]]),"Silver",Customer_Data_[[#This Row],[Loyalty_Level]])</f>
        <v>Platinum</v>
      </c>
    </row>
    <row r="316" spans="1:10" x14ac:dyDescent="0.35">
      <c r="A316" s="6" t="s">
        <v>987</v>
      </c>
      <c r="B316" s="1" t="s">
        <v>988</v>
      </c>
      <c r="C316" s="1" t="str">
        <f>TRIM(Customer_Data_[[#This Row],[Name]])</f>
        <v>Elizabeth Johnson</v>
      </c>
      <c r="D316" s="1" t="str">
        <f>PROPER(Customer_Data_[[#This Row],[Name 1]])</f>
        <v>Elizabeth Johnson</v>
      </c>
      <c r="E316" s="1">
        <v>53</v>
      </c>
      <c r="F316" s="1" t="s">
        <v>14</v>
      </c>
      <c r="G316" s="1" t="s">
        <v>989</v>
      </c>
      <c r="H316" s="1" t="s">
        <v>72</v>
      </c>
      <c r="I316" s="7" t="s">
        <v>29</v>
      </c>
      <c r="J316" s="1" t="str">
        <f>IF(ISBLANK(Customer_Data_[[#This Row],[Loyalty_Level]]),"Silver",Customer_Data_[[#This Row],[Loyalty_Level]])</f>
        <v>Silver</v>
      </c>
    </row>
    <row r="317" spans="1:10" x14ac:dyDescent="0.35">
      <c r="A317" s="6" t="s">
        <v>990</v>
      </c>
      <c r="B317" s="1" t="s">
        <v>991</v>
      </c>
      <c r="C317" s="1" t="str">
        <f>TRIM(Customer_Data_[[#This Row],[Name]])</f>
        <v>William Rodriguez</v>
      </c>
      <c r="D317" s="1" t="str">
        <f>PROPER(Customer_Data_[[#This Row],[Name 1]])</f>
        <v>William Rodriguez</v>
      </c>
      <c r="E317" s="1">
        <v>49</v>
      </c>
      <c r="F317" s="1" t="s">
        <v>8</v>
      </c>
      <c r="G317" s="1" t="s">
        <v>992</v>
      </c>
      <c r="H317" s="1" t="s">
        <v>712</v>
      </c>
      <c r="I317" s="7" t="s">
        <v>29</v>
      </c>
      <c r="J317" s="1" t="str">
        <f>IF(ISBLANK(Customer_Data_[[#This Row],[Loyalty_Level]]),"Silver",Customer_Data_[[#This Row],[Loyalty_Level]])</f>
        <v>Silver</v>
      </c>
    </row>
    <row r="318" spans="1:10" x14ac:dyDescent="0.35">
      <c r="A318" s="6" t="s">
        <v>993</v>
      </c>
      <c r="B318" s="1" t="s">
        <v>994</v>
      </c>
      <c r="C318" s="1" t="str">
        <f>TRIM(Customer_Data_[[#This Row],[Name]])</f>
        <v>Robert House</v>
      </c>
      <c r="D318" s="1" t="str">
        <f>PROPER(Customer_Data_[[#This Row],[Name 1]])</f>
        <v>Robert House</v>
      </c>
      <c r="E318" s="1">
        <v>34</v>
      </c>
      <c r="F318" s="1" t="s">
        <v>8</v>
      </c>
      <c r="G318" s="1" t="s">
        <v>995</v>
      </c>
      <c r="H318" s="1" t="s">
        <v>138</v>
      </c>
      <c r="I318" s="7" t="s">
        <v>11</v>
      </c>
      <c r="J318" s="1" t="str">
        <f>IF(ISBLANK(Customer_Data_[[#This Row],[Loyalty_Level]]),"Silver",Customer_Data_[[#This Row],[Loyalty_Level]])</f>
        <v>Gold</v>
      </c>
    </row>
    <row r="319" spans="1:10" x14ac:dyDescent="0.35">
      <c r="A319" s="6" t="s">
        <v>996</v>
      </c>
      <c r="B319" s="1" t="s">
        <v>997</v>
      </c>
      <c r="C319" s="1" t="str">
        <f>TRIM(Customer_Data_[[#This Row],[Name]])</f>
        <v>Tiffany Williams</v>
      </c>
      <c r="D319" s="1" t="str">
        <f>PROPER(Customer_Data_[[#This Row],[Name 1]])</f>
        <v>Tiffany Williams</v>
      </c>
      <c r="E319" s="1">
        <v>64</v>
      </c>
      <c r="F319" s="1" t="s">
        <v>14</v>
      </c>
      <c r="G319" s="1" t="s">
        <v>998</v>
      </c>
      <c r="H319" s="1" t="s">
        <v>45</v>
      </c>
      <c r="I319" s="7" t="s">
        <v>11</v>
      </c>
      <c r="J319" s="1" t="str">
        <f>IF(ISBLANK(Customer_Data_[[#This Row],[Loyalty_Level]]),"Silver",Customer_Data_[[#This Row],[Loyalty_Level]])</f>
        <v>Gold</v>
      </c>
    </row>
    <row r="320" spans="1:10" x14ac:dyDescent="0.35">
      <c r="A320" s="6" t="s">
        <v>999</v>
      </c>
      <c r="B320" s="1" t="s">
        <v>1000</v>
      </c>
      <c r="C320" s="1" t="str">
        <f>TRIM(Customer_Data_[[#This Row],[Name]])</f>
        <v>Madison Wright</v>
      </c>
      <c r="D320" s="1" t="str">
        <f>PROPER(Customer_Data_[[#This Row],[Name 1]])</f>
        <v>Madison Wright</v>
      </c>
      <c r="E320" s="1">
        <v>25</v>
      </c>
      <c r="F320" s="1" t="s">
        <v>8</v>
      </c>
      <c r="G320" s="1" t="s">
        <v>1001</v>
      </c>
      <c r="H320" s="1" t="s">
        <v>60</v>
      </c>
      <c r="I320" s="7" t="s">
        <v>17</v>
      </c>
      <c r="J320" s="1" t="str">
        <f>IF(ISBLANK(Customer_Data_[[#This Row],[Loyalty_Level]]),"Silver",Customer_Data_[[#This Row],[Loyalty_Level]])</f>
        <v>Platinum</v>
      </c>
    </row>
    <row r="321" spans="1:10" x14ac:dyDescent="0.35">
      <c r="A321" s="6" t="s">
        <v>1002</v>
      </c>
      <c r="B321" s="1" t="s">
        <v>1003</v>
      </c>
      <c r="C321" s="1" t="str">
        <f>TRIM(Customer_Data_[[#This Row],[Name]])</f>
        <v>Casey Simpson</v>
      </c>
      <c r="D321" s="1" t="str">
        <f>PROPER(Customer_Data_[[#This Row],[Name 1]])</f>
        <v>Casey Simpson</v>
      </c>
      <c r="E321" s="1">
        <v>54</v>
      </c>
      <c r="F321" s="1" t="s">
        <v>8</v>
      </c>
      <c r="G321" s="1" t="s">
        <v>1004</v>
      </c>
      <c r="H321" s="1" t="s">
        <v>310</v>
      </c>
      <c r="I321" s="7" t="s">
        <v>17</v>
      </c>
      <c r="J321" s="1" t="str">
        <f>IF(ISBLANK(Customer_Data_[[#This Row],[Loyalty_Level]]),"Silver",Customer_Data_[[#This Row],[Loyalty_Level]])</f>
        <v>Platinum</v>
      </c>
    </row>
    <row r="322" spans="1:10" x14ac:dyDescent="0.35">
      <c r="A322" s="6" t="s">
        <v>1005</v>
      </c>
      <c r="B322" s="1" t="s">
        <v>1006</v>
      </c>
      <c r="C322" s="1" t="str">
        <f>TRIM(Customer_Data_[[#This Row],[Name]])</f>
        <v>Jessica Gonzalez</v>
      </c>
      <c r="D322" s="1" t="str">
        <f>PROPER(Customer_Data_[[#This Row],[Name 1]])</f>
        <v>Jessica Gonzalez</v>
      </c>
      <c r="E322" s="1">
        <v>34</v>
      </c>
      <c r="F322" s="1" t="s">
        <v>14</v>
      </c>
      <c r="G322" s="1" t="s">
        <v>1007</v>
      </c>
      <c r="H322" s="1" t="s">
        <v>264</v>
      </c>
      <c r="I322" s="7" t="s">
        <v>24</v>
      </c>
      <c r="J322" s="1" t="str">
        <f>IF(ISBLANK(Customer_Data_[[#This Row],[Loyalty_Level]]),"Silver",Customer_Data_[[#This Row],[Loyalty_Level]])</f>
        <v>Bronze</v>
      </c>
    </row>
    <row r="323" spans="1:10" x14ac:dyDescent="0.35">
      <c r="A323" s="6" t="s">
        <v>1008</v>
      </c>
      <c r="B323" s="1" t="s">
        <v>1009</v>
      </c>
      <c r="C323" s="1" t="str">
        <f>TRIM(Customer_Data_[[#This Row],[Name]])</f>
        <v>Darren Burton</v>
      </c>
      <c r="D323" s="1" t="str">
        <f>PROPER(Customer_Data_[[#This Row],[Name 1]])</f>
        <v>Darren Burton</v>
      </c>
      <c r="E323" s="1">
        <v>21</v>
      </c>
      <c r="F323" s="1" t="s">
        <v>14</v>
      </c>
      <c r="G323" s="1" t="s">
        <v>1010</v>
      </c>
      <c r="H323" s="1" t="s">
        <v>234</v>
      </c>
      <c r="I323" s="7" t="s">
        <v>24</v>
      </c>
      <c r="J323" s="1" t="str">
        <f>IF(ISBLANK(Customer_Data_[[#This Row],[Loyalty_Level]]),"Silver",Customer_Data_[[#This Row],[Loyalty_Level]])</f>
        <v>Bronze</v>
      </c>
    </row>
    <row r="324" spans="1:10" x14ac:dyDescent="0.35">
      <c r="A324" s="6" t="s">
        <v>1011</v>
      </c>
      <c r="B324" s="1" t="s">
        <v>1012</v>
      </c>
      <c r="C324" s="1" t="str">
        <f>TRIM(Customer_Data_[[#This Row],[Name]])</f>
        <v>Samuel Arias</v>
      </c>
      <c r="D324" s="1" t="str">
        <f>PROPER(Customer_Data_[[#This Row],[Name 1]])</f>
        <v>Samuel Arias</v>
      </c>
      <c r="E324" s="1">
        <v>54</v>
      </c>
      <c r="F324" s="1" t="s">
        <v>8</v>
      </c>
      <c r="G324" s="1" t="s">
        <v>1013</v>
      </c>
      <c r="H324" s="1" t="s">
        <v>842</v>
      </c>
      <c r="I324" s="7" t="s">
        <v>24</v>
      </c>
      <c r="J324" s="1" t="str">
        <f>IF(ISBLANK(Customer_Data_[[#This Row],[Loyalty_Level]]),"Silver",Customer_Data_[[#This Row],[Loyalty_Level]])</f>
        <v>Bronze</v>
      </c>
    </row>
    <row r="325" spans="1:10" x14ac:dyDescent="0.35">
      <c r="A325" s="6" t="s">
        <v>1014</v>
      </c>
      <c r="B325" s="1" t="s">
        <v>1015</v>
      </c>
      <c r="C325" s="1" t="str">
        <f>TRIM(Customer_Data_[[#This Row],[Name]])</f>
        <v>Kristy Dunlap</v>
      </c>
      <c r="D325" s="1" t="str">
        <f>PROPER(Customer_Data_[[#This Row],[Name 1]])</f>
        <v>Kristy Dunlap</v>
      </c>
      <c r="E325" s="1">
        <v>64</v>
      </c>
      <c r="F325" s="1" t="s">
        <v>14</v>
      </c>
      <c r="G325" s="1" t="s">
        <v>1016</v>
      </c>
      <c r="H325" s="1" t="s">
        <v>10</v>
      </c>
      <c r="I325" s="7" t="s">
        <v>17</v>
      </c>
      <c r="J325" s="1" t="str">
        <f>IF(ISBLANK(Customer_Data_[[#This Row],[Loyalty_Level]]),"Silver",Customer_Data_[[#This Row],[Loyalty_Level]])</f>
        <v>Platinum</v>
      </c>
    </row>
    <row r="326" spans="1:10" x14ac:dyDescent="0.35">
      <c r="A326" s="6" t="s">
        <v>1017</v>
      </c>
      <c r="B326" s="1" t="s">
        <v>1018</v>
      </c>
      <c r="C326" s="1" t="str">
        <f>TRIM(Customer_Data_[[#This Row],[Name]])</f>
        <v>Alex Mann II</v>
      </c>
      <c r="D326" s="1" t="str">
        <f>PROPER(Customer_Data_[[#This Row],[Name 1]])</f>
        <v>Alex Mann Ii</v>
      </c>
      <c r="E326" s="1">
        <v>58</v>
      </c>
      <c r="F326" s="1" t="s">
        <v>8</v>
      </c>
      <c r="G326" s="1" t="s">
        <v>1019</v>
      </c>
      <c r="H326" s="1" t="s">
        <v>94</v>
      </c>
      <c r="I326" s="7" t="s">
        <v>24</v>
      </c>
      <c r="J326" s="1" t="str">
        <f>IF(ISBLANK(Customer_Data_[[#This Row],[Loyalty_Level]]),"Silver",Customer_Data_[[#This Row],[Loyalty_Level]])</f>
        <v>Bronze</v>
      </c>
    </row>
    <row r="327" spans="1:10" x14ac:dyDescent="0.35">
      <c r="A327" s="6" t="s">
        <v>1020</v>
      </c>
      <c r="B327" s="1" t="s">
        <v>1021</v>
      </c>
      <c r="C327" s="1" t="str">
        <f>TRIM(Customer_Data_[[#This Row],[Name]])</f>
        <v>Andrew Smith</v>
      </c>
      <c r="D327" s="1" t="str">
        <f>PROPER(Customer_Data_[[#This Row],[Name 1]])</f>
        <v>Andrew Smith</v>
      </c>
      <c r="E327" s="1">
        <v>60</v>
      </c>
      <c r="F327" s="1" t="s">
        <v>8</v>
      </c>
      <c r="G327" s="1" t="s">
        <v>1022</v>
      </c>
      <c r="H327" s="1" t="s">
        <v>321</v>
      </c>
      <c r="I327" s="7" t="s">
        <v>24</v>
      </c>
      <c r="J327" s="1" t="str">
        <f>IF(ISBLANK(Customer_Data_[[#This Row],[Loyalty_Level]]),"Silver",Customer_Data_[[#This Row],[Loyalty_Level]])</f>
        <v>Bronze</v>
      </c>
    </row>
    <row r="328" spans="1:10" x14ac:dyDescent="0.35">
      <c r="A328" s="6" t="s">
        <v>1023</v>
      </c>
      <c r="B328" s="1" t="s">
        <v>1024</v>
      </c>
      <c r="C328" s="1" t="str">
        <f>TRIM(Customer_Data_[[#This Row],[Name]])</f>
        <v>Robert King</v>
      </c>
      <c r="D328" s="1" t="str">
        <f>PROPER(Customer_Data_[[#This Row],[Name 1]])</f>
        <v>Robert King</v>
      </c>
      <c r="E328" s="1">
        <v>58</v>
      </c>
      <c r="F328" s="1" t="s">
        <v>14</v>
      </c>
      <c r="G328" s="1" t="s">
        <v>1025</v>
      </c>
      <c r="H328" s="1" t="s">
        <v>214</v>
      </c>
      <c r="I328" s="7" t="s">
        <v>11</v>
      </c>
      <c r="J328" s="1" t="str">
        <f>IF(ISBLANK(Customer_Data_[[#This Row],[Loyalty_Level]]),"Silver",Customer_Data_[[#This Row],[Loyalty_Level]])</f>
        <v>Gold</v>
      </c>
    </row>
    <row r="329" spans="1:10" x14ac:dyDescent="0.35">
      <c r="A329" s="6" t="s">
        <v>1026</v>
      </c>
      <c r="B329" s="1" t="s">
        <v>1027</v>
      </c>
      <c r="C329" s="1" t="str">
        <f>TRIM(Customer_Data_[[#This Row],[Name]])</f>
        <v>Reginald Willis</v>
      </c>
      <c r="D329" s="1" t="str">
        <f>PROPER(Customer_Data_[[#This Row],[Name 1]])</f>
        <v>Reginald Willis</v>
      </c>
      <c r="E329" s="1">
        <v>62</v>
      </c>
      <c r="F329" s="1" t="s">
        <v>14</v>
      </c>
      <c r="G329" s="1" t="s">
        <v>1028</v>
      </c>
      <c r="H329" s="1" t="s">
        <v>56</v>
      </c>
      <c r="I329" s="7" t="s">
        <v>24</v>
      </c>
      <c r="J329" s="1" t="str">
        <f>IF(ISBLANK(Customer_Data_[[#This Row],[Loyalty_Level]]),"Silver",Customer_Data_[[#This Row],[Loyalty_Level]])</f>
        <v>Bronze</v>
      </c>
    </row>
    <row r="330" spans="1:10" x14ac:dyDescent="0.35">
      <c r="A330" s="6" t="s">
        <v>1029</v>
      </c>
      <c r="B330" s="1" t="s">
        <v>1030</v>
      </c>
      <c r="C330" s="1" t="str">
        <f>TRIM(Customer_Data_[[#This Row],[Name]])</f>
        <v>Mario Harvey Jr.</v>
      </c>
      <c r="D330" s="1" t="str">
        <f>PROPER(Customer_Data_[[#This Row],[Name 1]])</f>
        <v>Mario Harvey Jr.</v>
      </c>
      <c r="E330" s="1">
        <v>46</v>
      </c>
      <c r="F330" s="1" t="s">
        <v>8</v>
      </c>
      <c r="G330" s="1" t="s">
        <v>1031</v>
      </c>
      <c r="H330" s="1" t="s">
        <v>198</v>
      </c>
      <c r="I330" s="7" t="s">
        <v>17</v>
      </c>
      <c r="J330" s="1" t="str">
        <f>IF(ISBLANK(Customer_Data_[[#This Row],[Loyalty_Level]]),"Silver",Customer_Data_[[#This Row],[Loyalty_Level]])</f>
        <v>Platinum</v>
      </c>
    </row>
    <row r="331" spans="1:10" x14ac:dyDescent="0.35">
      <c r="A331" s="6" t="s">
        <v>1032</v>
      </c>
      <c r="B331" s="1" t="s">
        <v>1033</v>
      </c>
      <c r="C331" s="1" t="str">
        <f>TRIM(Customer_Data_[[#This Row],[Name]])</f>
        <v>Victor Mcintosh</v>
      </c>
      <c r="D331" s="1" t="str">
        <f>PROPER(Customer_Data_[[#This Row],[Name 1]])</f>
        <v>Victor Mcintosh</v>
      </c>
      <c r="E331" s="1">
        <v>62</v>
      </c>
      <c r="F331" s="1" t="s">
        <v>14</v>
      </c>
      <c r="G331" s="1" t="s">
        <v>1034</v>
      </c>
      <c r="H331" s="1" t="s">
        <v>198</v>
      </c>
      <c r="I331" s="7" t="s">
        <v>24</v>
      </c>
      <c r="J331" s="1" t="str">
        <f>IF(ISBLANK(Customer_Data_[[#This Row],[Loyalty_Level]]),"Silver",Customer_Data_[[#This Row],[Loyalty_Level]])</f>
        <v>Bronze</v>
      </c>
    </row>
    <row r="332" spans="1:10" x14ac:dyDescent="0.35">
      <c r="A332" s="6" t="s">
        <v>1035</v>
      </c>
      <c r="B332" s="1" t="s">
        <v>1036</v>
      </c>
      <c r="C332" s="1" t="str">
        <f>TRIM(Customer_Data_[[#This Row],[Name]])</f>
        <v>Pamela Mcguire</v>
      </c>
      <c r="D332" s="1" t="str">
        <f>PROPER(Customer_Data_[[#This Row],[Name 1]])</f>
        <v>Pamela Mcguire</v>
      </c>
      <c r="E332" s="1">
        <v>54</v>
      </c>
      <c r="F332" s="1" t="s">
        <v>8</v>
      </c>
      <c r="G332" s="1" t="s">
        <v>1037</v>
      </c>
      <c r="H332" s="1" t="s">
        <v>191</v>
      </c>
      <c r="I332" s="7" t="s">
        <v>17</v>
      </c>
      <c r="J332" s="1" t="str">
        <f>IF(ISBLANK(Customer_Data_[[#This Row],[Loyalty_Level]]),"Silver",Customer_Data_[[#This Row],[Loyalty_Level]])</f>
        <v>Platinum</v>
      </c>
    </row>
    <row r="333" spans="1:10" x14ac:dyDescent="0.35">
      <c r="A333" s="6" t="s">
        <v>1038</v>
      </c>
      <c r="B333" s="1" t="s">
        <v>1039</v>
      </c>
      <c r="C333" s="1" t="str">
        <f>TRIM(Customer_Data_[[#This Row],[Name]])</f>
        <v>Maria Phillips</v>
      </c>
      <c r="D333" s="1" t="str">
        <f>PROPER(Customer_Data_[[#This Row],[Name 1]])</f>
        <v>Maria Phillips</v>
      </c>
      <c r="E333" s="1">
        <v>38</v>
      </c>
      <c r="F333" s="1" t="s">
        <v>14</v>
      </c>
      <c r="G333" s="1" t="s">
        <v>1040</v>
      </c>
      <c r="H333" s="1" t="s">
        <v>64</v>
      </c>
      <c r="I333" s="7" t="s">
        <v>24</v>
      </c>
      <c r="J333" s="1" t="str">
        <f>IF(ISBLANK(Customer_Data_[[#This Row],[Loyalty_Level]]),"Silver",Customer_Data_[[#This Row],[Loyalty_Level]])</f>
        <v>Bronze</v>
      </c>
    </row>
    <row r="334" spans="1:10" x14ac:dyDescent="0.35">
      <c r="A334" s="6" t="s">
        <v>1041</v>
      </c>
      <c r="B334" s="1" t="s">
        <v>1042</v>
      </c>
      <c r="C334" s="1" t="str">
        <f>TRIM(Customer_Data_[[#This Row],[Name]])</f>
        <v>Dr. Lindsay Hanna</v>
      </c>
      <c r="D334" s="1" t="str">
        <f>PROPER(Customer_Data_[[#This Row],[Name 1]])</f>
        <v>Dr. Lindsay Hanna</v>
      </c>
      <c r="E334" s="1">
        <v>34</v>
      </c>
      <c r="F334" s="1" t="s">
        <v>14</v>
      </c>
      <c r="G334" s="1" t="s">
        <v>1043</v>
      </c>
      <c r="H334" s="1" t="s">
        <v>97</v>
      </c>
      <c r="I334" s="7" t="s">
        <v>24</v>
      </c>
      <c r="J334" s="1" t="str">
        <f>IF(ISBLANK(Customer_Data_[[#This Row],[Loyalty_Level]]),"Silver",Customer_Data_[[#This Row],[Loyalty_Level]])</f>
        <v>Bronze</v>
      </c>
    </row>
    <row r="335" spans="1:10" x14ac:dyDescent="0.35">
      <c r="A335" s="6" t="s">
        <v>1044</v>
      </c>
      <c r="B335" s="1" t="s">
        <v>1045</v>
      </c>
      <c r="C335" s="1" t="str">
        <f>TRIM(Customer_Data_[[#This Row],[Name]])</f>
        <v>Teresa Johnson</v>
      </c>
      <c r="D335" s="1" t="str">
        <f>PROPER(Customer_Data_[[#This Row],[Name 1]])</f>
        <v>Teresa Johnson</v>
      </c>
      <c r="E335" s="1">
        <v>64</v>
      </c>
      <c r="F335" s="1" t="s">
        <v>14</v>
      </c>
      <c r="G335" s="1" t="s">
        <v>1046</v>
      </c>
      <c r="H335" s="1" t="s">
        <v>79</v>
      </c>
      <c r="I335" s="7" t="s">
        <v>11</v>
      </c>
      <c r="J335" s="1" t="str">
        <f>IF(ISBLANK(Customer_Data_[[#This Row],[Loyalty_Level]]),"Silver",Customer_Data_[[#This Row],[Loyalty_Level]])</f>
        <v>Gold</v>
      </c>
    </row>
    <row r="336" spans="1:10" x14ac:dyDescent="0.35">
      <c r="A336" s="6" t="s">
        <v>1047</v>
      </c>
      <c r="B336" s="1" t="s">
        <v>1048</v>
      </c>
      <c r="C336" s="1" t="str">
        <f>TRIM(Customer_Data_[[#This Row],[Name]])</f>
        <v>Mr. Christopher Sims</v>
      </c>
      <c r="D336" s="1" t="str">
        <f>PROPER(Customer_Data_[[#This Row],[Name 1]])</f>
        <v>Mr. Christopher Sims</v>
      </c>
      <c r="E336" s="1">
        <v>50</v>
      </c>
      <c r="F336" s="1" t="s">
        <v>14</v>
      </c>
      <c r="G336" s="1" t="s">
        <v>1049</v>
      </c>
      <c r="H336" s="1" t="s">
        <v>165</v>
      </c>
      <c r="I336" s="7" t="s">
        <v>29</v>
      </c>
      <c r="J336" s="1" t="str">
        <f>IF(ISBLANK(Customer_Data_[[#This Row],[Loyalty_Level]]),"Silver",Customer_Data_[[#This Row],[Loyalty_Level]])</f>
        <v>Silver</v>
      </c>
    </row>
    <row r="337" spans="1:10" x14ac:dyDescent="0.35">
      <c r="A337" s="6" t="s">
        <v>1050</v>
      </c>
      <c r="B337" s="1" t="s">
        <v>1051</v>
      </c>
      <c r="C337" s="1" t="str">
        <f>TRIM(Customer_Data_[[#This Row],[Name]])</f>
        <v>Jennifer Woods</v>
      </c>
      <c r="D337" s="1" t="str">
        <f>PROPER(Customer_Data_[[#This Row],[Name 1]])</f>
        <v>Jennifer Woods</v>
      </c>
      <c r="E337" s="1">
        <v>37</v>
      </c>
      <c r="F337" s="1" t="s">
        <v>8</v>
      </c>
      <c r="G337" s="1" t="s">
        <v>1052</v>
      </c>
      <c r="H337" s="1" t="s">
        <v>10</v>
      </c>
      <c r="I337" s="7" t="s">
        <v>17</v>
      </c>
      <c r="J337" s="1" t="str">
        <f>IF(ISBLANK(Customer_Data_[[#This Row],[Loyalty_Level]]),"Silver",Customer_Data_[[#This Row],[Loyalty_Level]])</f>
        <v>Platinum</v>
      </c>
    </row>
    <row r="338" spans="1:10" x14ac:dyDescent="0.35">
      <c r="A338" s="6" t="s">
        <v>1053</v>
      </c>
      <c r="B338" s="1" t="s">
        <v>1054</v>
      </c>
      <c r="C338" s="1" t="str">
        <f>TRIM(Customer_Data_[[#This Row],[Name]])</f>
        <v>John Jones</v>
      </c>
      <c r="D338" s="1" t="str">
        <f>PROPER(Customer_Data_[[#This Row],[Name 1]])</f>
        <v>John Jones</v>
      </c>
      <c r="E338" s="1">
        <v>58</v>
      </c>
      <c r="F338" s="1" t="s">
        <v>14</v>
      </c>
      <c r="G338" s="1" t="s">
        <v>1055</v>
      </c>
      <c r="H338" s="1" t="s">
        <v>33</v>
      </c>
      <c r="I338" s="7" t="s">
        <v>29</v>
      </c>
      <c r="J338" s="1" t="str">
        <f>IF(ISBLANK(Customer_Data_[[#This Row],[Loyalty_Level]]),"Silver",Customer_Data_[[#This Row],[Loyalty_Level]])</f>
        <v>Silver</v>
      </c>
    </row>
    <row r="339" spans="1:10" x14ac:dyDescent="0.35">
      <c r="A339" s="6" t="s">
        <v>1056</v>
      </c>
      <c r="B339" s="1" t="s">
        <v>1057</v>
      </c>
      <c r="C339" s="1" t="str">
        <f>TRIM(Customer_Data_[[#This Row],[Name]])</f>
        <v>Carol Lewis</v>
      </c>
      <c r="D339" s="1" t="str">
        <f>PROPER(Customer_Data_[[#This Row],[Name 1]])</f>
        <v>Carol Lewis</v>
      </c>
      <c r="E339" s="1">
        <v>40</v>
      </c>
      <c r="F339" s="1" t="s">
        <v>14</v>
      </c>
      <c r="G339" s="1" t="s">
        <v>1058</v>
      </c>
      <c r="H339" s="1" t="s">
        <v>10</v>
      </c>
      <c r="I339" s="7" t="s">
        <v>24</v>
      </c>
      <c r="J339" s="1" t="str">
        <f>IF(ISBLANK(Customer_Data_[[#This Row],[Loyalty_Level]]),"Silver",Customer_Data_[[#This Row],[Loyalty_Level]])</f>
        <v>Bronze</v>
      </c>
    </row>
    <row r="340" spans="1:10" x14ac:dyDescent="0.35">
      <c r="A340" s="6" t="s">
        <v>1059</v>
      </c>
      <c r="B340" s="1" t="s">
        <v>1060</v>
      </c>
      <c r="C340" s="1" t="str">
        <f>TRIM(Customer_Data_[[#This Row],[Name]])</f>
        <v>Jasmine Snyder</v>
      </c>
      <c r="D340" s="1" t="str">
        <f>PROPER(Customer_Data_[[#This Row],[Name 1]])</f>
        <v>Jasmine Snyder</v>
      </c>
      <c r="E340" s="1">
        <v>46</v>
      </c>
      <c r="F340" s="1" t="s">
        <v>14</v>
      </c>
      <c r="G340" s="1" t="s">
        <v>1061</v>
      </c>
      <c r="H340" s="1" t="s">
        <v>165</v>
      </c>
      <c r="I340" s="7" t="s">
        <v>29</v>
      </c>
      <c r="J340" s="1" t="str">
        <f>IF(ISBLANK(Customer_Data_[[#This Row],[Loyalty_Level]]),"Silver",Customer_Data_[[#This Row],[Loyalty_Level]])</f>
        <v>Silver</v>
      </c>
    </row>
    <row r="341" spans="1:10" x14ac:dyDescent="0.35">
      <c r="A341" s="6" t="s">
        <v>1062</v>
      </c>
      <c r="B341" s="1" t="s">
        <v>1063</v>
      </c>
      <c r="C341" s="1" t="str">
        <f>TRIM(Customer_Data_[[#This Row],[Name]])</f>
        <v>Mrs. Susan Buckley</v>
      </c>
      <c r="D341" s="1" t="str">
        <f>PROPER(Customer_Data_[[#This Row],[Name 1]])</f>
        <v>Mrs. Susan Buckley</v>
      </c>
      <c r="E341" s="1">
        <v>52</v>
      </c>
      <c r="F341" s="1" t="s">
        <v>14</v>
      </c>
      <c r="G341" s="1" t="s">
        <v>1064</v>
      </c>
      <c r="H341" s="1" t="s">
        <v>131</v>
      </c>
      <c r="I341" s="7" t="s">
        <v>17</v>
      </c>
      <c r="J341" s="1" t="str">
        <f>IF(ISBLANK(Customer_Data_[[#This Row],[Loyalty_Level]]),"Silver",Customer_Data_[[#This Row],[Loyalty_Level]])</f>
        <v>Platinum</v>
      </c>
    </row>
    <row r="342" spans="1:10" x14ac:dyDescent="0.35">
      <c r="A342" s="6" t="s">
        <v>1065</v>
      </c>
      <c r="B342" s="1" t="s">
        <v>1066</v>
      </c>
      <c r="C342" s="1" t="str">
        <f>TRIM(Customer_Data_[[#This Row],[Name]])</f>
        <v>Eric Davis</v>
      </c>
      <c r="D342" s="1" t="str">
        <f>PROPER(Customer_Data_[[#This Row],[Name 1]])</f>
        <v>Eric Davis</v>
      </c>
      <c r="E342" s="1">
        <v>27</v>
      </c>
      <c r="F342" s="1" t="s">
        <v>8</v>
      </c>
      <c r="G342" s="1" t="s">
        <v>1067</v>
      </c>
      <c r="H342" s="1" t="s">
        <v>271</v>
      </c>
      <c r="I342" s="7" t="s">
        <v>24</v>
      </c>
      <c r="J342" s="1" t="str">
        <f>IF(ISBLANK(Customer_Data_[[#This Row],[Loyalty_Level]]),"Silver",Customer_Data_[[#This Row],[Loyalty_Level]])</f>
        <v>Bronze</v>
      </c>
    </row>
    <row r="343" spans="1:10" x14ac:dyDescent="0.35">
      <c r="A343" s="6" t="s">
        <v>1068</v>
      </c>
      <c r="B343" s="1" t="s">
        <v>1069</v>
      </c>
      <c r="C343" s="1" t="str">
        <f>TRIM(Customer_Data_[[#This Row],[Name]])</f>
        <v>Angela Williams</v>
      </c>
      <c r="D343" s="1" t="str">
        <f>PROPER(Customer_Data_[[#This Row],[Name 1]])</f>
        <v>Angela Williams</v>
      </c>
      <c r="E343" s="1">
        <v>56</v>
      </c>
      <c r="F343" s="1" t="s">
        <v>14</v>
      </c>
      <c r="G343" s="1" t="s">
        <v>1070</v>
      </c>
      <c r="H343" s="1" t="s">
        <v>191</v>
      </c>
      <c r="I343" s="7" t="s">
        <v>24</v>
      </c>
      <c r="J343" s="1" t="str">
        <f>IF(ISBLANK(Customer_Data_[[#This Row],[Loyalty_Level]]),"Silver",Customer_Data_[[#This Row],[Loyalty_Level]])</f>
        <v>Bronze</v>
      </c>
    </row>
    <row r="344" spans="1:10" x14ac:dyDescent="0.35">
      <c r="A344" s="6" t="s">
        <v>1071</v>
      </c>
      <c r="B344" s="1" t="s">
        <v>1072</v>
      </c>
      <c r="C344" s="1" t="str">
        <f>TRIM(Customer_Data_[[#This Row],[Name]])</f>
        <v>Michelle Cunningham</v>
      </c>
      <c r="D344" s="1" t="str">
        <f>PROPER(Customer_Data_[[#This Row],[Name 1]])</f>
        <v>Michelle Cunningham</v>
      </c>
      <c r="E344" s="1">
        <v>30</v>
      </c>
      <c r="F344" s="1" t="s">
        <v>14</v>
      </c>
      <c r="G344" s="1" t="s">
        <v>1073</v>
      </c>
      <c r="H344" s="1" t="s">
        <v>165</v>
      </c>
      <c r="I344" s="7" t="s">
        <v>24</v>
      </c>
      <c r="J344" s="1" t="str">
        <f>IF(ISBLANK(Customer_Data_[[#This Row],[Loyalty_Level]]),"Silver",Customer_Data_[[#This Row],[Loyalty_Level]])</f>
        <v>Bronze</v>
      </c>
    </row>
    <row r="345" spans="1:10" x14ac:dyDescent="0.35">
      <c r="A345" s="6" t="s">
        <v>1074</v>
      </c>
      <c r="B345" s="1" t="s">
        <v>1075</v>
      </c>
      <c r="C345" s="1" t="str">
        <f>TRIM(Customer_Data_[[#This Row],[Name]])</f>
        <v>Ryan Moore</v>
      </c>
      <c r="D345" s="1" t="str">
        <f>PROPER(Customer_Data_[[#This Row],[Name 1]])</f>
        <v>Ryan Moore</v>
      </c>
      <c r="E345" s="1">
        <v>38</v>
      </c>
      <c r="F345" s="1" t="s">
        <v>8</v>
      </c>
      <c r="G345" s="1" t="s">
        <v>1076</v>
      </c>
      <c r="H345" s="1" t="s">
        <v>284</v>
      </c>
      <c r="I345" s="7" t="s">
        <v>24</v>
      </c>
      <c r="J345" s="1" t="str">
        <f>IF(ISBLANK(Customer_Data_[[#This Row],[Loyalty_Level]]),"Silver",Customer_Data_[[#This Row],[Loyalty_Level]])</f>
        <v>Bronze</v>
      </c>
    </row>
    <row r="346" spans="1:10" x14ac:dyDescent="0.35">
      <c r="A346" s="6" t="s">
        <v>1077</v>
      </c>
      <c r="B346" s="1" t="s">
        <v>1078</v>
      </c>
      <c r="C346" s="1" t="str">
        <f>TRIM(Customer_Data_[[#This Row],[Name]])</f>
        <v>Evelyn Brown</v>
      </c>
      <c r="D346" s="1" t="str">
        <f>PROPER(Customer_Data_[[#This Row],[Name 1]])</f>
        <v>Evelyn Brown</v>
      </c>
      <c r="E346" s="1">
        <v>39</v>
      </c>
      <c r="F346" s="1" t="s">
        <v>8</v>
      </c>
      <c r="G346" s="1" t="s">
        <v>1079</v>
      </c>
      <c r="H346" s="1" t="s">
        <v>230</v>
      </c>
      <c r="I346" s="7" t="s">
        <v>11</v>
      </c>
      <c r="J346" s="1" t="str">
        <f>IF(ISBLANK(Customer_Data_[[#This Row],[Loyalty_Level]]),"Silver",Customer_Data_[[#This Row],[Loyalty_Level]])</f>
        <v>Gold</v>
      </c>
    </row>
    <row r="347" spans="1:10" x14ac:dyDescent="0.35">
      <c r="A347" s="6" t="s">
        <v>1080</v>
      </c>
      <c r="B347" s="1" t="s">
        <v>1081</v>
      </c>
      <c r="C347" s="1" t="str">
        <f>TRIM(Customer_Data_[[#This Row],[Name]])</f>
        <v>Daniel Nelson</v>
      </c>
      <c r="D347" s="1" t="str">
        <f>PROPER(Customer_Data_[[#This Row],[Name 1]])</f>
        <v>Daniel Nelson</v>
      </c>
      <c r="E347" s="1">
        <v>33</v>
      </c>
      <c r="F347" s="1" t="s">
        <v>8</v>
      </c>
      <c r="G347" s="1" t="s">
        <v>1082</v>
      </c>
      <c r="H347" s="1" t="s">
        <v>94</v>
      </c>
      <c r="I347" s="7" t="s">
        <v>24</v>
      </c>
      <c r="J347" s="1" t="str">
        <f>IF(ISBLANK(Customer_Data_[[#This Row],[Loyalty_Level]]),"Silver",Customer_Data_[[#This Row],[Loyalty_Level]])</f>
        <v>Bronze</v>
      </c>
    </row>
    <row r="348" spans="1:10" x14ac:dyDescent="0.35">
      <c r="A348" s="6" t="s">
        <v>1083</v>
      </c>
      <c r="B348" s="1" t="s">
        <v>1084</v>
      </c>
      <c r="C348" s="1" t="str">
        <f>TRIM(Customer_Data_[[#This Row],[Name]])</f>
        <v>John Jordan</v>
      </c>
      <c r="D348" s="1" t="str">
        <f>PROPER(Customer_Data_[[#This Row],[Name 1]])</f>
        <v>John Jordan</v>
      </c>
      <c r="E348" s="1">
        <v>58</v>
      </c>
      <c r="F348" s="1" t="s">
        <v>14</v>
      </c>
      <c r="G348" s="1" t="s">
        <v>1085</v>
      </c>
      <c r="H348" s="1" t="s">
        <v>234</v>
      </c>
      <c r="I348" s="7" t="s">
        <v>17</v>
      </c>
      <c r="J348" s="1" t="str">
        <f>IF(ISBLANK(Customer_Data_[[#This Row],[Loyalty_Level]]),"Silver",Customer_Data_[[#This Row],[Loyalty_Level]])</f>
        <v>Platinum</v>
      </c>
    </row>
    <row r="349" spans="1:10" x14ac:dyDescent="0.35">
      <c r="A349" s="6" t="s">
        <v>1086</v>
      </c>
      <c r="B349" s="1" t="s">
        <v>1087</v>
      </c>
      <c r="C349" s="1" t="str">
        <f>TRIM(Customer_Data_[[#This Row],[Name]])</f>
        <v>Justin Mason DDS</v>
      </c>
      <c r="D349" s="1" t="str">
        <f>PROPER(Customer_Data_[[#This Row],[Name 1]])</f>
        <v>Justin Mason Dds</v>
      </c>
      <c r="E349" s="1">
        <v>39</v>
      </c>
      <c r="F349" s="1" t="s">
        <v>14</v>
      </c>
      <c r="G349" s="1" t="s">
        <v>1088</v>
      </c>
      <c r="H349" s="1" t="s">
        <v>165</v>
      </c>
      <c r="I349" s="7" t="s">
        <v>11</v>
      </c>
      <c r="J349" s="1" t="str">
        <f>IF(ISBLANK(Customer_Data_[[#This Row],[Loyalty_Level]]),"Silver",Customer_Data_[[#This Row],[Loyalty_Level]])</f>
        <v>Gold</v>
      </c>
    </row>
    <row r="350" spans="1:10" x14ac:dyDescent="0.35">
      <c r="A350" s="6" t="s">
        <v>1089</v>
      </c>
      <c r="B350" s="1" t="s">
        <v>1090</v>
      </c>
      <c r="C350" s="1" t="str">
        <f>TRIM(Customer_Data_[[#This Row],[Name]])</f>
        <v>Sherry Cabrera</v>
      </c>
      <c r="D350" s="1" t="str">
        <f>PROPER(Customer_Data_[[#This Row],[Name 1]])</f>
        <v>Sherry Cabrera</v>
      </c>
      <c r="E350" s="1">
        <v>55</v>
      </c>
      <c r="F350" s="1" t="s">
        <v>8</v>
      </c>
      <c r="G350" s="1" t="s">
        <v>1091</v>
      </c>
      <c r="H350" s="1" t="s">
        <v>49</v>
      </c>
      <c r="I350" s="7" t="s">
        <v>29</v>
      </c>
      <c r="J350" s="1" t="str">
        <f>IF(ISBLANK(Customer_Data_[[#This Row],[Loyalty_Level]]),"Silver",Customer_Data_[[#This Row],[Loyalty_Level]])</f>
        <v>Silver</v>
      </c>
    </row>
    <row r="351" spans="1:10" x14ac:dyDescent="0.35">
      <c r="A351" s="6" t="s">
        <v>1092</v>
      </c>
      <c r="B351" s="1" t="s">
        <v>1093</v>
      </c>
      <c r="C351" s="1" t="str">
        <f>TRIM(Customer_Data_[[#This Row],[Name]])</f>
        <v>Heather Valenzuela</v>
      </c>
      <c r="D351" s="1" t="str">
        <f>PROPER(Customer_Data_[[#This Row],[Name 1]])</f>
        <v>Heather Valenzuela</v>
      </c>
      <c r="E351" s="1">
        <v>31</v>
      </c>
      <c r="F351" s="1" t="s">
        <v>8</v>
      </c>
      <c r="G351" s="1" t="s">
        <v>1094</v>
      </c>
      <c r="H351" s="1" t="s">
        <v>161</v>
      </c>
      <c r="I351" s="7" t="s">
        <v>24</v>
      </c>
      <c r="J351" s="1" t="str">
        <f>IF(ISBLANK(Customer_Data_[[#This Row],[Loyalty_Level]]),"Silver",Customer_Data_[[#This Row],[Loyalty_Level]])</f>
        <v>Bronze</v>
      </c>
    </row>
    <row r="352" spans="1:10" x14ac:dyDescent="0.35">
      <c r="A352" s="6" t="s">
        <v>1095</v>
      </c>
      <c r="B352" s="1" t="s">
        <v>1096</v>
      </c>
      <c r="C352" s="1" t="str">
        <f>TRIM(Customer_Data_[[#This Row],[Name]])</f>
        <v>Charles Miller</v>
      </c>
      <c r="D352" s="1" t="str">
        <f>PROPER(Customer_Data_[[#This Row],[Name 1]])</f>
        <v>Charles Miller</v>
      </c>
      <c r="E352" s="1">
        <v>26</v>
      </c>
      <c r="F352" s="1" t="s">
        <v>8</v>
      </c>
      <c r="G352" s="1" t="s">
        <v>1097</v>
      </c>
      <c r="H352" s="1" t="s">
        <v>264</v>
      </c>
      <c r="I352" s="7" t="s">
        <v>29</v>
      </c>
      <c r="J352" s="1" t="str">
        <f>IF(ISBLANK(Customer_Data_[[#This Row],[Loyalty_Level]]),"Silver",Customer_Data_[[#This Row],[Loyalty_Level]])</f>
        <v>Silver</v>
      </c>
    </row>
    <row r="353" spans="1:10" x14ac:dyDescent="0.35">
      <c r="A353" s="6" t="s">
        <v>1098</v>
      </c>
      <c r="B353" s="1" t="s">
        <v>1099</v>
      </c>
      <c r="C353" s="1" t="str">
        <f>TRIM(Customer_Data_[[#This Row],[Name]])</f>
        <v>Jeffrey Mccarthy</v>
      </c>
      <c r="D353" s="1" t="str">
        <f>PROPER(Customer_Data_[[#This Row],[Name 1]])</f>
        <v>Jeffrey Mccarthy</v>
      </c>
      <c r="E353" s="1">
        <v>25</v>
      </c>
      <c r="F353" s="1" t="s">
        <v>14</v>
      </c>
      <c r="G353" s="1" t="s">
        <v>1100</v>
      </c>
      <c r="H353" s="1" t="s">
        <v>68</v>
      </c>
      <c r="I353" s="7" t="s">
        <v>24</v>
      </c>
      <c r="J353" s="1" t="str">
        <f>IF(ISBLANK(Customer_Data_[[#This Row],[Loyalty_Level]]),"Silver",Customer_Data_[[#This Row],[Loyalty_Level]])</f>
        <v>Bronze</v>
      </c>
    </row>
    <row r="354" spans="1:10" x14ac:dyDescent="0.35">
      <c r="A354" s="6" t="s">
        <v>1101</v>
      </c>
      <c r="B354" s="1" t="s">
        <v>1102</v>
      </c>
      <c r="C354" s="1" t="str">
        <f>TRIM(Customer_Data_[[#This Row],[Name]])</f>
        <v>Michael Greene</v>
      </c>
      <c r="D354" s="1" t="str">
        <f>PROPER(Customer_Data_[[#This Row],[Name 1]])</f>
        <v>Michael Greene</v>
      </c>
      <c r="E354" s="1">
        <v>52</v>
      </c>
      <c r="F354" s="1" t="s">
        <v>14</v>
      </c>
      <c r="G354" s="1" t="s">
        <v>1103</v>
      </c>
      <c r="H354" s="1" t="s">
        <v>321</v>
      </c>
      <c r="I354" s="7" t="s">
        <v>29</v>
      </c>
      <c r="J354" s="1" t="str">
        <f>IF(ISBLANK(Customer_Data_[[#This Row],[Loyalty_Level]]),"Silver",Customer_Data_[[#This Row],[Loyalty_Level]])</f>
        <v>Silver</v>
      </c>
    </row>
    <row r="355" spans="1:10" x14ac:dyDescent="0.35">
      <c r="A355" s="6" t="s">
        <v>1104</v>
      </c>
      <c r="B355" s="1" t="s">
        <v>2316</v>
      </c>
      <c r="C355" s="1" t="str">
        <f>TRIM(Customer_Data_[[#This Row],[Name]])</f>
        <v>laura green</v>
      </c>
      <c r="D355" s="1" t="str">
        <f>PROPER(Customer_Data_[[#This Row],[Name 1]])</f>
        <v>Laura Green</v>
      </c>
      <c r="E355" s="1">
        <v>56</v>
      </c>
      <c r="F355" s="1" t="s">
        <v>14</v>
      </c>
      <c r="G355" s="1" t="s">
        <v>1105</v>
      </c>
      <c r="H355" s="1" t="s">
        <v>33</v>
      </c>
      <c r="I355" s="7" t="s">
        <v>17</v>
      </c>
      <c r="J355" s="1" t="str">
        <f>IF(ISBLANK(Customer_Data_[[#This Row],[Loyalty_Level]]),"Silver",Customer_Data_[[#This Row],[Loyalty_Level]])</f>
        <v>Platinum</v>
      </c>
    </row>
    <row r="356" spans="1:10" x14ac:dyDescent="0.35">
      <c r="A356" s="6" t="s">
        <v>1106</v>
      </c>
      <c r="B356" s="1" t="s">
        <v>1107</v>
      </c>
      <c r="C356" s="1" t="str">
        <f>TRIM(Customer_Data_[[#This Row],[Name]])</f>
        <v>Ryan Torres</v>
      </c>
      <c r="D356" s="1" t="str">
        <f>PROPER(Customer_Data_[[#This Row],[Name 1]])</f>
        <v>Ryan Torres</v>
      </c>
      <c r="E356" s="1">
        <v>38</v>
      </c>
      <c r="F356" s="1" t="s">
        <v>8</v>
      </c>
      <c r="G356" s="1" t="s">
        <v>1108</v>
      </c>
      <c r="H356" s="1" t="s">
        <v>165</v>
      </c>
      <c r="I356" s="7" t="s">
        <v>29</v>
      </c>
      <c r="J356" s="1" t="str">
        <f>IF(ISBLANK(Customer_Data_[[#This Row],[Loyalty_Level]]),"Silver",Customer_Data_[[#This Row],[Loyalty_Level]])</f>
        <v>Silver</v>
      </c>
    </row>
    <row r="357" spans="1:10" x14ac:dyDescent="0.35">
      <c r="A357" s="6" t="s">
        <v>1109</v>
      </c>
      <c r="B357" s="1" t="s">
        <v>1110</v>
      </c>
      <c r="C357" s="1" t="str">
        <f>TRIM(Customer_Data_[[#This Row],[Name]])</f>
        <v>Carlos Flores</v>
      </c>
      <c r="D357" s="1" t="str">
        <f>PROPER(Customer_Data_[[#This Row],[Name 1]])</f>
        <v>Carlos Flores</v>
      </c>
      <c r="E357" s="1">
        <v>20</v>
      </c>
      <c r="F357" s="1" t="s">
        <v>8</v>
      </c>
      <c r="G357" s="1" t="s">
        <v>1111</v>
      </c>
      <c r="H357" s="1" t="s">
        <v>72</v>
      </c>
      <c r="I357" s="7" t="s">
        <v>11</v>
      </c>
      <c r="J357" s="1" t="str">
        <f>IF(ISBLANK(Customer_Data_[[#This Row],[Loyalty_Level]]),"Silver",Customer_Data_[[#This Row],[Loyalty_Level]])</f>
        <v>Gold</v>
      </c>
    </row>
    <row r="358" spans="1:10" x14ac:dyDescent="0.35">
      <c r="A358" s="6" t="s">
        <v>1112</v>
      </c>
      <c r="B358" s="1" t="s">
        <v>1113</v>
      </c>
      <c r="C358" s="1" t="str">
        <f>TRIM(Customer_Data_[[#This Row],[Name]])</f>
        <v>Steve Hunt</v>
      </c>
      <c r="D358" s="1" t="str">
        <f>PROPER(Customer_Data_[[#This Row],[Name 1]])</f>
        <v>Steve Hunt</v>
      </c>
      <c r="E358" s="1">
        <v>54</v>
      </c>
      <c r="F358" s="1" t="s">
        <v>8</v>
      </c>
      <c r="G358" s="1" t="s">
        <v>1114</v>
      </c>
      <c r="H358" s="1" t="s">
        <v>284</v>
      </c>
      <c r="I358" s="7" t="s">
        <v>24</v>
      </c>
      <c r="J358" s="1" t="str">
        <f>IF(ISBLANK(Customer_Data_[[#This Row],[Loyalty_Level]]),"Silver",Customer_Data_[[#This Row],[Loyalty_Level]])</f>
        <v>Bronze</v>
      </c>
    </row>
    <row r="359" spans="1:10" x14ac:dyDescent="0.35">
      <c r="A359" s="6" t="s">
        <v>1115</v>
      </c>
      <c r="B359" s="1" t="s">
        <v>1116</v>
      </c>
      <c r="C359" s="1" t="str">
        <f>TRIM(Customer_Data_[[#This Row],[Name]])</f>
        <v>Manuel Castillo</v>
      </c>
      <c r="D359" s="1" t="str">
        <f>PROPER(Customer_Data_[[#This Row],[Name 1]])</f>
        <v>Manuel Castillo</v>
      </c>
      <c r="E359" s="1">
        <v>41</v>
      </c>
      <c r="F359" s="1" t="s">
        <v>8</v>
      </c>
      <c r="G359" s="1" t="s">
        <v>1117</v>
      </c>
      <c r="H359" s="1" t="s">
        <v>234</v>
      </c>
      <c r="I359" s="7" t="s">
        <v>11</v>
      </c>
      <c r="J359" s="1" t="str">
        <f>IF(ISBLANK(Customer_Data_[[#This Row],[Loyalty_Level]]),"Silver",Customer_Data_[[#This Row],[Loyalty_Level]])</f>
        <v>Gold</v>
      </c>
    </row>
    <row r="360" spans="1:10" x14ac:dyDescent="0.35">
      <c r="A360" s="6" t="s">
        <v>1118</v>
      </c>
      <c r="B360" s="1" t="s">
        <v>1119</v>
      </c>
      <c r="C360" s="1" t="str">
        <f>TRIM(Customer_Data_[[#This Row],[Name]])</f>
        <v>Ashley Anderson</v>
      </c>
      <c r="D360" s="1" t="str">
        <f>PROPER(Customer_Data_[[#This Row],[Name 1]])</f>
        <v>Ashley Anderson</v>
      </c>
      <c r="E360" s="1">
        <v>60</v>
      </c>
      <c r="F360" s="1" t="s">
        <v>14</v>
      </c>
      <c r="G360" s="1" t="s">
        <v>1120</v>
      </c>
      <c r="H360" s="1" t="s">
        <v>310</v>
      </c>
      <c r="I360" s="7" t="s">
        <v>11</v>
      </c>
      <c r="J360" s="1" t="str">
        <f>IF(ISBLANK(Customer_Data_[[#This Row],[Loyalty_Level]]),"Silver",Customer_Data_[[#This Row],[Loyalty_Level]])</f>
        <v>Gold</v>
      </c>
    </row>
    <row r="361" spans="1:10" x14ac:dyDescent="0.35">
      <c r="A361" s="6" t="s">
        <v>1121</v>
      </c>
      <c r="B361" s="1" t="s">
        <v>1122</v>
      </c>
      <c r="C361" s="1" t="str">
        <f>TRIM(Customer_Data_[[#This Row],[Name]])</f>
        <v>Melanie Lam</v>
      </c>
      <c r="D361" s="1" t="str">
        <f>PROPER(Customer_Data_[[#This Row],[Name 1]])</f>
        <v>Melanie Lam</v>
      </c>
      <c r="E361" s="1">
        <v>32</v>
      </c>
      <c r="F361" s="1" t="s">
        <v>8</v>
      </c>
      <c r="G361" s="1" t="s">
        <v>1123</v>
      </c>
      <c r="H361" s="1" t="s">
        <v>60</v>
      </c>
      <c r="I361" s="7" t="s">
        <v>29</v>
      </c>
      <c r="J361" s="1" t="str">
        <f>IF(ISBLANK(Customer_Data_[[#This Row],[Loyalty_Level]]),"Silver",Customer_Data_[[#This Row],[Loyalty_Level]])</f>
        <v>Silver</v>
      </c>
    </row>
    <row r="362" spans="1:10" x14ac:dyDescent="0.35">
      <c r="A362" s="6" t="s">
        <v>1124</v>
      </c>
      <c r="B362" s="1" t="s">
        <v>1125</v>
      </c>
      <c r="C362" s="1" t="str">
        <f>TRIM(Customer_Data_[[#This Row],[Name]])</f>
        <v>Denise Tate</v>
      </c>
      <c r="D362" s="1" t="str">
        <f>PROPER(Customer_Data_[[#This Row],[Name 1]])</f>
        <v>Denise Tate</v>
      </c>
      <c r="E362" s="1">
        <v>34</v>
      </c>
      <c r="F362" s="1" t="s">
        <v>8</v>
      </c>
      <c r="G362" s="1" t="s">
        <v>1126</v>
      </c>
      <c r="H362" s="1" t="s">
        <v>288</v>
      </c>
      <c r="I362" s="7" t="s">
        <v>17</v>
      </c>
      <c r="J362" s="1" t="str">
        <f>IF(ISBLANK(Customer_Data_[[#This Row],[Loyalty_Level]]),"Silver",Customer_Data_[[#This Row],[Loyalty_Level]])</f>
        <v>Platinum</v>
      </c>
    </row>
    <row r="363" spans="1:10" x14ac:dyDescent="0.35">
      <c r="A363" s="6" t="s">
        <v>1127</v>
      </c>
      <c r="B363" s="1" t="s">
        <v>1128</v>
      </c>
      <c r="C363" s="1" t="str">
        <f>TRIM(Customer_Data_[[#This Row],[Name]])</f>
        <v>Natalie Johnson</v>
      </c>
      <c r="D363" s="1" t="str">
        <f>PROPER(Customer_Data_[[#This Row],[Name 1]])</f>
        <v>Natalie Johnson</v>
      </c>
      <c r="E363" s="1">
        <v>64</v>
      </c>
      <c r="F363" s="1" t="s">
        <v>8</v>
      </c>
      <c r="G363" s="1" t="s">
        <v>1129</v>
      </c>
      <c r="H363" s="1" t="s">
        <v>251</v>
      </c>
      <c r="I363" s="7" t="s">
        <v>17</v>
      </c>
      <c r="J363" s="1" t="str">
        <f>IF(ISBLANK(Customer_Data_[[#This Row],[Loyalty_Level]]),"Silver",Customer_Data_[[#This Row],[Loyalty_Level]])</f>
        <v>Platinum</v>
      </c>
    </row>
    <row r="364" spans="1:10" x14ac:dyDescent="0.35">
      <c r="A364" s="6" t="s">
        <v>1130</v>
      </c>
      <c r="B364" s="1" t="s">
        <v>1131</v>
      </c>
      <c r="C364" s="1" t="str">
        <f>TRIM(Customer_Data_[[#This Row],[Name]])</f>
        <v>Joshua Smith DVM</v>
      </c>
      <c r="D364" s="1" t="str">
        <f>PROPER(Customer_Data_[[#This Row],[Name 1]])</f>
        <v>Joshua Smith Dvm</v>
      </c>
      <c r="E364" s="1">
        <v>60</v>
      </c>
      <c r="F364" s="1" t="s">
        <v>8</v>
      </c>
      <c r="G364" s="1" t="s">
        <v>1132</v>
      </c>
      <c r="H364" s="1" t="s">
        <v>161</v>
      </c>
      <c r="I364" s="7" t="s">
        <v>11</v>
      </c>
      <c r="J364" s="1" t="str">
        <f>IF(ISBLANK(Customer_Data_[[#This Row],[Loyalty_Level]]),"Silver",Customer_Data_[[#This Row],[Loyalty_Level]])</f>
        <v>Gold</v>
      </c>
    </row>
    <row r="365" spans="1:10" x14ac:dyDescent="0.35">
      <c r="A365" s="6" t="s">
        <v>1133</v>
      </c>
      <c r="B365" s="1" t="s">
        <v>1134</v>
      </c>
      <c r="C365" s="1" t="str">
        <f>TRIM(Customer_Data_[[#This Row],[Name]])</f>
        <v>Elizabeth Smith</v>
      </c>
      <c r="D365" s="1" t="str">
        <f>PROPER(Customer_Data_[[#This Row],[Name 1]])</f>
        <v>Elizabeth Smith</v>
      </c>
      <c r="E365" s="1">
        <v>23</v>
      </c>
      <c r="F365" s="1" t="s">
        <v>8</v>
      </c>
      <c r="G365" s="1" t="s">
        <v>1135</v>
      </c>
      <c r="H365" s="1" t="s">
        <v>23</v>
      </c>
      <c r="I365" s="7" t="s">
        <v>24</v>
      </c>
      <c r="J365" s="1" t="str">
        <f>IF(ISBLANK(Customer_Data_[[#This Row],[Loyalty_Level]]),"Silver",Customer_Data_[[#This Row],[Loyalty_Level]])</f>
        <v>Bronze</v>
      </c>
    </row>
    <row r="366" spans="1:10" x14ac:dyDescent="0.35">
      <c r="A366" s="6" t="s">
        <v>1136</v>
      </c>
      <c r="B366" s="1" t="s">
        <v>1137</v>
      </c>
      <c r="C366" s="1" t="str">
        <f>TRIM(Customer_Data_[[#This Row],[Name]])</f>
        <v>Chloe Aguilar</v>
      </c>
      <c r="D366" s="1" t="str">
        <f>PROPER(Customer_Data_[[#This Row],[Name 1]])</f>
        <v>Chloe Aguilar</v>
      </c>
      <c r="E366" s="1">
        <v>58</v>
      </c>
      <c r="F366" s="1" t="s">
        <v>8</v>
      </c>
      <c r="G366" s="1" t="s">
        <v>1138</v>
      </c>
      <c r="H366" s="1" t="s">
        <v>131</v>
      </c>
      <c r="I366" s="7" t="s">
        <v>24</v>
      </c>
      <c r="J366" s="1" t="str">
        <f>IF(ISBLANK(Customer_Data_[[#This Row],[Loyalty_Level]]),"Silver",Customer_Data_[[#This Row],[Loyalty_Level]])</f>
        <v>Bronze</v>
      </c>
    </row>
    <row r="367" spans="1:10" x14ac:dyDescent="0.35">
      <c r="A367" s="6" t="s">
        <v>1139</v>
      </c>
      <c r="B367" s="1" t="s">
        <v>1140</v>
      </c>
      <c r="C367" s="1" t="str">
        <f>TRIM(Customer_Data_[[#This Row],[Name]])</f>
        <v>Brandon Mcbride</v>
      </c>
      <c r="D367" s="1" t="str">
        <f>PROPER(Customer_Data_[[#This Row],[Name 1]])</f>
        <v>Brandon Mcbride</v>
      </c>
      <c r="E367" s="1">
        <v>63</v>
      </c>
      <c r="F367" s="1" t="s">
        <v>14</v>
      </c>
      <c r="G367" s="1" t="s">
        <v>1141</v>
      </c>
      <c r="H367" s="1" t="s">
        <v>161</v>
      </c>
      <c r="I367" s="7" t="s">
        <v>17</v>
      </c>
      <c r="J367" s="1" t="str">
        <f>IF(ISBLANK(Customer_Data_[[#This Row],[Loyalty_Level]]),"Silver",Customer_Data_[[#This Row],[Loyalty_Level]])</f>
        <v>Platinum</v>
      </c>
    </row>
    <row r="368" spans="1:10" x14ac:dyDescent="0.35">
      <c r="A368" s="6" t="s">
        <v>1142</v>
      </c>
      <c r="B368" s="1" t="s">
        <v>1143</v>
      </c>
      <c r="C368" s="1" t="str">
        <f>TRIM(Customer_Data_[[#This Row],[Name]])</f>
        <v>Mallory Allen</v>
      </c>
      <c r="D368" s="1" t="str">
        <f>PROPER(Customer_Data_[[#This Row],[Name 1]])</f>
        <v>Mallory Allen</v>
      </c>
      <c r="E368" s="1">
        <v>40</v>
      </c>
      <c r="F368" s="1" t="s">
        <v>14</v>
      </c>
      <c r="G368" s="1" t="s">
        <v>1144</v>
      </c>
      <c r="H368" s="1" t="s">
        <v>20</v>
      </c>
      <c r="I368" s="7" t="s">
        <v>17</v>
      </c>
      <c r="J368" s="1" t="str">
        <f>IF(ISBLANK(Customer_Data_[[#This Row],[Loyalty_Level]]),"Silver",Customer_Data_[[#This Row],[Loyalty_Level]])</f>
        <v>Platinum</v>
      </c>
    </row>
    <row r="369" spans="1:10" x14ac:dyDescent="0.35">
      <c r="A369" s="6" t="s">
        <v>1145</v>
      </c>
      <c r="B369" s="1" t="s">
        <v>1146</v>
      </c>
      <c r="C369" s="1" t="str">
        <f>TRIM(Customer_Data_[[#This Row],[Name]])</f>
        <v>Melinda Johnson</v>
      </c>
      <c r="D369" s="1" t="str">
        <f>PROPER(Customer_Data_[[#This Row],[Name 1]])</f>
        <v>Melinda Johnson</v>
      </c>
      <c r="E369" s="1">
        <v>51</v>
      </c>
      <c r="F369" s="1" t="s">
        <v>8</v>
      </c>
      <c r="G369" s="1" t="s">
        <v>1147</v>
      </c>
      <c r="H369" s="1" t="s">
        <v>23</v>
      </c>
      <c r="I369" s="7" t="s">
        <v>24</v>
      </c>
      <c r="J369" s="1" t="str">
        <f>IF(ISBLANK(Customer_Data_[[#This Row],[Loyalty_Level]]),"Silver",Customer_Data_[[#This Row],[Loyalty_Level]])</f>
        <v>Bronze</v>
      </c>
    </row>
    <row r="370" spans="1:10" x14ac:dyDescent="0.35">
      <c r="A370" s="6" t="s">
        <v>1148</v>
      </c>
      <c r="B370" s="1" t="s">
        <v>1149</v>
      </c>
      <c r="C370" s="1" t="str">
        <f>TRIM(Customer_Data_[[#This Row],[Name]])</f>
        <v>Miranda King</v>
      </c>
      <c r="D370" s="1" t="str">
        <f>PROPER(Customer_Data_[[#This Row],[Name 1]])</f>
        <v>Miranda King</v>
      </c>
      <c r="E370" s="1">
        <v>34</v>
      </c>
      <c r="F370" s="1" t="s">
        <v>14</v>
      </c>
      <c r="G370" s="1" t="s">
        <v>1150</v>
      </c>
      <c r="H370" s="1" t="s">
        <v>56</v>
      </c>
      <c r="I370" s="7" t="s">
        <v>17</v>
      </c>
      <c r="J370" s="1" t="str">
        <f>IF(ISBLANK(Customer_Data_[[#This Row],[Loyalty_Level]]),"Silver",Customer_Data_[[#This Row],[Loyalty_Level]])</f>
        <v>Platinum</v>
      </c>
    </row>
    <row r="371" spans="1:10" x14ac:dyDescent="0.35">
      <c r="A371" s="6" t="s">
        <v>1151</v>
      </c>
      <c r="B371" s="1" t="s">
        <v>1152</v>
      </c>
      <c r="C371" s="1" t="str">
        <f>TRIM(Customer_Data_[[#This Row],[Name]])</f>
        <v>Gregory Allen</v>
      </c>
      <c r="D371" s="1" t="str">
        <f>PROPER(Customer_Data_[[#This Row],[Name 1]])</f>
        <v>Gregory Allen</v>
      </c>
      <c r="E371" s="1">
        <v>20</v>
      </c>
      <c r="F371" s="1" t="s">
        <v>14</v>
      </c>
      <c r="G371" s="1" t="s">
        <v>1153</v>
      </c>
      <c r="H371" s="1" t="s">
        <v>169</v>
      </c>
      <c r="I371" s="7" t="s">
        <v>17</v>
      </c>
      <c r="J371" s="1" t="str">
        <f>IF(ISBLANK(Customer_Data_[[#This Row],[Loyalty_Level]]),"Silver",Customer_Data_[[#This Row],[Loyalty_Level]])</f>
        <v>Platinum</v>
      </c>
    </row>
    <row r="372" spans="1:10" x14ac:dyDescent="0.35">
      <c r="A372" s="6" t="s">
        <v>1154</v>
      </c>
      <c r="B372" s="1" t="s">
        <v>2447</v>
      </c>
      <c r="C372" s="1" t="str">
        <f>TRIM(Customer_Data_[[#This Row],[Name]])</f>
        <v>James Holloway Jr</v>
      </c>
      <c r="D372" s="1" t="str">
        <f>PROPER(Customer_Data_[[#This Row],[Name 1]])</f>
        <v>James Holloway Jr</v>
      </c>
      <c r="E372" s="1">
        <v>45</v>
      </c>
      <c r="F372" s="1" t="s">
        <v>8</v>
      </c>
      <c r="G372" s="1" t="s">
        <v>1155</v>
      </c>
      <c r="H372" s="1" t="s">
        <v>251</v>
      </c>
      <c r="I372" s="7" t="s">
        <v>29</v>
      </c>
      <c r="J372" s="1" t="str">
        <f>IF(ISBLANK(Customer_Data_[[#This Row],[Loyalty_Level]]),"Silver",Customer_Data_[[#This Row],[Loyalty_Level]])</f>
        <v>Silver</v>
      </c>
    </row>
    <row r="373" spans="1:10" x14ac:dyDescent="0.35">
      <c r="A373" s="6" t="s">
        <v>1156</v>
      </c>
      <c r="B373" s="1" t="s">
        <v>1157</v>
      </c>
      <c r="C373" s="1" t="str">
        <f>TRIM(Customer_Data_[[#This Row],[Name]])</f>
        <v>Michael Garner</v>
      </c>
      <c r="D373" s="1" t="str">
        <f>PROPER(Customer_Data_[[#This Row],[Name 1]])</f>
        <v>Michael Garner</v>
      </c>
      <c r="E373" s="1">
        <v>21</v>
      </c>
      <c r="F373" s="1" t="s">
        <v>14</v>
      </c>
      <c r="G373" s="1" t="s">
        <v>1158</v>
      </c>
      <c r="H373" s="1" t="s">
        <v>45</v>
      </c>
      <c r="I373" s="7" t="s">
        <v>17</v>
      </c>
      <c r="J373" s="1" t="str">
        <f>IF(ISBLANK(Customer_Data_[[#This Row],[Loyalty_Level]]),"Silver",Customer_Data_[[#This Row],[Loyalty_Level]])</f>
        <v>Platinum</v>
      </c>
    </row>
    <row r="374" spans="1:10" x14ac:dyDescent="0.35">
      <c r="A374" s="6" t="s">
        <v>1159</v>
      </c>
      <c r="B374" s="1" t="s">
        <v>1160</v>
      </c>
      <c r="C374" s="1" t="str">
        <f>TRIM(Customer_Data_[[#This Row],[Name]])</f>
        <v>Jacqueline Anthony</v>
      </c>
      <c r="D374" s="1" t="str">
        <f>PROPER(Customer_Data_[[#This Row],[Name 1]])</f>
        <v>Jacqueline Anthony</v>
      </c>
      <c r="E374" s="1">
        <v>28</v>
      </c>
      <c r="F374" s="1" t="s">
        <v>8</v>
      </c>
      <c r="G374" s="1" t="s">
        <v>1161</v>
      </c>
      <c r="H374" s="1" t="s">
        <v>23</v>
      </c>
      <c r="I374" s="7" t="s">
        <v>24</v>
      </c>
      <c r="J374" s="1" t="str">
        <f>IF(ISBLANK(Customer_Data_[[#This Row],[Loyalty_Level]]),"Silver",Customer_Data_[[#This Row],[Loyalty_Level]])</f>
        <v>Bronze</v>
      </c>
    </row>
    <row r="375" spans="1:10" x14ac:dyDescent="0.35">
      <c r="A375" s="6" t="s">
        <v>1162</v>
      </c>
      <c r="B375" s="1" t="s">
        <v>1163</v>
      </c>
      <c r="C375" s="1" t="str">
        <f>TRIM(Customer_Data_[[#This Row],[Name]])</f>
        <v>James Orozco</v>
      </c>
      <c r="D375" s="1" t="str">
        <f>PROPER(Customer_Data_[[#This Row],[Name 1]])</f>
        <v>James Orozco</v>
      </c>
      <c r="E375" s="1">
        <v>37</v>
      </c>
      <c r="F375" s="1" t="s">
        <v>14</v>
      </c>
      <c r="G375" s="1" t="s">
        <v>1164</v>
      </c>
      <c r="H375" s="1" t="s">
        <v>431</v>
      </c>
      <c r="I375" s="7" t="s">
        <v>11</v>
      </c>
      <c r="J375" s="1" t="str">
        <f>IF(ISBLANK(Customer_Data_[[#This Row],[Loyalty_Level]]),"Silver",Customer_Data_[[#This Row],[Loyalty_Level]])</f>
        <v>Gold</v>
      </c>
    </row>
    <row r="376" spans="1:10" x14ac:dyDescent="0.35">
      <c r="A376" s="6" t="s">
        <v>1165</v>
      </c>
      <c r="B376" s="1" t="s">
        <v>1166</v>
      </c>
      <c r="C376" s="1" t="str">
        <f>TRIM(Customer_Data_[[#This Row],[Name]])</f>
        <v>Emma Wilson</v>
      </c>
      <c r="D376" s="1" t="str">
        <f>PROPER(Customer_Data_[[#This Row],[Name 1]])</f>
        <v>Emma Wilson</v>
      </c>
      <c r="E376" s="1">
        <v>60</v>
      </c>
      <c r="F376" s="1" t="s">
        <v>8</v>
      </c>
      <c r="G376" s="1" t="s">
        <v>1167</v>
      </c>
      <c r="H376" s="1" t="s">
        <v>97</v>
      </c>
      <c r="I376" s="7" t="s">
        <v>17</v>
      </c>
      <c r="J376" s="1" t="str">
        <f>IF(ISBLANK(Customer_Data_[[#This Row],[Loyalty_Level]]),"Silver",Customer_Data_[[#This Row],[Loyalty_Level]])</f>
        <v>Platinum</v>
      </c>
    </row>
    <row r="377" spans="1:10" x14ac:dyDescent="0.35">
      <c r="A377" s="6" t="s">
        <v>1168</v>
      </c>
      <c r="B377" s="1" t="s">
        <v>1169</v>
      </c>
      <c r="C377" s="1" t="str">
        <f>TRIM(Customer_Data_[[#This Row],[Name]])</f>
        <v>Joshua Bell</v>
      </c>
      <c r="D377" s="1" t="str">
        <f>PROPER(Customer_Data_[[#This Row],[Name 1]])</f>
        <v>Joshua Bell</v>
      </c>
      <c r="E377" s="1">
        <v>26</v>
      </c>
      <c r="F377" s="1" t="s">
        <v>8</v>
      </c>
      <c r="G377" s="1" t="s">
        <v>1170</v>
      </c>
      <c r="H377" s="1" t="s">
        <v>198</v>
      </c>
      <c r="I377" s="7" t="s">
        <v>17</v>
      </c>
      <c r="J377" s="1" t="str">
        <f>IF(ISBLANK(Customer_Data_[[#This Row],[Loyalty_Level]]),"Silver",Customer_Data_[[#This Row],[Loyalty_Level]])</f>
        <v>Platinum</v>
      </c>
    </row>
    <row r="378" spans="1:10" x14ac:dyDescent="0.35">
      <c r="A378" s="6" t="s">
        <v>1171</v>
      </c>
      <c r="B378" s="1" t="s">
        <v>1172</v>
      </c>
      <c r="C378" s="1" t="str">
        <f>TRIM(Customer_Data_[[#This Row],[Name]])</f>
        <v>Michele Burke</v>
      </c>
      <c r="D378" s="1" t="str">
        <f>PROPER(Customer_Data_[[#This Row],[Name 1]])</f>
        <v>Michele Burke</v>
      </c>
      <c r="E378" s="1">
        <v>30</v>
      </c>
      <c r="F378" s="1" t="s">
        <v>8</v>
      </c>
      <c r="G378" s="1" t="s">
        <v>1173</v>
      </c>
      <c r="H378" s="1" t="s">
        <v>165</v>
      </c>
      <c r="I378" s="7" t="s">
        <v>24</v>
      </c>
      <c r="J378" s="1" t="str">
        <f>IF(ISBLANK(Customer_Data_[[#This Row],[Loyalty_Level]]),"Silver",Customer_Data_[[#This Row],[Loyalty_Level]])</f>
        <v>Bronze</v>
      </c>
    </row>
    <row r="379" spans="1:10" x14ac:dyDescent="0.35">
      <c r="A379" s="6" t="s">
        <v>1174</v>
      </c>
      <c r="B379" s="1" t="s">
        <v>1175</v>
      </c>
      <c r="C379" s="1" t="str">
        <f>TRIM(Customer_Data_[[#This Row],[Name]])</f>
        <v>Charles Conley</v>
      </c>
      <c r="D379" s="1" t="str">
        <f>PROPER(Customer_Data_[[#This Row],[Name 1]])</f>
        <v>Charles Conley</v>
      </c>
      <c r="E379" s="1">
        <v>39</v>
      </c>
      <c r="F379" s="1" t="s">
        <v>14</v>
      </c>
      <c r="G379" s="1" t="s">
        <v>1176</v>
      </c>
      <c r="H379" s="1" t="s">
        <v>431</v>
      </c>
      <c r="I379" s="7" t="s">
        <v>11</v>
      </c>
      <c r="J379" s="1" t="str">
        <f>IF(ISBLANK(Customer_Data_[[#This Row],[Loyalty_Level]]),"Silver",Customer_Data_[[#This Row],[Loyalty_Level]])</f>
        <v>Gold</v>
      </c>
    </row>
    <row r="380" spans="1:10" x14ac:dyDescent="0.35">
      <c r="A380" s="6" t="s">
        <v>1177</v>
      </c>
      <c r="B380" s="1" t="s">
        <v>1178</v>
      </c>
      <c r="C380" s="1" t="str">
        <f>TRIM(Customer_Data_[[#This Row],[Name]])</f>
        <v>Frank Stewart</v>
      </c>
      <c r="D380" s="1" t="str">
        <f>PROPER(Customer_Data_[[#This Row],[Name 1]])</f>
        <v>Frank Stewart</v>
      </c>
      <c r="E380" s="1">
        <v>44</v>
      </c>
      <c r="F380" s="1" t="s">
        <v>14</v>
      </c>
      <c r="G380" s="1" t="s">
        <v>1179</v>
      </c>
      <c r="H380" s="1" t="s">
        <v>90</v>
      </c>
      <c r="I380" s="7" t="s">
        <v>24</v>
      </c>
      <c r="J380" s="1" t="str">
        <f>IF(ISBLANK(Customer_Data_[[#This Row],[Loyalty_Level]]),"Silver",Customer_Data_[[#This Row],[Loyalty_Level]])</f>
        <v>Bronze</v>
      </c>
    </row>
    <row r="381" spans="1:10" x14ac:dyDescent="0.35">
      <c r="A381" s="6" t="s">
        <v>1180</v>
      </c>
      <c r="B381" s="1" t="s">
        <v>1181</v>
      </c>
      <c r="C381" s="1" t="str">
        <f>TRIM(Customer_Data_[[#This Row],[Name]])</f>
        <v>Tanya Lopez</v>
      </c>
      <c r="D381" s="1" t="str">
        <f>PROPER(Customer_Data_[[#This Row],[Name 1]])</f>
        <v>Tanya Lopez</v>
      </c>
      <c r="E381" s="1">
        <v>34</v>
      </c>
      <c r="F381" s="1" t="s">
        <v>14</v>
      </c>
      <c r="G381" s="1" t="s">
        <v>1182</v>
      </c>
      <c r="H381" s="1" t="s">
        <v>264</v>
      </c>
      <c r="I381" s="7" t="s">
        <v>11</v>
      </c>
      <c r="J381" s="1" t="str">
        <f>IF(ISBLANK(Customer_Data_[[#This Row],[Loyalty_Level]]),"Silver",Customer_Data_[[#This Row],[Loyalty_Level]])</f>
        <v>Gold</v>
      </c>
    </row>
    <row r="382" spans="1:10" x14ac:dyDescent="0.35">
      <c r="A382" s="6" t="s">
        <v>1183</v>
      </c>
      <c r="B382" s="1" t="s">
        <v>1184</v>
      </c>
      <c r="C382" s="1" t="str">
        <f>TRIM(Customer_Data_[[#This Row],[Name]])</f>
        <v>Shelley Ponce</v>
      </c>
      <c r="D382" s="1" t="str">
        <f>PROPER(Customer_Data_[[#This Row],[Name 1]])</f>
        <v>Shelley Ponce</v>
      </c>
      <c r="E382" s="1">
        <v>23</v>
      </c>
      <c r="F382" s="1" t="s">
        <v>8</v>
      </c>
      <c r="G382" s="1" t="s">
        <v>1185</v>
      </c>
      <c r="H382" s="1" t="s">
        <v>214</v>
      </c>
      <c r="I382" s="7" t="s">
        <v>11</v>
      </c>
      <c r="J382" s="1" t="str">
        <f>IF(ISBLANK(Customer_Data_[[#This Row],[Loyalty_Level]]),"Silver",Customer_Data_[[#This Row],[Loyalty_Level]])</f>
        <v>Gold</v>
      </c>
    </row>
    <row r="383" spans="1:10" x14ac:dyDescent="0.35">
      <c r="A383" s="6" t="s">
        <v>1186</v>
      </c>
      <c r="B383" s="1" t="s">
        <v>1187</v>
      </c>
      <c r="C383" s="1" t="str">
        <f>TRIM(Customer_Data_[[#This Row],[Name]])</f>
        <v>Erika Padilla</v>
      </c>
      <c r="D383" s="1" t="str">
        <f>PROPER(Customer_Data_[[#This Row],[Name 1]])</f>
        <v>Erika Padilla</v>
      </c>
      <c r="E383" s="1">
        <v>50</v>
      </c>
      <c r="F383" s="1" t="s">
        <v>8</v>
      </c>
      <c r="G383" s="1" t="s">
        <v>1188</v>
      </c>
      <c r="H383" s="1" t="s">
        <v>20</v>
      </c>
      <c r="I383" s="7" t="s">
        <v>29</v>
      </c>
      <c r="J383" s="1" t="str">
        <f>IF(ISBLANK(Customer_Data_[[#This Row],[Loyalty_Level]]),"Silver",Customer_Data_[[#This Row],[Loyalty_Level]])</f>
        <v>Silver</v>
      </c>
    </row>
    <row r="384" spans="1:10" x14ac:dyDescent="0.35">
      <c r="A384" s="6" t="s">
        <v>1189</v>
      </c>
      <c r="B384" s="1" t="s">
        <v>1190</v>
      </c>
      <c r="C384" s="1" t="str">
        <f>TRIM(Customer_Data_[[#This Row],[Name]])</f>
        <v>Martha Brown</v>
      </c>
      <c r="D384" s="1" t="str">
        <f>PROPER(Customer_Data_[[#This Row],[Name 1]])</f>
        <v>Martha Brown</v>
      </c>
      <c r="E384" s="1">
        <v>20</v>
      </c>
      <c r="F384" s="1" t="s">
        <v>14</v>
      </c>
      <c r="G384" s="1" t="s">
        <v>1191</v>
      </c>
      <c r="H384" s="1" t="s">
        <v>28</v>
      </c>
      <c r="I384" s="7" t="s">
        <v>11</v>
      </c>
      <c r="J384" s="1" t="str">
        <f>IF(ISBLANK(Customer_Data_[[#This Row],[Loyalty_Level]]),"Silver",Customer_Data_[[#This Row],[Loyalty_Level]])</f>
        <v>Gold</v>
      </c>
    </row>
    <row r="385" spans="1:10" x14ac:dyDescent="0.35">
      <c r="A385" s="6" t="s">
        <v>1192</v>
      </c>
      <c r="B385" s="1" t="s">
        <v>1193</v>
      </c>
      <c r="C385" s="1" t="str">
        <f>TRIM(Customer_Data_[[#This Row],[Name]])</f>
        <v>Kristine Higgins</v>
      </c>
      <c r="D385" s="1" t="str">
        <f>PROPER(Customer_Data_[[#This Row],[Name 1]])</f>
        <v>Kristine Higgins</v>
      </c>
      <c r="E385" s="1">
        <v>27</v>
      </c>
      <c r="F385" s="1" t="s">
        <v>14</v>
      </c>
      <c r="G385" s="1" t="s">
        <v>1194</v>
      </c>
      <c r="H385" s="1" t="s">
        <v>314</v>
      </c>
      <c r="I385" s="7" t="s">
        <v>29</v>
      </c>
      <c r="J385" s="1" t="str">
        <f>IF(ISBLANK(Customer_Data_[[#This Row],[Loyalty_Level]]),"Silver",Customer_Data_[[#This Row],[Loyalty_Level]])</f>
        <v>Silver</v>
      </c>
    </row>
    <row r="386" spans="1:10" x14ac:dyDescent="0.35">
      <c r="A386" s="6" t="s">
        <v>1195</v>
      </c>
      <c r="B386" s="1" t="s">
        <v>1196</v>
      </c>
      <c r="C386" s="1" t="str">
        <f>TRIM(Customer_Data_[[#This Row],[Name]])</f>
        <v>Andrew Mason</v>
      </c>
      <c r="D386" s="1" t="str">
        <f>PROPER(Customer_Data_[[#This Row],[Name 1]])</f>
        <v>Andrew Mason</v>
      </c>
      <c r="E386" s="1">
        <v>52</v>
      </c>
      <c r="F386" s="1" t="s">
        <v>14</v>
      </c>
      <c r="G386" s="1" t="s">
        <v>1197</v>
      </c>
      <c r="H386" s="1" t="s">
        <v>264</v>
      </c>
      <c r="I386" s="7" t="s">
        <v>24</v>
      </c>
      <c r="J386" s="1" t="str">
        <f>IF(ISBLANK(Customer_Data_[[#This Row],[Loyalty_Level]]),"Silver",Customer_Data_[[#This Row],[Loyalty_Level]])</f>
        <v>Bronze</v>
      </c>
    </row>
    <row r="387" spans="1:10" x14ac:dyDescent="0.35">
      <c r="A387" s="6" t="s">
        <v>1198</v>
      </c>
      <c r="B387" s="1" t="s">
        <v>1199</v>
      </c>
      <c r="C387" s="1" t="str">
        <f>TRIM(Customer_Data_[[#This Row],[Name]])</f>
        <v>Tammy Brennan</v>
      </c>
      <c r="D387" s="1" t="str">
        <f>PROPER(Customer_Data_[[#This Row],[Name 1]])</f>
        <v>Tammy Brennan</v>
      </c>
      <c r="E387" s="1">
        <v>60</v>
      </c>
      <c r="F387" s="1" t="s">
        <v>8</v>
      </c>
      <c r="G387" s="1" t="s">
        <v>1200</v>
      </c>
      <c r="H387" s="1" t="s">
        <v>314</v>
      </c>
      <c r="I387" s="7" t="s">
        <v>11</v>
      </c>
      <c r="J387" s="1" t="str">
        <f>IF(ISBLANK(Customer_Data_[[#This Row],[Loyalty_Level]]),"Silver",Customer_Data_[[#This Row],[Loyalty_Level]])</f>
        <v>Gold</v>
      </c>
    </row>
    <row r="388" spans="1:10" x14ac:dyDescent="0.35">
      <c r="A388" s="6" t="s">
        <v>1201</v>
      </c>
      <c r="B388" s="1" t="s">
        <v>1202</v>
      </c>
      <c r="C388" s="1" t="str">
        <f>TRIM(Customer_Data_[[#This Row],[Name]])</f>
        <v>Melanie Mitchell</v>
      </c>
      <c r="D388" s="1" t="str">
        <f>PROPER(Customer_Data_[[#This Row],[Name 1]])</f>
        <v>Melanie Mitchell</v>
      </c>
      <c r="E388" s="1">
        <v>18</v>
      </c>
      <c r="F388" s="1" t="s">
        <v>14</v>
      </c>
      <c r="G388" s="1" t="s">
        <v>1203</v>
      </c>
      <c r="H388" s="1" t="s">
        <v>138</v>
      </c>
      <c r="I388" s="7" t="s">
        <v>24</v>
      </c>
      <c r="J388" s="1" t="str">
        <f>IF(ISBLANK(Customer_Data_[[#This Row],[Loyalty_Level]]),"Silver",Customer_Data_[[#This Row],[Loyalty_Level]])</f>
        <v>Bronze</v>
      </c>
    </row>
    <row r="389" spans="1:10" x14ac:dyDescent="0.35">
      <c r="A389" s="6" t="s">
        <v>1204</v>
      </c>
      <c r="B389" s="1" t="s">
        <v>1205</v>
      </c>
      <c r="C389" s="1" t="str">
        <f>TRIM(Customer_Data_[[#This Row],[Name]])</f>
        <v>Timothy Gardner</v>
      </c>
      <c r="D389" s="1" t="str">
        <f>PROPER(Customer_Data_[[#This Row],[Name 1]])</f>
        <v>Timothy Gardner</v>
      </c>
      <c r="E389" s="1">
        <v>28</v>
      </c>
      <c r="F389" s="1" t="s">
        <v>14</v>
      </c>
      <c r="G389" s="1" t="s">
        <v>1206</v>
      </c>
      <c r="H389" s="1" t="s">
        <v>86</v>
      </c>
      <c r="I389" s="7" t="s">
        <v>29</v>
      </c>
      <c r="J389" s="1" t="str">
        <f>IF(ISBLANK(Customer_Data_[[#This Row],[Loyalty_Level]]),"Silver",Customer_Data_[[#This Row],[Loyalty_Level]])</f>
        <v>Silver</v>
      </c>
    </row>
    <row r="390" spans="1:10" x14ac:dyDescent="0.35">
      <c r="A390" s="6" t="s">
        <v>1207</v>
      </c>
      <c r="B390" s="1" t="s">
        <v>1208</v>
      </c>
      <c r="C390" s="1" t="str">
        <f>TRIM(Customer_Data_[[#This Row],[Name]])</f>
        <v>Timothy Valenzuela</v>
      </c>
      <c r="D390" s="1" t="str">
        <f>PROPER(Customer_Data_[[#This Row],[Name 1]])</f>
        <v>Timothy Valenzuela</v>
      </c>
      <c r="E390" s="1">
        <v>53</v>
      </c>
      <c r="F390" s="1" t="s">
        <v>8</v>
      </c>
      <c r="G390" s="1" t="s">
        <v>1209</v>
      </c>
      <c r="H390" s="1" t="s">
        <v>111</v>
      </c>
      <c r="I390" s="7" t="s">
        <v>17</v>
      </c>
      <c r="J390" s="1" t="str">
        <f>IF(ISBLANK(Customer_Data_[[#This Row],[Loyalty_Level]]),"Silver",Customer_Data_[[#This Row],[Loyalty_Level]])</f>
        <v>Platinum</v>
      </c>
    </row>
    <row r="391" spans="1:10" x14ac:dyDescent="0.35">
      <c r="A391" s="6" t="s">
        <v>1210</v>
      </c>
      <c r="B391" s="1" t="s">
        <v>1211</v>
      </c>
      <c r="C391" s="1" t="str">
        <f>TRIM(Customer_Data_[[#This Row],[Name]])</f>
        <v>Cynthia Lopez</v>
      </c>
      <c r="D391" s="1" t="str">
        <f>PROPER(Customer_Data_[[#This Row],[Name 1]])</f>
        <v>Cynthia Lopez</v>
      </c>
      <c r="E391" s="1">
        <v>50</v>
      </c>
      <c r="F391" s="1" t="s">
        <v>8</v>
      </c>
      <c r="G391" s="1" t="s">
        <v>1212</v>
      </c>
      <c r="H391" s="1" t="s">
        <v>68</v>
      </c>
      <c r="I391" s="7" t="s">
        <v>17</v>
      </c>
      <c r="J391" s="1" t="str">
        <f>IF(ISBLANK(Customer_Data_[[#This Row],[Loyalty_Level]]),"Silver",Customer_Data_[[#This Row],[Loyalty_Level]])</f>
        <v>Platinum</v>
      </c>
    </row>
    <row r="392" spans="1:10" x14ac:dyDescent="0.35">
      <c r="A392" s="6" t="s">
        <v>1213</v>
      </c>
      <c r="B392" s="1" t="s">
        <v>1214</v>
      </c>
      <c r="C392" s="1" t="str">
        <f>TRIM(Customer_Data_[[#This Row],[Name]])</f>
        <v>Daniel Bell</v>
      </c>
      <c r="D392" s="1" t="str">
        <f>PROPER(Customer_Data_[[#This Row],[Name 1]])</f>
        <v>Daniel Bell</v>
      </c>
      <c r="E392" s="1">
        <v>56</v>
      </c>
      <c r="F392" s="1" t="s">
        <v>8</v>
      </c>
      <c r="G392" s="1" t="s">
        <v>1215</v>
      </c>
      <c r="H392" s="1" t="s">
        <v>288</v>
      </c>
      <c r="I392" s="7" t="s">
        <v>29</v>
      </c>
      <c r="J392" s="1" t="str">
        <f>IF(ISBLANK(Customer_Data_[[#This Row],[Loyalty_Level]]),"Silver",Customer_Data_[[#This Row],[Loyalty_Level]])</f>
        <v>Silver</v>
      </c>
    </row>
    <row r="393" spans="1:10" x14ac:dyDescent="0.35">
      <c r="A393" s="6" t="s">
        <v>1216</v>
      </c>
      <c r="B393" s="1" t="s">
        <v>1217</v>
      </c>
      <c r="C393" s="1" t="str">
        <f>TRIM(Customer_Data_[[#This Row],[Name]])</f>
        <v>Heidi Tyler</v>
      </c>
      <c r="D393" s="1" t="str">
        <f>PROPER(Customer_Data_[[#This Row],[Name 1]])</f>
        <v>Heidi Tyler</v>
      </c>
      <c r="E393" s="1">
        <v>40</v>
      </c>
      <c r="F393" s="1" t="s">
        <v>14</v>
      </c>
      <c r="G393" s="1" t="s">
        <v>1218</v>
      </c>
      <c r="H393" s="1" t="s">
        <v>33</v>
      </c>
      <c r="I393" s="7" t="s">
        <v>24</v>
      </c>
      <c r="J393" s="1" t="str">
        <f>IF(ISBLANK(Customer_Data_[[#This Row],[Loyalty_Level]]),"Silver",Customer_Data_[[#This Row],[Loyalty_Level]])</f>
        <v>Bronze</v>
      </c>
    </row>
    <row r="394" spans="1:10" x14ac:dyDescent="0.35">
      <c r="A394" s="6" t="s">
        <v>1219</v>
      </c>
      <c r="B394" s="1" t="s">
        <v>1220</v>
      </c>
      <c r="C394" s="1" t="str">
        <f>TRIM(Customer_Data_[[#This Row],[Name]])</f>
        <v>Jacqueline Payne</v>
      </c>
      <c r="D394" s="1" t="str">
        <f>PROPER(Customer_Data_[[#This Row],[Name 1]])</f>
        <v>Jacqueline Payne</v>
      </c>
      <c r="E394" s="1">
        <v>46</v>
      </c>
      <c r="F394" s="1" t="s">
        <v>8</v>
      </c>
      <c r="G394" s="1" t="s">
        <v>1221</v>
      </c>
      <c r="H394" s="1" t="s">
        <v>111</v>
      </c>
      <c r="I394" s="7" t="s">
        <v>11</v>
      </c>
      <c r="J394" s="1" t="str">
        <f>IF(ISBLANK(Customer_Data_[[#This Row],[Loyalty_Level]]),"Silver",Customer_Data_[[#This Row],[Loyalty_Level]])</f>
        <v>Gold</v>
      </c>
    </row>
    <row r="395" spans="1:10" x14ac:dyDescent="0.35">
      <c r="A395" s="6" t="s">
        <v>1222</v>
      </c>
      <c r="B395" s="1" t="s">
        <v>1223</v>
      </c>
      <c r="C395" s="1" t="str">
        <f>TRIM(Customer_Data_[[#This Row],[Name]])</f>
        <v>Michael Mcneil</v>
      </c>
      <c r="D395" s="1" t="str">
        <f>PROPER(Customer_Data_[[#This Row],[Name 1]])</f>
        <v>Michael Mcneil</v>
      </c>
      <c r="E395" s="1">
        <v>46</v>
      </c>
      <c r="F395" s="1" t="s">
        <v>8</v>
      </c>
      <c r="G395" s="1" t="s">
        <v>1224</v>
      </c>
      <c r="H395" s="1" t="s">
        <v>115</v>
      </c>
      <c r="I395" s="7" t="s">
        <v>24</v>
      </c>
      <c r="J395" s="1" t="str">
        <f>IF(ISBLANK(Customer_Data_[[#This Row],[Loyalty_Level]]),"Silver",Customer_Data_[[#This Row],[Loyalty_Level]])</f>
        <v>Bronze</v>
      </c>
    </row>
    <row r="396" spans="1:10" x14ac:dyDescent="0.35">
      <c r="A396" s="6" t="s">
        <v>1225</v>
      </c>
      <c r="B396" s="1" t="s">
        <v>1226</v>
      </c>
      <c r="C396" s="1" t="str">
        <f>TRIM(Customer_Data_[[#This Row],[Name]])</f>
        <v>Alejandro Evans</v>
      </c>
      <c r="D396" s="1" t="str">
        <f>PROPER(Customer_Data_[[#This Row],[Name 1]])</f>
        <v>Alejandro Evans</v>
      </c>
      <c r="E396" s="1">
        <v>43</v>
      </c>
      <c r="F396" s="1" t="s">
        <v>14</v>
      </c>
      <c r="G396" s="1" t="s">
        <v>1227</v>
      </c>
      <c r="H396" s="1" t="s">
        <v>165</v>
      </c>
      <c r="I396" s="7" t="s">
        <v>24</v>
      </c>
      <c r="J396" s="1" t="str">
        <f>IF(ISBLANK(Customer_Data_[[#This Row],[Loyalty_Level]]),"Silver",Customer_Data_[[#This Row],[Loyalty_Level]])</f>
        <v>Bronze</v>
      </c>
    </row>
    <row r="397" spans="1:10" x14ac:dyDescent="0.35">
      <c r="A397" s="6" t="s">
        <v>1228</v>
      </c>
      <c r="B397" s="1" t="s">
        <v>1229</v>
      </c>
      <c r="C397" s="1" t="str">
        <f>TRIM(Customer_Data_[[#This Row],[Name]])</f>
        <v>Brandon Mcguire</v>
      </c>
      <c r="D397" s="1" t="str">
        <f>PROPER(Customer_Data_[[#This Row],[Name 1]])</f>
        <v>Brandon Mcguire</v>
      </c>
      <c r="E397" s="1">
        <v>50</v>
      </c>
      <c r="F397" s="1" t="s">
        <v>8</v>
      </c>
      <c r="G397" s="1" t="s">
        <v>1230</v>
      </c>
      <c r="H397" s="1" t="s">
        <v>60</v>
      </c>
      <c r="I397" s="7" t="s">
        <v>11</v>
      </c>
      <c r="J397" s="1" t="str">
        <f>IF(ISBLANK(Customer_Data_[[#This Row],[Loyalty_Level]]),"Silver",Customer_Data_[[#This Row],[Loyalty_Level]])</f>
        <v>Gold</v>
      </c>
    </row>
    <row r="398" spans="1:10" x14ac:dyDescent="0.35">
      <c r="A398" s="6" t="s">
        <v>1231</v>
      </c>
      <c r="B398" s="1" t="s">
        <v>1232</v>
      </c>
      <c r="C398" s="1" t="str">
        <f>TRIM(Customer_Data_[[#This Row],[Name]])</f>
        <v>Alexander Byrd</v>
      </c>
      <c r="D398" s="1" t="str">
        <f>PROPER(Customer_Data_[[#This Row],[Name 1]])</f>
        <v>Alexander Byrd</v>
      </c>
      <c r="E398" s="1">
        <v>25</v>
      </c>
      <c r="F398" s="1" t="s">
        <v>14</v>
      </c>
      <c r="G398" s="1" t="s">
        <v>1233</v>
      </c>
      <c r="H398" s="1" t="s">
        <v>56</v>
      </c>
      <c r="I398" s="7" t="s">
        <v>29</v>
      </c>
      <c r="J398" s="1" t="str">
        <f>IF(ISBLANK(Customer_Data_[[#This Row],[Loyalty_Level]]),"Silver",Customer_Data_[[#This Row],[Loyalty_Level]])</f>
        <v>Silver</v>
      </c>
    </row>
    <row r="399" spans="1:10" x14ac:dyDescent="0.35">
      <c r="A399" s="6" t="s">
        <v>1234</v>
      </c>
      <c r="B399" s="1" t="s">
        <v>1235</v>
      </c>
      <c r="C399" s="1" t="str">
        <f>TRIM(Customer_Data_[[#This Row],[Name]])</f>
        <v>Charles Norman PhD</v>
      </c>
      <c r="D399" s="1" t="str">
        <f>PROPER(Customer_Data_[[#This Row],[Name 1]])</f>
        <v>Charles Norman Phd</v>
      </c>
      <c r="E399" s="1">
        <v>62</v>
      </c>
      <c r="F399" s="1" t="s">
        <v>14</v>
      </c>
      <c r="G399" s="1" t="s">
        <v>121</v>
      </c>
      <c r="H399" s="1" t="s">
        <v>60</v>
      </c>
      <c r="I399" s="7" t="s">
        <v>17</v>
      </c>
      <c r="J399" s="1" t="str">
        <f>IF(ISBLANK(Customer_Data_[[#This Row],[Loyalty_Level]]),"Silver",Customer_Data_[[#This Row],[Loyalty_Level]])</f>
        <v>Platinum</v>
      </c>
    </row>
    <row r="400" spans="1:10" x14ac:dyDescent="0.35">
      <c r="A400" s="6" t="s">
        <v>1236</v>
      </c>
      <c r="B400" s="1" t="s">
        <v>1237</v>
      </c>
      <c r="C400" s="1" t="str">
        <f>TRIM(Customer_Data_[[#This Row],[Name]])</f>
        <v>Jennifer Johnson</v>
      </c>
      <c r="D400" s="1" t="str">
        <f>PROPER(Customer_Data_[[#This Row],[Name 1]])</f>
        <v>Jennifer Johnson</v>
      </c>
      <c r="E400" s="1">
        <v>54</v>
      </c>
      <c r="F400" s="1" t="s">
        <v>8</v>
      </c>
      <c r="G400" s="1" t="s">
        <v>1238</v>
      </c>
      <c r="H400" s="1" t="s">
        <v>45</v>
      </c>
      <c r="I400" s="7" t="s">
        <v>24</v>
      </c>
      <c r="J400" s="1" t="str">
        <f>IF(ISBLANK(Customer_Data_[[#This Row],[Loyalty_Level]]),"Silver",Customer_Data_[[#This Row],[Loyalty_Level]])</f>
        <v>Bronze</v>
      </c>
    </row>
    <row r="401" spans="1:10" x14ac:dyDescent="0.35">
      <c r="A401" s="6" t="s">
        <v>1239</v>
      </c>
      <c r="B401" s="1" t="s">
        <v>1240</v>
      </c>
      <c r="C401" s="1" t="str">
        <f>TRIM(Customer_Data_[[#This Row],[Name]])</f>
        <v>John Donaldson</v>
      </c>
      <c r="D401" s="1" t="str">
        <f>PROPER(Customer_Data_[[#This Row],[Name 1]])</f>
        <v>John Donaldson</v>
      </c>
      <c r="E401" s="1">
        <v>27</v>
      </c>
      <c r="F401" s="1" t="s">
        <v>8</v>
      </c>
      <c r="G401" s="1" t="s">
        <v>1241</v>
      </c>
      <c r="H401" s="1" t="s">
        <v>431</v>
      </c>
      <c r="I401" s="7" t="s">
        <v>24</v>
      </c>
      <c r="J401" s="1" t="str">
        <f>IF(ISBLANK(Customer_Data_[[#This Row],[Loyalty_Level]]),"Silver",Customer_Data_[[#This Row],[Loyalty_Level]])</f>
        <v>Bronze</v>
      </c>
    </row>
    <row r="402" spans="1:10" x14ac:dyDescent="0.35">
      <c r="A402" s="6" t="s">
        <v>1242</v>
      </c>
      <c r="B402" s="1" t="s">
        <v>1243</v>
      </c>
      <c r="C402" s="1" t="str">
        <f>TRIM(Customer_Data_[[#This Row],[Name]])</f>
        <v>Mark Rogers</v>
      </c>
      <c r="D402" s="1" t="str">
        <f>PROPER(Customer_Data_[[#This Row],[Name 1]])</f>
        <v>Mark Rogers</v>
      </c>
      <c r="E402" s="1">
        <v>57</v>
      </c>
      <c r="F402" s="1" t="s">
        <v>14</v>
      </c>
      <c r="G402" s="1" t="s">
        <v>1244</v>
      </c>
      <c r="H402" s="1" t="s">
        <v>94</v>
      </c>
      <c r="I402" s="7" t="s">
        <v>17</v>
      </c>
      <c r="J402" s="1" t="str">
        <f>IF(ISBLANK(Customer_Data_[[#This Row],[Loyalty_Level]]),"Silver",Customer_Data_[[#This Row],[Loyalty_Level]])</f>
        <v>Platinum</v>
      </c>
    </row>
    <row r="403" spans="1:10" x14ac:dyDescent="0.35">
      <c r="A403" s="6" t="s">
        <v>1245</v>
      </c>
      <c r="B403" s="1" t="s">
        <v>1246</v>
      </c>
      <c r="C403" s="1" t="str">
        <f>TRIM(Customer_Data_[[#This Row],[Name]])</f>
        <v>Terry Moses</v>
      </c>
      <c r="D403" s="1" t="str">
        <f>PROPER(Customer_Data_[[#This Row],[Name 1]])</f>
        <v>Terry Moses</v>
      </c>
      <c r="E403" s="1">
        <v>51</v>
      </c>
      <c r="F403" s="1" t="s">
        <v>14</v>
      </c>
      <c r="G403" s="1" t="s">
        <v>1247</v>
      </c>
      <c r="H403" s="1" t="s">
        <v>182</v>
      </c>
      <c r="I403" s="7" t="s">
        <v>17</v>
      </c>
      <c r="J403" s="1" t="str">
        <f>IF(ISBLANK(Customer_Data_[[#This Row],[Loyalty_Level]]),"Silver",Customer_Data_[[#This Row],[Loyalty_Level]])</f>
        <v>Platinum</v>
      </c>
    </row>
    <row r="404" spans="1:10" x14ac:dyDescent="0.35">
      <c r="A404" s="6" t="s">
        <v>1248</v>
      </c>
      <c r="B404" s="1" t="s">
        <v>1249</v>
      </c>
      <c r="C404" s="1" t="str">
        <f>TRIM(Customer_Data_[[#This Row],[Name]])</f>
        <v>Cassandra Perez</v>
      </c>
      <c r="D404" s="1" t="str">
        <f>PROPER(Customer_Data_[[#This Row],[Name 1]])</f>
        <v>Cassandra Perez</v>
      </c>
      <c r="E404" s="1">
        <v>31</v>
      </c>
      <c r="F404" s="1" t="s">
        <v>8</v>
      </c>
      <c r="G404" s="1" t="s">
        <v>78</v>
      </c>
      <c r="H404" s="1" t="s">
        <v>310</v>
      </c>
      <c r="I404" s="7" t="s">
        <v>24</v>
      </c>
      <c r="J404" s="1" t="str">
        <f>IF(ISBLANK(Customer_Data_[[#This Row],[Loyalty_Level]]),"Silver",Customer_Data_[[#This Row],[Loyalty_Level]])</f>
        <v>Bronze</v>
      </c>
    </row>
    <row r="405" spans="1:10" x14ac:dyDescent="0.35">
      <c r="A405" s="6" t="s">
        <v>1250</v>
      </c>
      <c r="B405" s="1" t="s">
        <v>1251</v>
      </c>
      <c r="C405" s="1" t="str">
        <f>TRIM(Customer_Data_[[#This Row],[Name]])</f>
        <v>Justin Ingram</v>
      </c>
      <c r="D405" s="1" t="str">
        <f>PROPER(Customer_Data_[[#This Row],[Name 1]])</f>
        <v>Justin Ingram</v>
      </c>
      <c r="E405" s="1">
        <v>34</v>
      </c>
      <c r="F405" s="1" t="s">
        <v>8</v>
      </c>
      <c r="G405" s="1" t="s">
        <v>1252</v>
      </c>
      <c r="H405" s="1" t="s">
        <v>325</v>
      </c>
      <c r="I405" s="7" t="s">
        <v>24</v>
      </c>
      <c r="J405" s="1" t="str">
        <f>IF(ISBLANK(Customer_Data_[[#This Row],[Loyalty_Level]]),"Silver",Customer_Data_[[#This Row],[Loyalty_Level]])</f>
        <v>Bronze</v>
      </c>
    </row>
    <row r="406" spans="1:10" x14ac:dyDescent="0.35">
      <c r="A406" s="6" t="s">
        <v>1253</v>
      </c>
      <c r="B406" s="1" t="s">
        <v>1254</v>
      </c>
      <c r="C406" s="1" t="str">
        <f>TRIM(Customer_Data_[[#This Row],[Name]])</f>
        <v>David Ross</v>
      </c>
      <c r="D406" s="1" t="str">
        <f>PROPER(Customer_Data_[[#This Row],[Name 1]])</f>
        <v>David Ross</v>
      </c>
      <c r="E406" s="1">
        <v>22</v>
      </c>
      <c r="F406" s="1" t="s">
        <v>14</v>
      </c>
      <c r="G406" s="1" t="s">
        <v>1255</v>
      </c>
      <c r="H406" s="1" t="s">
        <v>288</v>
      </c>
      <c r="I406" s="7" t="s">
        <v>29</v>
      </c>
      <c r="J406" s="1" t="str">
        <f>IF(ISBLANK(Customer_Data_[[#This Row],[Loyalty_Level]]),"Silver",Customer_Data_[[#This Row],[Loyalty_Level]])</f>
        <v>Silver</v>
      </c>
    </row>
    <row r="407" spans="1:10" x14ac:dyDescent="0.35">
      <c r="A407" s="6" t="s">
        <v>1256</v>
      </c>
      <c r="B407" s="1" t="s">
        <v>1257</v>
      </c>
      <c r="C407" s="1" t="str">
        <f>TRIM(Customer_Data_[[#This Row],[Name]])</f>
        <v>Eric Wolfe</v>
      </c>
      <c r="D407" s="1" t="str">
        <f>PROPER(Customer_Data_[[#This Row],[Name 1]])</f>
        <v>Eric Wolfe</v>
      </c>
      <c r="E407" s="1">
        <v>18</v>
      </c>
      <c r="F407" s="1" t="s">
        <v>14</v>
      </c>
      <c r="G407" s="1" t="s">
        <v>1258</v>
      </c>
      <c r="H407" s="1" t="s">
        <v>325</v>
      </c>
      <c r="I407" s="7" t="s">
        <v>11</v>
      </c>
      <c r="J407" s="1" t="str">
        <f>IF(ISBLANK(Customer_Data_[[#This Row],[Loyalty_Level]]),"Silver",Customer_Data_[[#This Row],[Loyalty_Level]])</f>
        <v>Gold</v>
      </c>
    </row>
    <row r="408" spans="1:10" x14ac:dyDescent="0.35">
      <c r="A408" s="6" t="s">
        <v>1259</v>
      </c>
      <c r="B408" s="1" t="s">
        <v>1260</v>
      </c>
      <c r="C408" s="1" t="str">
        <f>TRIM(Customer_Data_[[#This Row],[Name]])</f>
        <v>David Lozano</v>
      </c>
      <c r="D408" s="1" t="str">
        <f>PROPER(Customer_Data_[[#This Row],[Name 1]])</f>
        <v>David Lozano</v>
      </c>
      <c r="E408" s="1">
        <v>23</v>
      </c>
      <c r="F408" s="1" t="s">
        <v>14</v>
      </c>
      <c r="G408" s="1" t="s">
        <v>1261</v>
      </c>
      <c r="H408" s="1" t="s">
        <v>321</v>
      </c>
      <c r="I408" s="7" t="s">
        <v>11</v>
      </c>
      <c r="J408" s="1" t="str">
        <f>IF(ISBLANK(Customer_Data_[[#This Row],[Loyalty_Level]]),"Silver",Customer_Data_[[#This Row],[Loyalty_Level]])</f>
        <v>Gold</v>
      </c>
    </row>
    <row r="409" spans="1:10" x14ac:dyDescent="0.35">
      <c r="A409" s="6" t="s">
        <v>1262</v>
      </c>
      <c r="B409" s="1" t="s">
        <v>1263</v>
      </c>
      <c r="C409" s="1" t="str">
        <f>TRIM(Customer_Data_[[#This Row],[Name]])</f>
        <v>Joseph Mendoza</v>
      </c>
      <c r="D409" s="1" t="str">
        <f>PROPER(Customer_Data_[[#This Row],[Name 1]])</f>
        <v>Joseph Mendoza</v>
      </c>
      <c r="E409" s="1">
        <v>33</v>
      </c>
      <c r="F409" s="1" t="s">
        <v>8</v>
      </c>
      <c r="G409" s="1" t="s">
        <v>1264</v>
      </c>
      <c r="H409" s="1" t="s">
        <v>138</v>
      </c>
      <c r="I409" s="7" t="s">
        <v>11</v>
      </c>
      <c r="J409" s="1" t="str">
        <f>IF(ISBLANK(Customer_Data_[[#This Row],[Loyalty_Level]]),"Silver",Customer_Data_[[#This Row],[Loyalty_Level]])</f>
        <v>Gold</v>
      </c>
    </row>
    <row r="410" spans="1:10" x14ac:dyDescent="0.35">
      <c r="A410" s="6" t="s">
        <v>1265</v>
      </c>
      <c r="B410" s="1" t="s">
        <v>1266</v>
      </c>
      <c r="C410" s="1" t="str">
        <f>TRIM(Customer_Data_[[#This Row],[Name]])</f>
        <v>Isabel Foster</v>
      </c>
      <c r="D410" s="1" t="str">
        <f>PROPER(Customer_Data_[[#This Row],[Name 1]])</f>
        <v>Isabel Foster</v>
      </c>
      <c r="E410" s="1">
        <v>36</v>
      </c>
      <c r="F410" s="1" t="s">
        <v>8</v>
      </c>
      <c r="G410" s="1" t="s">
        <v>1267</v>
      </c>
      <c r="H410" s="1" t="s">
        <v>86</v>
      </c>
      <c r="I410" s="7" t="s">
        <v>11</v>
      </c>
      <c r="J410" s="1" t="str">
        <f>IF(ISBLANK(Customer_Data_[[#This Row],[Loyalty_Level]]),"Silver",Customer_Data_[[#This Row],[Loyalty_Level]])</f>
        <v>Gold</v>
      </c>
    </row>
    <row r="411" spans="1:10" x14ac:dyDescent="0.35">
      <c r="A411" s="6" t="s">
        <v>1268</v>
      </c>
      <c r="B411" s="1" t="s">
        <v>1269</v>
      </c>
      <c r="C411" s="1" t="str">
        <f>TRIM(Customer_Data_[[#This Row],[Name]])</f>
        <v>Sarah Smith</v>
      </c>
      <c r="D411" s="1" t="str">
        <f>PROPER(Customer_Data_[[#This Row],[Name 1]])</f>
        <v>Sarah Smith</v>
      </c>
      <c r="E411" s="1">
        <v>55</v>
      </c>
      <c r="F411" s="1" t="s">
        <v>8</v>
      </c>
      <c r="G411" s="1" t="s">
        <v>1270</v>
      </c>
      <c r="H411" s="1" t="s">
        <v>842</v>
      </c>
      <c r="I411" s="7" t="s">
        <v>11</v>
      </c>
      <c r="J411" s="1" t="str">
        <f>IF(ISBLANK(Customer_Data_[[#This Row],[Loyalty_Level]]),"Silver",Customer_Data_[[#This Row],[Loyalty_Level]])</f>
        <v>Gold</v>
      </c>
    </row>
    <row r="412" spans="1:10" x14ac:dyDescent="0.35">
      <c r="A412" s="6" t="s">
        <v>1271</v>
      </c>
      <c r="B412" s="1" t="s">
        <v>1272</v>
      </c>
      <c r="C412" s="1" t="str">
        <f>TRIM(Customer_Data_[[#This Row],[Name]])</f>
        <v>Jackie Thompson</v>
      </c>
      <c r="D412" s="1" t="str">
        <f>PROPER(Customer_Data_[[#This Row],[Name 1]])</f>
        <v>Jackie Thompson</v>
      </c>
      <c r="E412" s="1">
        <v>48</v>
      </c>
      <c r="F412" s="1" t="s">
        <v>14</v>
      </c>
      <c r="G412" s="1" t="s">
        <v>1273</v>
      </c>
      <c r="H412" s="1" t="s">
        <v>86</v>
      </c>
      <c r="I412" s="7" t="s">
        <v>24</v>
      </c>
      <c r="J412" s="1" t="str">
        <f>IF(ISBLANK(Customer_Data_[[#This Row],[Loyalty_Level]]),"Silver",Customer_Data_[[#This Row],[Loyalty_Level]])</f>
        <v>Bronze</v>
      </c>
    </row>
    <row r="413" spans="1:10" x14ac:dyDescent="0.35">
      <c r="A413" s="6" t="s">
        <v>1274</v>
      </c>
      <c r="B413" s="1" t="s">
        <v>1275</v>
      </c>
      <c r="C413" s="1" t="str">
        <f>TRIM(Customer_Data_[[#This Row],[Name]])</f>
        <v>Katrina Perez</v>
      </c>
      <c r="D413" s="1" t="str">
        <f>PROPER(Customer_Data_[[#This Row],[Name 1]])</f>
        <v>Katrina Perez</v>
      </c>
      <c r="E413" s="1">
        <v>63</v>
      </c>
      <c r="F413" s="1" t="s">
        <v>8</v>
      </c>
      <c r="G413" s="1" t="s">
        <v>1276</v>
      </c>
      <c r="H413" s="1" t="s">
        <v>23</v>
      </c>
      <c r="I413" s="7" t="s">
        <v>29</v>
      </c>
      <c r="J413" s="1" t="str">
        <f>IF(ISBLANK(Customer_Data_[[#This Row],[Loyalty_Level]]),"Silver",Customer_Data_[[#This Row],[Loyalty_Level]])</f>
        <v>Silver</v>
      </c>
    </row>
    <row r="414" spans="1:10" x14ac:dyDescent="0.35">
      <c r="A414" s="6" t="s">
        <v>1277</v>
      </c>
      <c r="B414" s="1" t="s">
        <v>1278</v>
      </c>
      <c r="C414" s="1" t="str">
        <f>TRIM(Customer_Data_[[#This Row],[Name]])</f>
        <v>Shane Brown</v>
      </c>
      <c r="D414" s="1" t="str">
        <f>PROPER(Customer_Data_[[#This Row],[Name 1]])</f>
        <v>Shane Brown</v>
      </c>
      <c r="E414" s="1">
        <v>23</v>
      </c>
      <c r="F414" s="1" t="s">
        <v>14</v>
      </c>
      <c r="G414" s="1" t="s">
        <v>201</v>
      </c>
      <c r="H414" s="1" t="s">
        <v>154</v>
      </c>
      <c r="I414" s="7" t="s">
        <v>11</v>
      </c>
      <c r="J414" s="1" t="str">
        <f>IF(ISBLANK(Customer_Data_[[#This Row],[Loyalty_Level]]),"Silver",Customer_Data_[[#This Row],[Loyalty_Level]])</f>
        <v>Gold</v>
      </c>
    </row>
    <row r="415" spans="1:10" x14ac:dyDescent="0.35">
      <c r="A415" s="6" t="s">
        <v>1279</v>
      </c>
      <c r="B415" s="1" t="s">
        <v>1280</v>
      </c>
      <c r="C415" s="1" t="str">
        <f>TRIM(Customer_Data_[[#This Row],[Name]])</f>
        <v>Megan Ryan</v>
      </c>
      <c r="D415" s="1" t="str">
        <f>PROPER(Customer_Data_[[#This Row],[Name 1]])</f>
        <v>Megan Ryan</v>
      </c>
      <c r="E415" s="1">
        <v>59</v>
      </c>
      <c r="F415" s="1" t="s">
        <v>14</v>
      </c>
      <c r="G415" s="1" t="s">
        <v>1281</v>
      </c>
      <c r="H415" s="1" t="s">
        <v>104</v>
      </c>
      <c r="I415" s="7" t="s">
        <v>24</v>
      </c>
      <c r="J415" s="1" t="str">
        <f>IF(ISBLANK(Customer_Data_[[#This Row],[Loyalty_Level]]),"Silver",Customer_Data_[[#This Row],[Loyalty_Level]])</f>
        <v>Bronze</v>
      </c>
    </row>
    <row r="416" spans="1:10" x14ac:dyDescent="0.35">
      <c r="A416" s="6" t="s">
        <v>1282</v>
      </c>
      <c r="B416" s="1" t="s">
        <v>1283</v>
      </c>
      <c r="C416" s="1" t="str">
        <f>TRIM(Customer_Data_[[#This Row],[Name]])</f>
        <v>Melissa Valentine</v>
      </c>
      <c r="D416" s="1" t="str">
        <f>PROPER(Customer_Data_[[#This Row],[Name 1]])</f>
        <v>Melissa Valentine</v>
      </c>
      <c r="E416" s="1">
        <v>35</v>
      </c>
      <c r="F416" s="1" t="s">
        <v>14</v>
      </c>
      <c r="G416" s="1" t="s">
        <v>1284</v>
      </c>
      <c r="H416" s="1" t="s">
        <v>111</v>
      </c>
      <c r="I416" s="7" t="s">
        <v>11</v>
      </c>
      <c r="J416" s="1" t="str">
        <f>IF(ISBLANK(Customer_Data_[[#This Row],[Loyalty_Level]]),"Silver",Customer_Data_[[#This Row],[Loyalty_Level]])</f>
        <v>Gold</v>
      </c>
    </row>
    <row r="417" spans="1:10" x14ac:dyDescent="0.35">
      <c r="A417" s="6" t="s">
        <v>1285</v>
      </c>
      <c r="B417" s="1" t="s">
        <v>1286</v>
      </c>
      <c r="C417" s="1" t="str">
        <f>TRIM(Customer_Data_[[#This Row],[Name]])</f>
        <v>Tyler Cook</v>
      </c>
      <c r="D417" s="1" t="str">
        <f>PROPER(Customer_Data_[[#This Row],[Name 1]])</f>
        <v>Tyler Cook</v>
      </c>
      <c r="E417" s="1">
        <v>26</v>
      </c>
      <c r="F417" s="1" t="s">
        <v>14</v>
      </c>
      <c r="G417" s="1" t="s">
        <v>1287</v>
      </c>
      <c r="H417" s="1" t="s">
        <v>161</v>
      </c>
      <c r="I417" s="7" t="s">
        <v>29</v>
      </c>
      <c r="J417" s="1" t="str">
        <f>IF(ISBLANK(Customer_Data_[[#This Row],[Loyalty_Level]]),"Silver",Customer_Data_[[#This Row],[Loyalty_Level]])</f>
        <v>Silver</v>
      </c>
    </row>
    <row r="418" spans="1:10" x14ac:dyDescent="0.35">
      <c r="A418" s="6" t="s">
        <v>1288</v>
      </c>
      <c r="B418" s="1" t="s">
        <v>1289</v>
      </c>
      <c r="C418" s="1" t="str">
        <f>TRIM(Customer_Data_[[#This Row],[Name]])</f>
        <v>Jennifer Myers</v>
      </c>
      <c r="D418" s="1" t="str">
        <f>PROPER(Customer_Data_[[#This Row],[Name 1]])</f>
        <v>Jennifer Myers</v>
      </c>
      <c r="E418" s="1">
        <v>46</v>
      </c>
      <c r="F418" s="1" t="s">
        <v>8</v>
      </c>
      <c r="G418" s="1" t="s">
        <v>1290</v>
      </c>
      <c r="H418" s="1" t="s">
        <v>321</v>
      </c>
      <c r="I418" s="7" t="s">
        <v>17</v>
      </c>
      <c r="J418" s="1" t="str">
        <f>IF(ISBLANK(Customer_Data_[[#This Row],[Loyalty_Level]]),"Silver",Customer_Data_[[#This Row],[Loyalty_Level]])</f>
        <v>Platinum</v>
      </c>
    </row>
    <row r="419" spans="1:10" x14ac:dyDescent="0.35">
      <c r="A419" s="6" t="s">
        <v>1291</v>
      </c>
      <c r="B419" s="1" t="s">
        <v>1292</v>
      </c>
      <c r="C419" s="1" t="str">
        <f>TRIM(Customer_Data_[[#This Row],[Name]])</f>
        <v>Karen King</v>
      </c>
      <c r="D419" s="1" t="str">
        <f>PROPER(Customer_Data_[[#This Row],[Name 1]])</f>
        <v>Karen King</v>
      </c>
      <c r="E419" s="1">
        <v>64</v>
      </c>
      <c r="F419" s="1" t="s">
        <v>14</v>
      </c>
      <c r="G419" s="1" t="s">
        <v>1293</v>
      </c>
      <c r="H419" s="1" t="s">
        <v>10</v>
      </c>
      <c r="I419" s="7" t="s">
        <v>24</v>
      </c>
      <c r="J419" s="1" t="str">
        <f>IF(ISBLANK(Customer_Data_[[#This Row],[Loyalty_Level]]),"Silver",Customer_Data_[[#This Row],[Loyalty_Level]])</f>
        <v>Bronze</v>
      </c>
    </row>
    <row r="420" spans="1:10" x14ac:dyDescent="0.35">
      <c r="A420" s="6" t="s">
        <v>1294</v>
      </c>
      <c r="B420" s="1" t="s">
        <v>1295</v>
      </c>
      <c r="C420" s="1" t="str">
        <f>TRIM(Customer_Data_[[#This Row],[Name]])</f>
        <v>Luke Parks</v>
      </c>
      <c r="D420" s="1" t="str">
        <f>PROPER(Customer_Data_[[#This Row],[Name 1]])</f>
        <v>Luke Parks</v>
      </c>
      <c r="E420" s="1">
        <v>60</v>
      </c>
      <c r="F420" s="1" t="s">
        <v>14</v>
      </c>
      <c r="G420" s="1" t="s">
        <v>1296</v>
      </c>
      <c r="H420" s="1" t="s">
        <v>45</v>
      </c>
      <c r="I420" s="7" t="s">
        <v>29</v>
      </c>
      <c r="J420" s="1" t="str">
        <f>IF(ISBLANK(Customer_Data_[[#This Row],[Loyalty_Level]]),"Silver",Customer_Data_[[#This Row],[Loyalty_Level]])</f>
        <v>Silver</v>
      </c>
    </row>
    <row r="421" spans="1:10" x14ac:dyDescent="0.35">
      <c r="A421" s="6" t="s">
        <v>1297</v>
      </c>
      <c r="B421" s="1" t="s">
        <v>1298</v>
      </c>
      <c r="C421" s="1" t="str">
        <f>TRIM(Customer_Data_[[#This Row],[Name]])</f>
        <v>Monica Miller</v>
      </c>
      <c r="D421" s="1" t="str">
        <f>PROPER(Customer_Data_[[#This Row],[Name 1]])</f>
        <v>Monica Miller</v>
      </c>
      <c r="E421" s="1">
        <v>33</v>
      </c>
      <c r="F421" s="1" t="s">
        <v>8</v>
      </c>
      <c r="G421" s="1" t="s">
        <v>1299</v>
      </c>
      <c r="H421" s="1" t="s">
        <v>310</v>
      </c>
      <c r="I421" s="7" t="s">
        <v>11</v>
      </c>
      <c r="J421" s="1" t="str">
        <f>IF(ISBLANK(Customer_Data_[[#This Row],[Loyalty_Level]]),"Silver",Customer_Data_[[#This Row],[Loyalty_Level]])</f>
        <v>Gold</v>
      </c>
    </row>
    <row r="422" spans="1:10" x14ac:dyDescent="0.35">
      <c r="A422" s="6" t="s">
        <v>1300</v>
      </c>
      <c r="B422" s="1" t="s">
        <v>1301</v>
      </c>
      <c r="C422" s="1" t="str">
        <f>TRIM(Customer_Data_[[#This Row],[Name]])</f>
        <v>Dr. Tamara White MD</v>
      </c>
      <c r="D422" s="1" t="str">
        <f>PROPER(Customer_Data_[[#This Row],[Name 1]])</f>
        <v>Dr. Tamara White Md</v>
      </c>
      <c r="E422" s="1">
        <v>60</v>
      </c>
      <c r="F422" s="1" t="s">
        <v>8</v>
      </c>
      <c r="G422" s="1" t="s">
        <v>1302</v>
      </c>
      <c r="H422" s="1" t="s">
        <v>10</v>
      </c>
      <c r="I422" s="7" t="s">
        <v>24</v>
      </c>
      <c r="J422" s="1" t="str">
        <f>IF(ISBLANK(Customer_Data_[[#This Row],[Loyalty_Level]]),"Silver",Customer_Data_[[#This Row],[Loyalty_Level]])</f>
        <v>Bronze</v>
      </c>
    </row>
    <row r="423" spans="1:10" x14ac:dyDescent="0.35">
      <c r="A423" s="6" t="s">
        <v>1303</v>
      </c>
      <c r="B423" s="1" t="s">
        <v>1304</v>
      </c>
      <c r="C423" s="1" t="str">
        <f>TRIM(Customer_Data_[[#This Row],[Name]])</f>
        <v>Holly Robinson</v>
      </c>
      <c r="D423" s="1" t="str">
        <f>PROPER(Customer_Data_[[#This Row],[Name 1]])</f>
        <v>Holly Robinson</v>
      </c>
      <c r="E423" s="1">
        <v>45</v>
      </c>
      <c r="F423" s="1" t="s">
        <v>14</v>
      </c>
      <c r="G423" s="1" t="s">
        <v>1305</v>
      </c>
      <c r="H423" s="1" t="s">
        <v>72</v>
      </c>
      <c r="I423" s="7" t="s">
        <v>17</v>
      </c>
      <c r="J423" s="1" t="str">
        <f>IF(ISBLANK(Customer_Data_[[#This Row],[Loyalty_Level]]),"Silver",Customer_Data_[[#This Row],[Loyalty_Level]])</f>
        <v>Platinum</v>
      </c>
    </row>
    <row r="424" spans="1:10" x14ac:dyDescent="0.35">
      <c r="A424" s="6" t="s">
        <v>1306</v>
      </c>
      <c r="B424" s="1" t="s">
        <v>1307</v>
      </c>
      <c r="C424" s="1" t="str">
        <f>TRIM(Customer_Data_[[#This Row],[Name]])</f>
        <v>Brittany Edwards DDS</v>
      </c>
      <c r="D424" s="1" t="str">
        <f>PROPER(Customer_Data_[[#This Row],[Name 1]])</f>
        <v>Brittany Edwards Dds</v>
      </c>
      <c r="E424" s="1">
        <v>42</v>
      </c>
      <c r="F424" s="1" t="s">
        <v>14</v>
      </c>
      <c r="G424" s="1" t="s">
        <v>1308</v>
      </c>
      <c r="H424" s="1" t="s">
        <v>60</v>
      </c>
      <c r="I424" s="7" t="s">
        <v>17</v>
      </c>
      <c r="J424" s="1" t="str">
        <f>IF(ISBLANK(Customer_Data_[[#This Row],[Loyalty_Level]]),"Silver",Customer_Data_[[#This Row],[Loyalty_Level]])</f>
        <v>Platinum</v>
      </c>
    </row>
    <row r="425" spans="1:10" x14ac:dyDescent="0.35">
      <c r="A425" s="6" t="s">
        <v>1309</v>
      </c>
      <c r="B425" s="1" t="s">
        <v>1310</v>
      </c>
      <c r="C425" s="1" t="str">
        <f>TRIM(Customer_Data_[[#This Row],[Name]])</f>
        <v>Rebecca Baker</v>
      </c>
      <c r="D425" s="1" t="str">
        <f>PROPER(Customer_Data_[[#This Row],[Name 1]])</f>
        <v>Rebecca Baker</v>
      </c>
      <c r="E425" s="1">
        <v>35</v>
      </c>
      <c r="F425" s="1" t="s">
        <v>8</v>
      </c>
      <c r="G425" s="1" t="s">
        <v>1311</v>
      </c>
      <c r="H425" s="1" t="s">
        <v>60</v>
      </c>
      <c r="I425" s="7" t="s">
        <v>29</v>
      </c>
      <c r="J425" s="1" t="str">
        <f>IF(ISBLANK(Customer_Data_[[#This Row],[Loyalty_Level]]),"Silver",Customer_Data_[[#This Row],[Loyalty_Level]])</f>
        <v>Silver</v>
      </c>
    </row>
    <row r="426" spans="1:10" x14ac:dyDescent="0.35">
      <c r="A426" s="6" t="s">
        <v>1312</v>
      </c>
      <c r="B426" s="1" t="s">
        <v>1313</v>
      </c>
      <c r="C426" s="1" t="str">
        <f>TRIM(Customer_Data_[[#This Row],[Name]])</f>
        <v>Edwin Barnes</v>
      </c>
      <c r="D426" s="1" t="str">
        <f>PROPER(Customer_Data_[[#This Row],[Name 1]])</f>
        <v>Edwin Barnes</v>
      </c>
      <c r="E426" s="1">
        <v>53</v>
      </c>
      <c r="F426" s="1" t="s">
        <v>8</v>
      </c>
      <c r="G426" s="1" t="s">
        <v>1314</v>
      </c>
      <c r="H426" s="1" t="s">
        <v>10</v>
      </c>
      <c r="I426" s="7" t="s">
        <v>24</v>
      </c>
      <c r="J426" s="1" t="str">
        <f>IF(ISBLANK(Customer_Data_[[#This Row],[Loyalty_Level]]),"Silver",Customer_Data_[[#This Row],[Loyalty_Level]])</f>
        <v>Bronze</v>
      </c>
    </row>
    <row r="427" spans="1:10" x14ac:dyDescent="0.35">
      <c r="A427" s="6" t="s">
        <v>1315</v>
      </c>
      <c r="B427" s="1" t="s">
        <v>1316</v>
      </c>
      <c r="C427" s="1" t="str">
        <f>TRIM(Customer_Data_[[#This Row],[Name]])</f>
        <v>Bryce Hawkins</v>
      </c>
      <c r="D427" s="1" t="str">
        <f>PROPER(Customer_Data_[[#This Row],[Name 1]])</f>
        <v>Bryce Hawkins</v>
      </c>
      <c r="E427" s="1">
        <v>40</v>
      </c>
      <c r="F427" s="1" t="s">
        <v>8</v>
      </c>
      <c r="G427" s="1" t="s">
        <v>1317</v>
      </c>
      <c r="H427" s="1" t="s">
        <v>115</v>
      </c>
      <c r="I427" s="7" t="s">
        <v>24</v>
      </c>
      <c r="J427" s="1" t="str">
        <f>IF(ISBLANK(Customer_Data_[[#This Row],[Loyalty_Level]]),"Silver",Customer_Data_[[#This Row],[Loyalty_Level]])</f>
        <v>Bronze</v>
      </c>
    </row>
    <row r="428" spans="1:10" x14ac:dyDescent="0.35">
      <c r="A428" s="6" t="s">
        <v>1318</v>
      </c>
      <c r="B428" s="1" t="s">
        <v>1319</v>
      </c>
      <c r="C428" s="1" t="str">
        <f>TRIM(Customer_Data_[[#This Row],[Name]])</f>
        <v>Jeanette Nichols</v>
      </c>
      <c r="D428" s="1" t="str">
        <f>PROPER(Customer_Data_[[#This Row],[Name 1]])</f>
        <v>Jeanette Nichols</v>
      </c>
      <c r="E428" s="1">
        <v>28</v>
      </c>
      <c r="F428" s="1" t="s">
        <v>8</v>
      </c>
      <c r="G428" s="1" t="s">
        <v>1320</v>
      </c>
      <c r="H428" s="1" t="s">
        <v>10</v>
      </c>
      <c r="I428" s="7" t="s">
        <v>17</v>
      </c>
      <c r="J428" s="1" t="str">
        <f>IF(ISBLANK(Customer_Data_[[#This Row],[Loyalty_Level]]),"Silver",Customer_Data_[[#This Row],[Loyalty_Level]])</f>
        <v>Platinum</v>
      </c>
    </row>
    <row r="429" spans="1:10" x14ac:dyDescent="0.35">
      <c r="A429" s="6" t="s">
        <v>1321</v>
      </c>
      <c r="B429" s="1" t="s">
        <v>1322</v>
      </c>
      <c r="C429" s="1" t="str">
        <f>TRIM(Customer_Data_[[#This Row],[Name]])</f>
        <v>Jose Stewart</v>
      </c>
      <c r="D429" s="1" t="str">
        <f>PROPER(Customer_Data_[[#This Row],[Name 1]])</f>
        <v>Jose Stewart</v>
      </c>
      <c r="E429" s="1">
        <v>18</v>
      </c>
      <c r="F429" s="1" t="s">
        <v>14</v>
      </c>
      <c r="G429" s="1" t="s">
        <v>1323</v>
      </c>
      <c r="H429" s="1" t="s">
        <v>431</v>
      </c>
      <c r="I429" s="7" t="s">
        <v>11</v>
      </c>
      <c r="J429" s="1" t="str">
        <f>IF(ISBLANK(Customer_Data_[[#This Row],[Loyalty_Level]]),"Silver",Customer_Data_[[#This Row],[Loyalty_Level]])</f>
        <v>Gold</v>
      </c>
    </row>
    <row r="430" spans="1:10" x14ac:dyDescent="0.35">
      <c r="A430" s="6" t="s">
        <v>1324</v>
      </c>
      <c r="B430" s="1" t="s">
        <v>1325</v>
      </c>
      <c r="C430" s="1" t="str">
        <f>TRIM(Customer_Data_[[#This Row],[Name]])</f>
        <v>Samuel Mullins</v>
      </c>
      <c r="D430" s="1" t="str">
        <f>PROPER(Customer_Data_[[#This Row],[Name 1]])</f>
        <v>Samuel Mullins</v>
      </c>
      <c r="E430" s="1">
        <v>27</v>
      </c>
      <c r="F430" s="1" t="s">
        <v>14</v>
      </c>
      <c r="G430" s="1" t="s">
        <v>1326</v>
      </c>
      <c r="H430" s="1" t="s">
        <v>325</v>
      </c>
      <c r="I430" s="7" t="s">
        <v>24</v>
      </c>
      <c r="J430" s="1" t="str">
        <f>IF(ISBLANK(Customer_Data_[[#This Row],[Loyalty_Level]]),"Silver",Customer_Data_[[#This Row],[Loyalty_Level]])</f>
        <v>Bronze</v>
      </c>
    </row>
    <row r="431" spans="1:10" x14ac:dyDescent="0.35">
      <c r="A431" s="6" t="s">
        <v>1327</v>
      </c>
      <c r="B431" s="1" t="s">
        <v>1328</v>
      </c>
      <c r="C431" s="1" t="str">
        <f>TRIM(Customer_Data_[[#This Row],[Name]])</f>
        <v>Sean Vang</v>
      </c>
      <c r="D431" s="1" t="str">
        <f>PROPER(Customer_Data_[[#This Row],[Name 1]])</f>
        <v>Sean Vang</v>
      </c>
      <c r="E431" s="1">
        <v>43</v>
      </c>
      <c r="F431" s="1" t="s">
        <v>8</v>
      </c>
      <c r="G431" s="1" t="s">
        <v>1329</v>
      </c>
      <c r="H431" s="1" t="s">
        <v>104</v>
      </c>
      <c r="I431" s="7" t="s">
        <v>17</v>
      </c>
      <c r="J431" s="1" t="str">
        <f>IF(ISBLANK(Customer_Data_[[#This Row],[Loyalty_Level]]),"Silver",Customer_Data_[[#This Row],[Loyalty_Level]])</f>
        <v>Platinum</v>
      </c>
    </row>
    <row r="432" spans="1:10" x14ac:dyDescent="0.35">
      <c r="A432" s="6" t="s">
        <v>1330</v>
      </c>
      <c r="B432" s="1" t="s">
        <v>1331</v>
      </c>
      <c r="C432" s="1" t="str">
        <f>TRIM(Customer_Data_[[#This Row],[Name]])</f>
        <v>Kimberly Roberts</v>
      </c>
      <c r="D432" s="1" t="str">
        <f>PROPER(Customer_Data_[[#This Row],[Name 1]])</f>
        <v>Kimberly Roberts</v>
      </c>
      <c r="E432" s="1">
        <v>36</v>
      </c>
      <c r="F432" s="1" t="s">
        <v>14</v>
      </c>
      <c r="G432" s="1" t="s">
        <v>1332</v>
      </c>
      <c r="H432" s="1" t="s">
        <v>86</v>
      </c>
      <c r="I432" s="7" t="s">
        <v>11</v>
      </c>
      <c r="J432" s="1" t="str">
        <f>IF(ISBLANK(Customer_Data_[[#This Row],[Loyalty_Level]]),"Silver",Customer_Data_[[#This Row],[Loyalty_Level]])</f>
        <v>Gold</v>
      </c>
    </row>
    <row r="433" spans="1:10" x14ac:dyDescent="0.35">
      <c r="A433" s="6" t="s">
        <v>1333</v>
      </c>
      <c r="B433" s="1" t="s">
        <v>1334</v>
      </c>
      <c r="C433" s="1" t="str">
        <f>TRIM(Customer_Data_[[#This Row],[Name]])</f>
        <v>John Smith</v>
      </c>
      <c r="D433" s="1" t="str">
        <f>PROPER(Customer_Data_[[#This Row],[Name 1]])</f>
        <v>John Smith</v>
      </c>
      <c r="E433" s="1">
        <v>27</v>
      </c>
      <c r="F433" s="1" t="s">
        <v>8</v>
      </c>
      <c r="G433" s="1" t="s">
        <v>1335</v>
      </c>
      <c r="H433" s="1" t="s">
        <v>28</v>
      </c>
      <c r="I433" s="7" t="s">
        <v>17</v>
      </c>
      <c r="J433" s="1" t="str">
        <f>IF(ISBLANK(Customer_Data_[[#This Row],[Loyalty_Level]]),"Silver",Customer_Data_[[#This Row],[Loyalty_Level]])</f>
        <v>Platinum</v>
      </c>
    </row>
    <row r="434" spans="1:10" x14ac:dyDescent="0.35">
      <c r="A434" s="6" t="s">
        <v>1336</v>
      </c>
      <c r="B434" s="1" t="s">
        <v>1337</v>
      </c>
      <c r="C434" s="1" t="str">
        <f>TRIM(Customer_Data_[[#This Row],[Name]])</f>
        <v>Summer Weiss</v>
      </c>
      <c r="D434" s="1" t="str">
        <f>PROPER(Customer_Data_[[#This Row],[Name 1]])</f>
        <v>Summer Weiss</v>
      </c>
      <c r="E434" s="1">
        <v>37</v>
      </c>
      <c r="F434" s="1" t="s">
        <v>8</v>
      </c>
      <c r="G434" s="1" t="s">
        <v>1338</v>
      </c>
      <c r="H434" s="1" t="s">
        <v>86</v>
      </c>
      <c r="I434" s="7" t="s">
        <v>24</v>
      </c>
      <c r="J434" s="1" t="str">
        <f>IF(ISBLANK(Customer_Data_[[#This Row],[Loyalty_Level]]),"Silver",Customer_Data_[[#This Row],[Loyalty_Level]])</f>
        <v>Bronze</v>
      </c>
    </row>
    <row r="435" spans="1:10" x14ac:dyDescent="0.35">
      <c r="A435" s="6" t="s">
        <v>1339</v>
      </c>
      <c r="B435" s="1" t="s">
        <v>1340</v>
      </c>
      <c r="C435" s="1" t="str">
        <f>TRIM(Customer_Data_[[#This Row],[Name]])</f>
        <v>Thomas Moore</v>
      </c>
      <c r="D435" s="1" t="str">
        <f>PROPER(Customer_Data_[[#This Row],[Name 1]])</f>
        <v>Thomas Moore</v>
      </c>
      <c r="E435" s="1">
        <v>51</v>
      </c>
      <c r="F435" s="1" t="s">
        <v>14</v>
      </c>
      <c r="G435" s="1" t="s">
        <v>1341</v>
      </c>
      <c r="H435" s="1" t="s">
        <v>56</v>
      </c>
      <c r="I435" s="7" t="s">
        <v>29</v>
      </c>
      <c r="J435" s="1" t="str">
        <f>IF(ISBLANK(Customer_Data_[[#This Row],[Loyalty_Level]]),"Silver",Customer_Data_[[#This Row],[Loyalty_Level]])</f>
        <v>Silver</v>
      </c>
    </row>
    <row r="436" spans="1:10" x14ac:dyDescent="0.35">
      <c r="A436" s="6" t="s">
        <v>1342</v>
      </c>
      <c r="B436" s="1" t="s">
        <v>1343</v>
      </c>
      <c r="C436" s="1" t="str">
        <f>TRIM(Customer_Data_[[#This Row],[Name]])</f>
        <v>Monique Castro</v>
      </c>
      <c r="D436" s="1" t="str">
        <f>PROPER(Customer_Data_[[#This Row],[Name 1]])</f>
        <v>Monique Castro</v>
      </c>
      <c r="E436" s="1">
        <v>48</v>
      </c>
      <c r="F436" s="1" t="s">
        <v>14</v>
      </c>
      <c r="G436" s="1" t="s">
        <v>1344</v>
      </c>
      <c r="H436" s="1" t="s">
        <v>251</v>
      </c>
      <c r="I436" s="7" t="s">
        <v>11</v>
      </c>
      <c r="J436" s="1" t="str">
        <f>IF(ISBLANK(Customer_Data_[[#This Row],[Loyalty_Level]]),"Silver",Customer_Data_[[#This Row],[Loyalty_Level]])</f>
        <v>Gold</v>
      </c>
    </row>
    <row r="437" spans="1:10" x14ac:dyDescent="0.35">
      <c r="A437" s="6" t="s">
        <v>1345</v>
      </c>
      <c r="B437" s="1" t="s">
        <v>1346</v>
      </c>
      <c r="C437" s="1" t="str">
        <f>TRIM(Customer_Data_[[#This Row],[Name]])</f>
        <v>Lindsay Beasley</v>
      </c>
      <c r="D437" s="1" t="str">
        <f>PROPER(Customer_Data_[[#This Row],[Name 1]])</f>
        <v>Lindsay Beasley</v>
      </c>
      <c r="E437" s="1">
        <v>37</v>
      </c>
      <c r="F437" s="1" t="s">
        <v>14</v>
      </c>
      <c r="G437" s="1" t="s">
        <v>1347</v>
      </c>
      <c r="H437" s="1" t="s">
        <v>104</v>
      </c>
      <c r="I437" s="7" t="s">
        <v>29</v>
      </c>
      <c r="J437" s="1" t="str">
        <f>IF(ISBLANK(Customer_Data_[[#This Row],[Loyalty_Level]]),"Silver",Customer_Data_[[#This Row],[Loyalty_Level]])</f>
        <v>Silver</v>
      </c>
    </row>
    <row r="438" spans="1:10" x14ac:dyDescent="0.35">
      <c r="A438" s="6" t="s">
        <v>1348</v>
      </c>
      <c r="B438" s="1" t="s">
        <v>1349</v>
      </c>
      <c r="C438" s="1" t="str">
        <f>TRIM(Customer_Data_[[#This Row],[Name]])</f>
        <v>Sharon Simpson</v>
      </c>
      <c r="D438" s="1" t="str">
        <f>PROPER(Customer_Data_[[#This Row],[Name 1]])</f>
        <v>Sharon Simpson</v>
      </c>
      <c r="E438" s="1">
        <v>61</v>
      </c>
      <c r="F438" s="1" t="s">
        <v>8</v>
      </c>
      <c r="G438" s="1" t="s">
        <v>1350</v>
      </c>
      <c r="H438" s="1" t="s">
        <v>37</v>
      </c>
      <c r="I438" s="7" t="s">
        <v>11</v>
      </c>
      <c r="J438" s="1" t="str">
        <f>IF(ISBLANK(Customer_Data_[[#This Row],[Loyalty_Level]]),"Silver",Customer_Data_[[#This Row],[Loyalty_Level]])</f>
        <v>Gold</v>
      </c>
    </row>
    <row r="439" spans="1:10" x14ac:dyDescent="0.35">
      <c r="A439" s="6" t="s">
        <v>1351</v>
      </c>
      <c r="B439" s="1" t="s">
        <v>1352</v>
      </c>
      <c r="C439" s="1" t="str">
        <f>TRIM(Customer_Data_[[#This Row],[Name]])</f>
        <v>Melinda Rivera</v>
      </c>
      <c r="D439" s="1" t="str">
        <f>PROPER(Customer_Data_[[#This Row],[Name 1]])</f>
        <v>Melinda Rivera</v>
      </c>
      <c r="E439" s="1">
        <v>47</v>
      </c>
      <c r="F439" s="1" t="s">
        <v>14</v>
      </c>
      <c r="G439" s="1" t="s">
        <v>594</v>
      </c>
      <c r="H439" s="1" t="s">
        <v>45</v>
      </c>
      <c r="I439" s="7" t="s">
        <v>17</v>
      </c>
      <c r="J439" s="1" t="str">
        <f>IF(ISBLANK(Customer_Data_[[#This Row],[Loyalty_Level]]),"Silver",Customer_Data_[[#This Row],[Loyalty_Level]])</f>
        <v>Platinum</v>
      </c>
    </row>
    <row r="440" spans="1:10" x14ac:dyDescent="0.35">
      <c r="A440" s="6" t="s">
        <v>1353</v>
      </c>
      <c r="B440" s="1" t="s">
        <v>1354</v>
      </c>
      <c r="C440" s="1" t="str">
        <f>TRIM(Customer_Data_[[#This Row],[Name]])</f>
        <v>Monica Flynn</v>
      </c>
      <c r="D440" s="1" t="str">
        <f>PROPER(Customer_Data_[[#This Row],[Name 1]])</f>
        <v>Monica Flynn</v>
      </c>
      <c r="E440" s="1">
        <v>59</v>
      </c>
      <c r="F440" s="1" t="s">
        <v>14</v>
      </c>
      <c r="G440" s="1" t="s">
        <v>1355</v>
      </c>
      <c r="H440" s="1" t="s">
        <v>234</v>
      </c>
      <c r="I440" s="7" t="s">
        <v>17</v>
      </c>
      <c r="J440" s="1" t="str">
        <f>IF(ISBLANK(Customer_Data_[[#This Row],[Loyalty_Level]]),"Silver",Customer_Data_[[#This Row],[Loyalty_Level]])</f>
        <v>Platinum</v>
      </c>
    </row>
    <row r="441" spans="1:10" x14ac:dyDescent="0.35">
      <c r="A441" s="6" t="s">
        <v>1356</v>
      </c>
      <c r="B441" s="1" t="s">
        <v>1357</v>
      </c>
      <c r="C441" s="1" t="str">
        <f>TRIM(Customer_Data_[[#This Row],[Name]])</f>
        <v>John Compton</v>
      </c>
      <c r="D441" s="1" t="str">
        <f>PROPER(Customer_Data_[[#This Row],[Name 1]])</f>
        <v>John Compton</v>
      </c>
      <c r="E441" s="1">
        <v>53</v>
      </c>
      <c r="F441" s="1" t="s">
        <v>8</v>
      </c>
      <c r="G441" s="1" t="s">
        <v>928</v>
      </c>
      <c r="H441" s="1" t="s">
        <v>154</v>
      </c>
      <c r="I441" s="7" t="s">
        <v>29</v>
      </c>
      <c r="J441" s="1" t="str">
        <f>IF(ISBLANK(Customer_Data_[[#This Row],[Loyalty_Level]]),"Silver",Customer_Data_[[#This Row],[Loyalty_Level]])</f>
        <v>Silver</v>
      </c>
    </row>
    <row r="442" spans="1:10" x14ac:dyDescent="0.35">
      <c r="A442" s="6" t="s">
        <v>1358</v>
      </c>
      <c r="B442" s="1" t="s">
        <v>1359</v>
      </c>
      <c r="C442" s="1" t="str">
        <f>TRIM(Customer_Data_[[#This Row],[Name]])</f>
        <v>Tammy Trevino</v>
      </c>
      <c r="D442" s="1" t="str">
        <f>PROPER(Customer_Data_[[#This Row],[Name 1]])</f>
        <v>Tammy Trevino</v>
      </c>
      <c r="E442" s="1">
        <v>60</v>
      </c>
      <c r="F442" s="1" t="s">
        <v>8</v>
      </c>
      <c r="G442" s="1" t="s">
        <v>1360</v>
      </c>
      <c r="H442" s="1" t="s">
        <v>16</v>
      </c>
      <c r="I442" s="7" t="s">
        <v>29</v>
      </c>
      <c r="J442" s="1" t="str">
        <f>IF(ISBLANK(Customer_Data_[[#This Row],[Loyalty_Level]]),"Silver",Customer_Data_[[#This Row],[Loyalty_Level]])</f>
        <v>Silver</v>
      </c>
    </row>
    <row r="443" spans="1:10" x14ac:dyDescent="0.35">
      <c r="A443" s="6" t="s">
        <v>1361</v>
      </c>
      <c r="B443" s="1" t="s">
        <v>1362</v>
      </c>
      <c r="C443" s="1" t="str">
        <f>TRIM(Customer_Data_[[#This Row],[Name]])</f>
        <v>Dalton Walters</v>
      </c>
      <c r="D443" s="1" t="str">
        <f>PROPER(Customer_Data_[[#This Row],[Name 1]])</f>
        <v>Dalton Walters</v>
      </c>
      <c r="E443" s="1">
        <v>31</v>
      </c>
      <c r="F443" s="1" t="s">
        <v>8</v>
      </c>
      <c r="G443" s="1" t="s">
        <v>1363</v>
      </c>
      <c r="H443" s="1" t="s">
        <v>321</v>
      </c>
      <c r="I443" s="7" t="s">
        <v>29</v>
      </c>
      <c r="J443" s="1" t="str">
        <f>IF(ISBLANK(Customer_Data_[[#This Row],[Loyalty_Level]]),"Silver",Customer_Data_[[#This Row],[Loyalty_Level]])</f>
        <v>Silver</v>
      </c>
    </row>
    <row r="444" spans="1:10" x14ac:dyDescent="0.35">
      <c r="A444" s="6" t="s">
        <v>1364</v>
      </c>
      <c r="B444" s="1" t="s">
        <v>1365</v>
      </c>
      <c r="C444" s="1" t="str">
        <f>TRIM(Customer_Data_[[#This Row],[Name]])</f>
        <v>Kelli Smith</v>
      </c>
      <c r="D444" s="1" t="str">
        <f>PROPER(Customer_Data_[[#This Row],[Name 1]])</f>
        <v>Kelli Smith</v>
      </c>
      <c r="E444" s="1">
        <v>42</v>
      </c>
      <c r="F444" s="1" t="s">
        <v>14</v>
      </c>
      <c r="G444" s="1" t="s">
        <v>1366</v>
      </c>
      <c r="H444" s="1" t="s">
        <v>33</v>
      </c>
      <c r="I444" s="7" t="s">
        <v>24</v>
      </c>
      <c r="J444" s="1" t="str">
        <f>IF(ISBLANK(Customer_Data_[[#This Row],[Loyalty_Level]]),"Silver",Customer_Data_[[#This Row],[Loyalty_Level]])</f>
        <v>Bronze</v>
      </c>
    </row>
    <row r="445" spans="1:10" x14ac:dyDescent="0.35">
      <c r="A445" s="6" t="s">
        <v>1367</v>
      </c>
      <c r="B445" s="1" t="s">
        <v>1368</v>
      </c>
      <c r="C445" s="1" t="str">
        <f>TRIM(Customer_Data_[[#This Row],[Name]])</f>
        <v>Adam Castro</v>
      </c>
      <c r="D445" s="1" t="str">
        <f>PROPER(Customer_Data_[[#This Row],[Name 1]])</f>
        <v>Adam Castro</v>
      </c>
      <c r="E445" s="1">
        <v>51</v>
      </c>
      <c r="F445" s="1" t="s">
        <v>8</v>
      </c>
      <c r="G445" s="1" t="s">
        <v>1369</v>
      </c>
      <c r="H445" s="1" t="s">
        <v>356</v>
      </c>
      <c r="I445" s="7" t="s">
        <v>29</v>
      </c>
      <c r="J445" s="1" t="str">
        <f>IF(ISBLANK(Customer_Data_[[#This Row],[Loyalty_Level]]),"Silver",Customer_Data_[[#This Row],[Loyalty_Level]])</f>
        <v>Silver</v>
      </c>
    </row>
    <row r="446" spans="1:10" x14ac:dyDescent="0.35">
      <c r="A446" s="6" t="s">
        <v>1370</v>
      </c>
      <c r="B446" s="1" t="s">
        <v>1371</v>
      </c>
      <c r="C446" s="1" t="str">
        <f>TRIM(Customer_Data_[[#This Row],[Name]])</f>
        <v>Cheryl Carr</v>
      </c>
      <c r="D446" s="1" t="str">
        <f>PROPER(Customer_Data_[[#This Row],[Name 1]])</f>
        <v>Cheryl Carr</v>
      </c>
      <c r="E446" s="1">
        <v>19</v>
      </c>
      <c r="F446" s="1" t="s">
        <v>8</v>
      </c>
      <c r="G446" s="1" t="s">
        <v>1372</v>
      </c>
      <c r="H446" s="1" t="s">
        <v>842</v>
      </c>
      <c r="I446" s="7" t="s">
        <v>11</v>
      </c>
      <c r="J446" s="1" t="str">
        <f>IF(ISBLANK(Customer_Data_[[#This Row],[Loyalty_Level]]),"Silver",Customer_Data_[[#This Row],[Loyalty_Level]])</f>
        <v>Gold</v>
      </c>
    </row>
    <row r="447" spans="1:10" x14ac:dyDescent="0.35">
      <c r="A447" s="6" t="s">
        <v>1373</v>
      </c>
      <c r="B447" s="1" t="s">
        <v>1374</v>
      </c>
      <c r="C447" s="1" t="str">
        <f>TRIM(Customer_Data_[[#This Row],[Name]])</f>
        <v>Gene Lee</v>
      </c>
      <c r="D447" s="1" t="str">
        <f>PROPER(Customer_Data_[[#This Row],[Name 1]])</f>
        <v>Gene Lee</v>
      </c>
      <c r="E447" s="1">
        <v>41</v>
      </c>
      <c r="F447" s="1" t="s">
        <v>14</v>
      </c>
      <c r="G447" s="1" t="s">
        <v>1375</v>
      </c>
      <c r="H447" s="1" t="s">
        <v>284</v>
      </c>
      <c r="I447" s="7" t="s">
        <v>17</v>
      </c>
      <c r="J447" s="1" t="str">
        <f>IF(ISBLANK(Customer_Data_[[#This Row],[Loyalty_Level]]),"Silver",Customer_Data_[[#This Row],[Loyalty_Level]])</f>
        <v>Platinum</v>
      </c>
    </row>
    <row r="448" spans="1:10" x14ac:dyDescent="0.35">
      <c r="A448" s="6" t="s">
        <v>1376</v>
      </c>
      <c r="B448" s="1" t="s">
        <v>1377</v>
      </c>
      <c r="C448" s="1" t="str">
        <f>TRIM(Customer_Data_[[#This Row],[Name]])</f>
        <v>Shannon Turner</v>
      </c>
      <c r="D448" s="1" t="str">
        <f>PROPER(Customer_Data_[[#This Row],[Name 1]])</f>
        <v>Shannon Turner</v>
      </c>
      <c r="E448" s="1">
        <v>35</v>
      </c>
      <c r="F448" s="1" t="s">
        <v>8</v>
      </c>
      <c r="G448" s="1" t="s">
        <v>1378</v>
      </c>
      <c r="H448" s="1" t="s">
        <v>94</v>
      </c>
      <c r="I448" s="7" t="s">
        <v>29</v>
      </c>
      <c r="J448" s="1" t="str">
        <f>IF(ISBLANK(Customer_Data_[[#This Row],[Loyalty_Level]]),"Silver",Customer_Data_[[#This Row],[Loyalty_Level]])</f>
        <v>Silver</v>
      </c>
    </row>
    <row r="449" spans="1:10" x14ac:dyDescent="0.35">
      <c r="A449" s="6" t="s">
        <v>1379</v>
      </c>
      <c r="B449" s="1" t="s">
        <v>1380</v>
      </c>
      <c r="C449" s="1" t="str">
        <f>TRIM(Customer_Data_[[#This Row],[Name]])</f>
        <v>Monica Wright</v>
      </c>
      <c r="D449" s="1" t="str">
        <f>PROPER(Customer_Data_[[#This Row],[Name 1]])</f>
        <v>Monica Wright</v>
      </c>
      <c r="E449" s="1">
        <v>45</v>
      </c>
      <c r="F449" s="1" t="s">
        <v>8</v>
      </c>
      <c r="G449" s="1" t="s">
        <v>1381</v>
      </c>
      <c r="H449" s="1" t="s">
        <v>10</v>
      </c>
      <c r="I449" s="7" t="s">
        <v>11</v>
      </c>
      <c r="J449" s="1" t="str">
        <f>IF(ISBLANK(Customer_Data_[[#This Row],[Loyalty_Level]]),"Silver",Customer_Data_[[#This Row],[Loyalty_Level]])</f>
        <v>Gold</v>
      </c>
    </row>
    <row r="450" spans="1:10" x14ac:dyDescent="0.35">
      <c r="A450" s="6" t="s">
        <v>1382</v>
      </c>
      <c r="B450" s="1" t="s">
        <v>1383</v>
      </c>
      <c r="C450" s="1" t="str">
        <f>TRIM(Customer_Data_[[#This Row],[Name]])</f>
        <v>Eric Holmes</v>
      </c>
      <c r="D450" s="1" t="str">
        <f>PROPER(Customer_Data_[[#This Row],[Name 1]])</f>
        <v>Eric Holmes</v>
      </c>
      <c r="E450" s="1">
        <v>64</v>
      </c>
      <c r="F450" s="1" t="s">
        <v>14</v>
      </c>
      <c r="G450" s="1" t="s">
        <v>1384</v>
      </c>
      <c r="H450" s="1" t="s">
        <v>842</v>
      </c>
      <c r="I450" s="7" t="s">
        <v>24</v>
      </c>
      <c r="J450" s="1" t="str">
        <f>IF(ISBLANK(Customer_Data_[[#This Row],[Loyalty_Level]]),"Silver",Customer_Data_[[#This Row],[Loyalty_Level]])</f>
        <v>Bronze</v>
      </c>
    </row>
    <row r="451" spans="1:10" x14ac:dyDescent="0.35">
      <c r="A451" s="6" t="s">
        <v>1385</v>
      </c>
      <c r="B451" s="1" t="s">
        <v>1386</v>
      </c>
      <c r="C451" s="1" t="str">
        <f>TRIM(Customer_Data_[[#This Row],[Name]])</f>
        <v>William Cortez</v>
      </c>
      <c r="D451" s="1" t="str">
        <f>PROPER(Customer_Data_[[#This Row],[Name 1]])</f>
        <v>William Cortez</v>
      </c>
      <c r="E451" s="1">
        <v>29</v>
      </c>
      <c r="F451" s="1" t="s">
        <v>8</v>
      </c>
      <c r="G451" s="1" t="s">
        <v>1387</v>
      </c>
      <c r="H451" s="1" t="s">
        <v>23</v>
      </c>
      <c r="I451" s="7" t="s">
        <v>24</v>
      </c>
      <c r="J451" s="1" t="str">
        <f>IF(ISBLANK(Customer_Data_[[#This Row],[Loyalty_Level]]),"Silver",Customer_Data_[[#This Row],[Loyalty_Level]])</f>
        <v>Bronze</v>
      </c>
    </row>
    <row r="452" spans="1:10" x14ac:dyDescent="0.35">
      <c r="A452" s="6" t="s">
        <v>1388</v>
      </c>
      <c r="B452" s="1" t="s">
        <v>1389</v>
      </c>
      <c r="C452" s="1" t="str">
        <f>TRIM(Customer_Data_[[#This Row],[Name]])</f>
        <v>Shane Mills</v>
      </c>
      <c r="D452" s="1" t="str">
        <f>PROPER(Customer_Data_[[#This Row],[Name 1]])</f>
        <v>Shane Mills</v>
      </c>
      <c r="E452" s="1">
        <v>59</v>
      </c>
      <c r="F452" s="1" t="s">
        <v>8</v>
      </c>
      <c r="G452" s="1" t="s">
        <v>1390</v>
      </c>
      <c r="H452" s="1" t="s">
        <v>68</v>
      </c>
      <c r="I452" s="7" t="s">
        <v>24</v>
      </c>
      <c r="J452" s="1" t="str">
        <f>IF(ISBLANK(Customer_Data_[[#This Row],[Loyalty_Level]]),"Silver",Customer_Data_[[#This Row],[Loyalty_Level]])</f>
        <v>Bronze</v>
      </c>
    </row>
    <row r="453" spans="1:10" x14ac:dyDescent="0.35">
      <c r="A453" s="6" t="s">
        <v>1391</v>
      </c>
      <c r="B453" s="1" t="s">
        <v>1392</v>
      </c>
      <c r="C453" s="1" t="str">
        <f>TRIM(Customer_Data_[[#This Row],[Name]])</f>
        <v>Ashley Roberts</v>
      </c>
      <c r="D453" s="1" t="str">
        <f>PROPER(Customer_Data_[[#This Row],[Name 1]])</f>
        <v>Ashley Roberts</v>
      </c>
      <c r="E453" s="1">
        <v>46</v>
      </c>
      <c r="F453" s="1" t="s">
        <v>8</v>
      </c>
      <c r="G453" s="1" t="s">
        <v>561</v>
      </c>
      <c r="H453" s="1" t="s">
        <v>230</v>
      </c>
      <c r="I453" s="7" t="s">
        <v>11</v>
      </c>
      <c r="J453" s="1" t="str">
        <f>IF(ISBLANK(Customer_Data_[[#This Row],[Loyalty_Level]]),"Silver",Customer_Data_[[#This Row],[Loyalty_Level]])</f>
        <v>Gold</v>
      </c>
    </row>
    <row r="454" spans="1:10" x14ac:dyDescent="0.35">
      <c r="A454" s="6" t="s">
        <v>1393</v>
      </c>
      <c r="B454" s="1" t="s">
        <v>1394</v>
      </c>
      <c r="C454" s="1" t="str">
        <f>TRIM(Customer_Data_[[#This Row],[Name]])</f>
        <v>Jeffery Wolf</v>
      </c>
      <c r="D454" s="1" t="str">
        <f>PROPER(Customer_Data_[[#This Row],[Name 1]])</f>
        <v>Jeffery Wolf</v>
      </c>
      <c r="E454" s="1">
        <v>60</v>
      </c>
      <c r="F454" s="1" t="s">
        <v>14</v>
      </c>
      <c r="G454" s="1" t="s">
        <v>1395</v>
      </c>
      <c r="H454" s="1" t="s">
        <v>310</v>
      </c>
      <c r="I454" s="7" t="s">
        <v>24</v>
      </c>
      <c r="J454" s="1" t="str">
        <f>IF(ISBLANK(Customer_Data_[[#This Row],[Loyalty_Level]]),"Silver",Customer_Data_[[#This Row],[Loyalty_Level]])</f>
        <v>Bronze</v>
      </c>
    </row>
    <row r="455" spans="1:10" x14ac:dyDescent="0.35">
      <c r="A455" s="6" t="s">
        <v>1396</v>
      </c>
      <c r="B455" s="1" t="s">
        <v>1397</v>
      </c>
      <c r="C455" s="1" t="str">
        <f>TRIM(Customer_Data_[[#This Row],[Name]])</f>
        <v>April Phillips</v>
      </c>
      <c r="D455" s="1" t="str">
        <f>PROPER(Customer_Data_[[#This Row],[Name 1]])</f>
        <v>April Phillips</v>
      </c>
      <c r="E455" s="1">
        <v>62</v>
      </c>
      <c r="F455" s="1" t="s">
        <v>14</v>
      </c>
      <c r="G455" s="1" t="s">
        <v>1398</v>
      </c>
      <c r="H455" s="1" t="s">
        <v>97</v>
      </c>
      <c r="I455" s="7" t="s">
        <v>17</v>
      </c>
      <c r="J455" s="1" t="str">
        <f>IF(ISBLANK(Customer_Data_[[#This Row],[Loyalty_Level]]),"Silver",Customer_Data_[[#This Row],[Loyalty_Level]])</f>
        <v>Platinum</v>
      </c>
    </row>
    <row r="456" spans="1:10" x14ac:dyDescent="0.35">
      <c r="A456" s="6" t="s">
        <v>1399</v>
      </c>
      <c r="B456" s="1" t="s">
        <v>1400</v>
      </c>
      <c r="C456" s="1" t="str">
        <f>TRIM(Customer_Data_[[#This Row],[Name]])</f>
        <v>John Berg</v>
      </c>
      <c r="D456" s="1" t="str">
        <f>PROPER(Customer_Data_[[#This Row],[Name 1]])</f>
        <v>John Berg</v>
      </c>
      <c r="E456" s="1">
        <v>60</v>
      </c>
      <c r="F456" s="1" t="s">
        <v>8</v>
      </c>
      <c r="G456" s="1" t="s">
        <v>127</v>
      </c>
      <c r="H456" s="1" t="s">
        <v>94</v>
      </c>
      <c r="I456" s="7" t="s">
        <v>11</v>
      </c>
      <c r="J456" s="1" t="str">
        <f>IF(ISBLANK(Customer_Data_[[#This Row],[Loyalty_Level]]),"Silver",Customer_Data_[[#This Row],[Loyalty_Level]])</f>
        <v>Gold</v>
      </c>
    </row>
    <row r="457" spans="1:10" x14ac:dyDescent="0.35">
      <c r="A457" s="6" t="s">
        <v>1401</v>
      </c>
      <c r="B457" s="1" t="s">
        <v>1402</v>
      </c>
      <c r="C457" s="1" t="str">
        <f>TRIM(Customer_Data_[[#This Row],[Name]])</f>
        <v>Tyler Weber</v>
      </c>
      <c r="D457" s="1" t="str">
        <f>PROPER(Customer_Data_[[#This Row],[Name 1]])</f>
        <v>Tyler Weber</v>
      </c>
      <c r="E457" s="1">
        <v>54</v>
      </c>
      <c r="F457" s="1" t="s">
        <v>8</v>
      </c>
      <c r="G457" s="1" t="s">
        <v>1403</v>
      </c>
      <c r="H457" s="1" t="s">
        <v>191</v>
      </c>
      <c r="I457" s="7" t="s">
        <v>11</v>
      </c>
      <c r="J457" s="1" t="str">
        <f>IF(ISBLANK(Customer_Data_[[#This Row],[Loyalty_Level]]),"Silver",Customer_Data_[[#This Row],[Loyalty_Level]])</f>
        <v>Gold</v>
      </c>
    </row>
    <row r="458" spans="1:10" x14ac:dyDescent="0.35">
      <c r="A458" s="6" t="s">
        <v>1404</v>
      </c>
      <c r="B458" s="1" t="s">
        <v>1405</v>
      </c>
      <c r="C458" s="1" t="str">
        <f>TRIM(Customer_Data_[[#This Row],[Name]])</f>
        <v>Julie Powell</v>
      </c>
      <c r="D458" s="1" t="str">
        <f>PROPER(Customer_Data_[[#This Row],[Name 1]])</f>
        <v>Julie Powell</v>
      </c>
      <c r="E458" s="1">
        <v>59</v>
      </c>
      <c r="F458" s="1" t="s">
        <v>14</v>
      </c>
      <c r="G458" s="1" t="s">
        <v>1406</v>
      </c>
      <c r="H458" s="1" t="s">
        <v>288</v>
      </c>
      <c r="I458" s="7" t="s">
        <v>11</v>
      </c>
      <c r="J458" s="1" t="str">
        <f>IF(ISBLANK(Customer_Data_[[#This Row],[Loyalty_Level]]),"Silver",Customer_Data_[[#This Row],[Loyalty_Level]])</f>
        <v>Gold</v>
      </c>
    </row>
    <row r="459" spans="1:10" x14ac:dyDescent="0.35">
      <c r="A459" s="6" t="s">
        <v>1407</v>
      </c>
      <c r="B459" s="1" t="s">
        <v>1408</v>
      </c>
      <c r="C459" s="1" t="str">
        <f>TRIM(Customer_Data_[[#This Row],[Name]])</f>
        <v>Christina Robertson</v>
      </c>
      <c r="D459" s="1" t="str">
        <f>PROPER(Customer_Data_[[#This Row],[Name 1]])</f>
        <v>Christina Robertson</v>
      </c>
      <c r="E459" s="1">
        <v>59</v>
      </c>
      <c r="F459" s="1" t="s">
        <v>8</v>
      </c>
      <c r="G459" s="1" t="s">
        <v>1409</v>
      </c>
      <c r="H459" s="1" t="s">
        <v>585</v>
      </c>
      <c r="I459" s="7" t="s">
        <v>17</v>
      </c>
      <c r="J459" s="1" t="str">
        <f>IF(ISBLANK(Customer_Data_[[#This Row],[Loyalty_Level]]),"Silver",Customer_Data_[[#This Row],[Loyalty_Level]])</f>
        <v>Platinum</v>
      </c>
    </row>
    <row r="460" spans="1:10" x14ac:dyDescent="0.35">
      <c r="A460" s="6" t="s">
        <v>1410</v>
      </c>
      <c r="B460" s="1" t="s">
        <v>1411</v>
      </c>
      <c r="C460" s="1" t="str">
        <f>TRIM(Customer_Data_[[#This Row],[Name]])</f>
        <v>Kelly Garrett</v>
      </c>
      <c r="D460" s="1" t="str">
        <f>PROPER(Customer_Data_[[#This Row],[Name 1]])</f>
        <v>Kelly Garrett</v>
      </c>
      <c r="E460" s="1">
        <v>62</v>
      </c>
      <c r="F460" s="1" t="s">
        <v>14</v>
      </c>
      <c r="G460" s="1" t="s">
        <v>1412</v>
      </c>
      <c r="H460" s="1" t="s">
        <v>49</v>
      </c>
      <c r="I460" s="7" t="s">
        <v>29</v>
      </c>
      <c r="J460" s="1" t="str">
        <f>IF(ISBLANK(Customer_Data_[[#This Row],[Loyalty_Level]]),"Silver",Customer_Data_[[#This Row],[Loyalty_Level]])</f>
        <v>Silver</v>
      </c>
    </row>
    <row r="461" spans="1:10" x14ac:dyDescent="0.35">
      <c r="A461" s="6" t="s">
        <v>1413</v>
      </c>
      <c r="B461" s="1" t="s">
        <v>676</v>
      </c>
      <c r="C461" s="1" t="str">
        <f>TRIM(Customer_Data_[[#This Row],[Name]])</f>
        <v>John Perez</v>
      </c>
      <c r="D461" s="1" t="str">
        <f>PROPER(Customer_Data_[[#This Row],[Name 1]])</f>
        <v>John Perez</v>
      </c>
      <c r="E461" s="1">
        <v>29</v>
      </c>
      <c r="F461" s="1" t="s">
        <v>14</v>
      </c>
      <c r="G461" s="1" t="s">
        <v>1414</v>
      </c>
      <c r="H461" s="1" t="s">
        <v>314</v>
      </c>
      <c r="I461" s="7" t="s">
        <v>11</v>
      </c>
      <c r="J461" s="1" t="str">
        <f>IF(ISBLANK(Customer_Data_[[#This Row],[Loyalty_Level]]),"Silver",Customer_Data_[[#This Row],[Loyalty_Level]])</f>
        <v>Gold</v>
      </c>
    </row>
    <row r="462" spans="1:10" x14ac:dyDescent="0.35">
      <c r="A462" s="6" t="s">
        <v>1415</v>
      </c>
      <c r="B462" s="1" t="s">
        <v>1416</v>
      </c>
      <c r="C462" s="1" t="str">
        <f>TRIM(Customer_Data_[[#This Row],[Name]])</f>
        <v>Justin Johnson</v>
      </c>
      <c r="D462" s="1" t="str">
        <f>PROPER(Customer_Data_[[#This Row],[Name 1]])</f>
        <v>Justin Johnson</v>
      </c>
      <c r="E462" s="1">
        <v>35</v>
      </c>
      <c r="F462" s="1" t="s">
        <v>8</v>
      </c>
      <c r="G462" s="1" t="s">
        <v>1417</v>
      </c>
      <c r="H462" s="1" t="s">
        <v>264</v>
      </c>
      <c r="I462" s="7" t="s">
        <v>11</v>
      </c>
      <c r="J462" s="1" t="str">
        <f>IF(ISBLANK(Customer_Data_[[#This Row],[Loyalty_Level]]),"Silver",Customer_Data_[[#This Row],[Loyalty_Level]])</f>
        <v>Gold</v>
      </c>
    </row>
    <row r="463" spans="1:10" x14ac:dyDescent="0.35">
      <c r="A463" s="6" t="s">
        <v>1418</v>
      </c>
      <c r="B463" s="1" t="s">
        <v>1419</v>
      </c>
      <c r="C463" s="1" t="str">
        <f>TRIM(Customer_Data_[[#This Row],[Name]])</f>
        <v>Paul Cox</v>
      </c>
      <c r="D463" s="1" t="str">
        <f>PROPER(Customer_Data_[[#This Row],[Name 1]])</f>
        <v>Paul Cox</v>
      </c>
      <c r="E463" s="1">
        <v>60</v>
      </c>
      <c r="F463" s="1" t="s">
        <v>14</v>
      </c>
      <c r="G463" s="1" t="s">
        <v>1420</v>
      </c>
      <c r="H463" s="1" t="s">
        <v>60</v>
      </c>
      <c r="I463" s="7" t="s">
        <v>29</v>
      </c>
      <c r="J463" s="1" t="str">
        <f>IF(ISBLANK(Customer_Data_[[#This Row],[Loyalty_Level]]),"Silver",Customer_Data_[[#This Row],[Loyalty_Level]])</f>
        <v>Silver</v>
      </c>
    </row>
    <row r="464" spans="1:10" x14ac:dyDescent="0.35">
      <c r="A464" s="6" t="s">
        <v>1421</v>
      </c>
      <c r="B464" s="1" t="s">
        <v>1422</v>
      </c>
      <c r="C464" s="1" t="str">
        <f>TRIM(Customer_Data_[[#This Row],[Name]])</f>
        <v>Beth Martin</v>
      </c>
      <c r="D464" s="1" t="str">
        <f>PROPER(Customer_Data_[[#This Row],[Name 1]])</f>
        <v>Beth Martin</v>
      </c>
      <c r="E464" s="1">
        <v>34</v>
      </c>
      <c r="F464" s="1" t="s">
        <v>14</v>
      </c>
      <c r="G464" s="1" t="s">
        <v>1423</v>
      </c>
      <c r="H464" s="1" t="s">
        <v>41</v>
      </c>
      <c r="I464" s="7" t="s">
        <v>29</v>
      </c>
      <c r="J464" s="1" t="str">
        <f>IF(ISBLANK(Customer_Data_[[#This Row],[Loyalty_Level]]),"Silver",Customer_Data_[[#This Row],[Loyalty_Level]])</f>
        <v>Silver</v>
      </c>
    </row>
    <row r="465" spans="1:10" x14ac:dyDescent="0.35">
      <c r="A465" s="6" t="s">
        <v>1424</v>
      </c>
      <c r="B465" s="1" t="s">
        <v>1425</v>
      </c>
      <c r="C465" s="1" t="str">
        <f>TRIM(Customer_Data_[[#This Row],[Name]])</f>
        <v>Samantha Lee</v>
      </c>
      <c r="D465" s="1" t="str">
        <f>PROPER(Customer_Data_[[#This Row],[Name 1]])</f>
        <v>Samantha Lee</v>
      </c>
      <c r="E465" s="1">
        <v>36</v>
      </c>
      <c r="F465" s="1" t="s">
        <v>14</v>
      </c>
      <c r="G465" s="1" t="s">
        <v>1426</v>
      </c>
      <c r="H465" s="1" t="s">
        <v>165</v>
      </c>
      <c r="I465" s="7" t="s">
        <v>24</v>
      </c>
      <c r="J465" s="1" t="str">
        <f>IF(ISBLANK(Customer_Data_[[#This Row],[Loyalty_Level]]),"Silver",Customer_Data_[[#This Row],[Loyalty_Level]])</f>
        <v>Bronze</v>
      </c>
    </row>
    <row r="466" spans="1:10" x14ac:dyDescent="0.35">
      <c r="A466" s="6" t="s">
        <v>1427</v>
      </c>
      <c r="B466" s="1" t="s">
        <v>1428</v>
      </c>
      <c r="C466" s="1" t="str">
        <f>TRIM(Customer_Data_[[#This Row],[Name]])</f>
        <v>David Pierce</v>
      </c>
      <c r="D466" s="1" t="str">
        <f>PROPER(Customer_Data_[[#This Row],[Name 1]])</f>
        <v>David Pierce</v>
      </c>
      <c r="E466" s="1">
        <v>45</v>
      </c>
      <c r="F466" s="1" t="s">
        <v>14</v>
      </c>
      <c r="G466" s="1" t="s">
        <v>1429</v>
      </c>
      <c r="H466" s="1" t="s">
        <v>72</v>
      </c>
      <c r="I466" s="7" t="s">
        <v>17</v>
      </c>
      <c r="J466" s="1" t="str">
        <f>IF(ISBLANK(Customer_Data_[[#This Row],[Loyalty_Level]]),"Silver",Customer_Data_[[#This Row],[Loyalty_Level]])</f>
        <v>Platinum</v>
      </c>
    </row>
    <row r="467" spans="1:10" x14ac:dyDescent="0.35">
      <c r="A467" s="6" t="s">
        <v>1430</v>
      </c>
      <c r="B467" s="1" t="s">
        <v>1431</v>
      </c>
      <c r="C467" s="1" t="str">
        <f>TRIM(Customer_Data_[[#This Row],[Name]])</f>
        <v>Ronald Ross</v>
      </c>
      <c r="D467" s="1" t="str">
        <f>PROPER(Customer_Data_[[#This Row],[Name 1]])</f>
        <v>Ronald Ross</v>
      </c>
      <c r="E467" s="1">
        <v>28</v>
      </c>
      <c r="F467" s="1" t="s">
        <v>14</v>
      </c>
      <c r="G467" s="1" t="s">
        <v>1432</v>
      </c>
      <c r="H467" s="1" t="s">
        <v>10</v>
      </c>
      <c r="I467" s="7" t="s">
        <v>29</v>
      </c>
      <c r="J467" s="1" t="str">
        <f>IF(ISBLANK(Customer_Data_[[#This Row],[Loyalty_Level]]),"Silver",Customer_Data_[[#This Row],[Loyalty_Level]])</f>
        <v>Silver</v>
      </c>
    </row>
    <row r="468" spans="1:10" x14ac:dyDescent="0.35">
      <c r="A468" s="6" t="s">
        <v>1433</v>
      </c>
      <c r="B468" s="1" t="s">
        <v>1434</v>
      </c>
      <c r="C468" s="1" t="str">
        <f>TRIM(Customer_Data_[[#This Row],[Name]])</f>
        <v>Cynthia Parrish</v>
      </c>
      <c r="D468" s="1" t="str">
        <f>PROPER(Customer_Data_[[#This Row],[Name 1]])</f>
        <v>Cynthia Parrish</v>
      </c>
      <c r="E468" s="1">
        <v>18</v>
      </c>
      <c r="F468" s="1" t="s">
        <v>8</v>
      </c>
      <c r="G468" s="1" t="s">
        <v>1435</v>
      </c>
      <c r="H468" s="1" t="s">
        <v>198</v>
      </c>
      <c r="I468" s="7" t="s">
        <v>29</v>
      </c>
      <c r="J468" s="1" t="str">
        <f>IF(ISBLANK(Customer_Data_[[#This Row],[Loyalty_Level]]),"Silver",Customer_Data_[[#This Row],[Loyalty_Level]])</f>
        <v>Silver</v>
      </c>
    </row>
    <row r="469" spans="1:10" x14ac:dyDescent="0.35">
      <c r="A469" s="6" t="s">
        <v>1436</v>
      </c>
      <c r="B469" s="1" t="s">
        <v>1437</v>
      </c>
      <c r="C469" s="1" t="str">
        <f>TRIM(Customer_Data_[[#This Row],[Name]])</f>
        <v>Michael Foley</v>
      </c>
      <c r="D469" s="1" t="str">
        <f>PROPER(Customer_Data_[[#This Row],[Name 1]])</f>
        <v>Michael Foley</v>
      </c>
      <c r="E469" s="1">
        <v>63</v>
      </c>
      <c r="F469" s="1" t="s">
        <v>14</v>
      </c>
      <c r="G469" s="1" t="s">
        <v>1438</v>
      </c>
      <c r="H469" s="1" t="s">
        <v>169</v>
      </c>
      <c r="I469" s="7" t="s">
        <v>11</v>
      </c>
      <c r="J469" s="1" t="str">
        <f>IF(ISBLANK(Customer_Data_[[#This Row],[Loyalty_Level]]),"Silver",Customer_Data_[[#This Row],[Loyalty_Level]])</f>
        <v>Gold</v>
      </c>
    </row>
    <row r="470" spans="1:10" x14ac:dyDescent="0.35">
      <c r="A470" s="6" t="s">
        <v>1439</v>
      </c>
      <c r="B470" s="1" t="s">
        <v>1440</v>
      </c>
      <c r="C470" s="1" t="str">
        <f>TRIM(Customer_Data_[[#This Row],[Name]])</f>
        <v>Gregory Curtis</v>
      </c>
      <c r="D470" s="1" t="str">
        <f>PROPER(Customer_Data_[[#This Row],[Name 1]])</f>
        <v>Gregory Curtis</v>
      </c>
      <c r="E470" s="1">
        <v>45</v>
      </c>
      <c r="F470" s="1" t="s">
        <v>8</v>
      </c>
      <c r="G470" s="1" t="s">
        <v>1441</v>
      </c>
      <c r="H470" s="1" t="s">
        <v>169</v>
      </c>
      <c r="I470" s="7" t="s">
        <v>24</v>
      </c>
      <c r="J470" s="1" t="str">
        <f>IF(ISBLANK(Customer_Data_[[#This Row],[Loyalty_Level]]),"Silver",Customer_Data_[[#This Row],[Loyalty_Level]])</f>
        <v>Bronze</v>
      </c>
    </row>
    <row r="471" spans="1:10" x14ac:dyDescent="0.35">
      <c r="A471" s="6" t="s">
        <v>1442</v>
      </c>
      <c r="B471" s="1" t="s">
        <v>1443</v>
      </c>
      <c r="C471" s="1" t="str">
        <f>TRIM(Customer_Data_[[#This Row],[Name]])</f>
        <v>James Foster</v>
      </c>
      <c r="D471" s="1" t="str">
        <f>PROPER(Customer_Data_[[#This Row],[Name 1]])</f>
        <v>James Foster</v>
      </c>
      <c r="E471" s="1">
        <v>19</v>
      </c>
      <c r="F471" s="1" t="s">
        <v>8</v>
      </c>
      <c r="G471" s="1" t="s">
        <v>1444</v>
      </c>
      <c r="H471" s="1" t="s">
        <v>115</v>
      </c>
      <c r="I471" s="7" t="s">
        <v>11</v>
      </c>
      <c r="J471" s="1" t="str">
        <f>IF(ISBLANK(Customer_Data_[[#This Row],[Loyalty_Level]]),"Silver",Customer_Data_[[#This Row],[Loyalty_Level]])</f>
        <v>Gold</v>
      </c>
    </row>
    <row r="472" spans="1:10" x14ac:dyDescent="0.35">
      <c r="A472" s="6" t="s">
        <v>1445</v>
      </c>
      <c r="B472" s="1" t="s">
        <v>1446</v>
      </c>
      <c r="C472" s="1" t="str">
        <f>TRIM(Customer_Data_[[#This Row],[Name]])</f>
        <v>Manuel Fisher</v>
      </c>
      <c r="D472" s="1" t="str">
        <f>PROPER(Customer_Data_[[#This Row],[Name 1]])</f>
        <v>Manuel Fisher</v>
      </c>
      <c r="E472" s="1">
        <v>21</v>
      </c>
      <c r="F472" s="1" t="s">
        <v>14</v>
      </c>
      <c r="G472" s="1" t="s">
        <v>1447</v>
      </c>
      <c r="H472" s="1" t="s">
        <v>45</v>
      </c>
      <c r="I472" s="7" t="s">
        <v>11</v>
      </c>
      <c r="J472" s="1" t="str">
        <f>IF(ISBLANK(Customer_Data_[[#This Row],[Loyalty_Level]]),"Silver",Customer_Data_[[#This Row],[Loyalty_Level]])</f>
        <v>Gold</v>
      </c>
    </row>
    <row r="473" spans="1:10" x14ac:dyDescent="0.35">
      <c r="A473" s="6" t="s">
        <v>1448</v>
      </c>
      <c r="B473" s="1" t="s">
        <v>1449</v>
      </c>
      <c r="C473" s="1" t="str">
        <f>TRIM(Customer_Data_[[#This Row],[Name]])</f>
        <v>Debra Mccullough</v>
      </c>
      <c r="D473" s="1" t="str">
        <f>PROPER(Customer_Data_[[#This Row],[Name 1]])</f>
        <v>Debra Mccullough</v>
      </c>
      <c r="E473" s="1">
        <v>42</v>
      </c>
      <c r="F473" s="1" t="s">
        <v>8</v>
      </c>
      <c r="G473" s="1" t="s">
        <v>1450</v>
      </c>
      <c r="H473" s="1" t="s">
        <v>64</v>
      </c>
      <c r="I473" s="7" t="s">
        <v>17</v>
      </c>
      <c r="J473" s="1" t="str">
        <f>IF(ISBLANK(Customer_Data_[[#This Row],[Loyalty_Level]]),"Silver",Customer_Data_[[#This Row],[Loyalty_Level]])</f>
        <v>Platinum</v>
      </c>
    </row>
    <row r="474" spans="1:10" x14ac:dyDescent="0.35">
      <c r="A474" s="6" t="s">
        <v>1451</v>
      </c>
      <c r="B474" s="1" t="s">
        <v>1452</v>
      </c>
      <c r="C474" s="1" t="str">
        <f>TRIM(Customer_Data_[[#This Row],[Name]])</f>
        <v>Philip Mendoza</v>
      </c>
      <c r="D474" s="1" t="str">
        <f>PROPER(Customer_Data_[[#This Row],[Name 1]])</f>
        <v>Philip Mendoza</v>
      </c>
      <c r="E474" s="1">
        <v>42</v>
      </c>
      <c r="F474" s="1" t="s">
        <v>8</v>
      </c>
      <c r="G474" s="1" t="s">
        <v>1453</v>
      </c>
      <c r="H474" s="1" t="s">
        <v>712</v>
      </c>
      <c r="I474" s="7" t="s">
        <v>29</v>
      </c>
      <c r="J474" s="1" t="str">
        <f>IF(ISBLANK(Customer_Data_[[#This Row],[Loyalty_Level]]),"Silver",Customer_Data_[[#This Row],[Loyalty_Level]])</f>
        <v>Silver</v>
      </c>
    </row>
    <row r="475" spans="1:10" x14ac:dyDescent="0.35">
      <c r="A475" s="6" t="s">
        <v>1454</v>
      </c>
      <c r="B475" s="1" t="s">
        <v>1455</v>
      </c>
      <c r="C475" s="1" t="str">
        <f>TRIM(Customer_Data_[[#This Row],[Name]])</f>
        <v>Laura Mathews</v>
      </c>
      <c r="D475" s="1" t="str">
        <f>PROPER(Customer_Data_[[#This Row],[Name 1]])</f>
        <v>Laura Mathews</v>
      </c>
      <c r="E475" s="1">
        <v>53</v>
      </c>
      <c r="F475" s="1" t="s">
        <v>8</v>
      </c>
      <c r="G475" s="1" t="s">
        <v>1456</v>
      </c>
      <c r="H475" s="1" t="s">
        <v>321</v>
      </c>
      <c r="I475" s="7" t="s">
        <v>24</v>
      </c>
      <c r="J475" s="1" t="str">
        <f>IF(ISBLANK(Customer_Data_[[#This Row],[Loyalty_Level]]),"Silver",Customer_Data_[[#This Row],[Loyalty_Level]])</f>
        <v>Bronze</v>
      </c>
    </row>
    <row r="476" spans="1:10" x14ac:dyDescent="0.35">
      <c r="A476" s="6" t="s">
        <v>1457</v>
      </c>
      <c r="B476" s="1" t="s">
        <v>1458</v>
      </c>
      <c r="C476" s="1" t="str">
        <f>TRIM(Customer_Data_[[#This Row],[Name]])</f>
        <v>Joshua Howard</v>
      </c>
      <c r="D476" s="1" t="str">
        <f>PROPER(Customer_Data_[[#This Row],[Name 1]])</f>
        <v>Joshua Howard</v>
      </c>
      <c r="E476" s="1">
        <v>32</v>
      </c>
      <c r="F476" s="1" t="s">
        <v>14</v>
      </c>
      <c r="G476" s="1" t="s">
        <v>1459</v>
      </c>
      <c r="H476" s="1" t="s">
        <v>37</v>
      </c>
      <c r="I476" s="7" t="s">
        <v>17</v>
      </c>
      <c r="J476" s="1" t="str">
        <f>IF(ISBLANK(Customer_Data_[[#This Row],[Loyalty_Level]]),"Silver",Customer_Data_[[#This Row],[Loyalty_Level]])</f>
        <v>Platinum</v>
      </c>
    </row>
    <row r="477" spans="1:10" x14ac:dyDescent="0.35">
      <c r="A477" s="6" t="s">
        <v>1460</v>
      </c>
      <c r="B477" s="1" t="s">
        <v>1461</v>
      </c>
      <c r="C477" s="1" t="str">
        <f>TRIM(Customer_Data_[[#This Row],[Name]])</f>
        <v>Barbara Berry</v>
      </c>
      <c r="D477" s="1" t="str">
        <f>PROPER(Customer_Data_[[#This Row],[Name 1]])</f>
        <v>Barbara Berry</v>
      </c>
      <c r="E477" s="1">
        <v>18</v>
      </c>
      <c r="F477" s="1" t="s">
        <v>14</v>
      </c>
      <c r="G477" s="1" t="s">
        <v>392</v>
      </c>
      <c r="H477" s="1" t="s">
        <v>169</v>
      </c>
      <c r="I477" s="7" t="s">
        <v>17</v>
      </c>
      <c r="J477" s="1" t="str">
        <f>IF(ISBLANK(Customer_Data_[[#This Row],[Loyalty_Level]]),"Silver",Customer_Data_[[#This Row],[Loyalty_Level]])</f>
        <v>Platinum</v>
      </c>
    </row>
    <row r="478" spans="1:10" x14ac:dyDescent="0.35">
      <c r="A478" s="6" t="s">
        <v>1462</v>
      </c>
      <c r="B478" s="1" t="s">
        <v>1463</v>
      </c>
      <c r="C478" s="1" t="str">
        <f>TRIM(Customer_Data_[[#This Row],[Name]])</f>
        <v>Elizabeth Foster</v>
      </c>
      <c r="D478" s="1" t="str">
        <f>PROPER(Customer_Data_[[#This Row],[Name 1]])</f>
        <v>Elizabeth Foster</v>
      </c>
      <c r="E478" s="1">
        <v>33</v>
      </c>
      <c r="F478" s="1" t="s">
        <v>14</v>
      </c>
      <c r="G478" s="1" t="s">
        <v>1464</v>
      </c>
      <c r="H478" s="1" t="s">
        <v>94</v>
      </c>
      <c r="I478" s="7" t="s">
        <v>11</v>
      </c>
      <c r="J478" s="1" t="str">
        <f>IF(ISBLANK(Customer_Data_[[#This Row],[Loyalty_Level]]),"Silver",Customer_Data_[[#This Row],[Loyalty_Level]])</f>
        <v>Gold</v>
      </c>
    </row>
    <row r="479" spans="1:10" x14ac:dyDescent="0.35">
      <c r="A479" s="6" t="s">
        <v>1465</v>
      </c>
      <c r="B479" s="1" t="s">
        <v>1466</v>
      </c>
      <c r="C479" s="1" t="str">
        <f>TRIM(Customer_Data_[[#This Row],[Name]])</f>
        <v>Andrea Harris</v>
      </c>
      <c r="D479" s="1" t="str">
        <f>PROPER(Customer_Data_[[#This Row],[Name 1]])</f>
        <v>Andrea Harris</v>
      </c>
      <c r="E479" s="1">
        <v>41</v>
      </c>
      <c r="F479" s="1" t="s">
        <v>14</v>
      </c>
      <c r="G479" s="1" t="s">
        <v>1467</v>
      </c>
      <c r="H479" s="1" t="s">
        <v>60</v>
      </c>
      <c r="I479" s="7" t="s">
        <v>17</v>
      </c>
      <c r="J479" s="1" t="str">
        <f>IF(ISBLANK(Customer_Data_[[#This Row],[Loyalty_Level]]),"Silver",Customer_Data_[[#This Row],[Loyalty_Level]])</f>
        <v>Platinum</v>
      </c>
    </row>
    <row r="480" spans="1:10" x14ac:dyDescent="0.35">
      <c r="A480" s="6" t="s">
        <v>1468</v>
      </c>
      <c r="B480" s="1" t="s">
        <v>1469</v>
      </c>
      <c r="C480" s="1" t="str">
        <f>TRIM(Customer_Data_[[#This Row],[Name]])</f>
        <v>Earl Smith DDS</v>
      </c>
      <c r="D480" s="1" t="str">
        <f>PROPER(Customer_Data_[[#This Row],[Name 1]])</f>
        <v>Earl Smith Dds</v>
      </c>
      <c r="E480" s="1">
        <v>59</v>
      </c>
      <c r="F480" s="1" t="s">
        <v>8</v>
      </c>
      <c r="G480" s="1" t="s">
        <v>1470</v>
      </c>
      <c r="H480" s="1" t="s">
        <v>37</v>
      </c>
      <c r="I480" s="7" t="s">
        <v>11</v>
      </c>
      <c r="J480" s="1" t="str">
        <f>IF(ISBLANK(Customer_Data_[[#This Row],[Loyalty_Level]]),"Silver",Customer_Data_[[#This Row],[Loyalty_Level]])</f>
        <v>Gold</v>
      </c>
    </row>
    <row r="481" spans="1:10" x14ac:dyDescent="0.35">
      <c r="A481" s="6" t="s">
        <v>1471</v>
      </c>
      <c r="B481" s="1" t="s">
        <v>1472</v>
      </c>
      <c r="C481" s="1" t="str">
        <f>TRIM(Customer_Data_[[#This Row],[Name]])</f>
        <v>Dylan Gutierrez</v>
      </c>
      <c r="D481" s="1" t="str">
        <f>PROPER(Customer_Data_[[#This Row],[Name 1]])</f>
        <v>Dylan Gutierrez</v>
      </c>
      <c r="E481" s="1">
        <v>40</v>
      </c>
      <c r="F481" s="1" t="s">
        <v>8</v>
      </c>
      <c r="G481" s="1" t="s">
        <v>1473</v>
      </c>
      <c r="H481" s="1" t="s">
        <v>41</v>
      </c>
      <c r="I481" s="7" t="s">
        <v>24</v>
      </c>
      <c r="J481" s="1" t="str">
        <f>IF(ISBLANK(Customer_Data_[[#This Row],[Loyalty_Level]]),"Silver",Customer_Data_[[#This Row],[Loyalty_Level]])</f>
        <v>Bronze</v>
      </c>
    </row>
    <row r="482" spans="1:10" x14ac:dyDescent="0.35">
      <c r="A482" s="6" t="s">
        <v>1474</v>
      </c>
      <c r="B482" s="1" t="s">
        <v>1475</v>
      </c>
      <c r="C482" s="1" t="str">
        <f>TRIM(Customer_Data_[[#This Row],[Name]])</f>
        <v>Jordan Medina</v>
      </c>
      <c r="D482" s="1" t="str">
        <f>PROPER(Customer_Data_[[#This Row],[Name 1]])</f>
        <v>Jordan Medina</v>
      </c>
      <c r="E482" s="1">
        <v>33</v>
      </c>
      <c r="F482" s="1" t="s">
        <v>8</v>
      </c>
      <c r="G482" s="1" t="s">
        <v>1476</v>
      </c>
      <c r="H482" s="1" t="s">
        <v>247</v>
      </c>
      <c r="I482" s="7" t="s">
        <v>24</v>
      </c>
      <c r="J482" s="1" t="str">
        <f>IF(ISBLANK(Customer_Data_[[#This Row],[Loyalty_Level]]),"Silver",Customer_Data_[[#This Row],[Loyalty_Level]])</f>
        <v>Bronze</v>
      </c>
    </row>
    <row r="483" spans="1:10" x14ac:dyDescent="0.35">
      <c r="A483" s="6" t="s">
        <v>1477</v>
      </c>
      <c r="B483" s="1" t="s">
        <v>1478</v>
      </c>
      <c r="C483" s="1" t="str">
        <f>TRIM(Customer_Data_[[#This Row],[Name]])</f>
        <v>Bryan Tran</v>
      </c>
      <c r="D483" s="1" t="str">
        <f>PROPER(Customer_Data_[[#This Row],[Name 1]])</f>
        <v>Bryan Tran</v>
      </c>
      <c r="E483" s="1">
        <v>21</v>
      </c>
      <c r="F483" s="1" t="s">
        <v>8</v>
      </c>
      <c r="G483" s="1" t="s">
        <v>1479</v>
      </c>
      <c r="H483" s="1" t="s">
        <v>79</v>
      </c>
      <c r="I483" s="7" t="s">
        <v>11</v>
      </c>
      <c r="J483" s="1" t="str">
        <f>IF(ISBLANK(Customer_Data_[[#This Row],[Loyalty_Level]]),"Silver",Customer_Data_[[#This Row],[Loyalty_Level]])</f>
        <v>Gold</v>
      </c>
    </row>
    <row r="484" spans="1:10" x14ac:dyDescent="0.35">
      <c r="A484" s="6" t="s">
        <v>1480</v>
      </c>
      <c r="B484" s="1" t="s">
        <v>1481</v>
      </c>
      <c r="C484" s="1" t="str">
        <f>TRIM(Customer_Data_[[#This Row],[Name]])</f>
        <v>Sheri Joyce</v>
      </c>
      <c r="D484" s="1" t="str">
        <f>PROPER(Customer_Data_[[#This Row],[Name 1]])</f>
        <v>Sheri Joyce</v>
      </c>
      <c r="E484" s="1">
        <v>26</v>
      </c>
      <c r="F484" s="1" t="s">
        <v>8</v>
      </c>
      <c r="G484" s="1" t="s">
        <v>1482</v>
      </c>
      <c r="H484" s="1" t="s">
        <v>585</v>
      </c>
      <c r="I484" s="7" t="s">
        <v>17</v>
      </c>
      <c r="J484" s="1" t="str">
        <f>IF(ISBLANK(Customer_Data_[[#This Row],[Loyalty_Level]]),"Silver",Customer_Data_[[#This Row],[Loyalty_Level]])</f>
        <v>Platinum</v>
      </c>
    </row>
    <row r="485" spans="1:10" x14ac:dyDescent="0.35">
      <c r="A485" s="6" t="s">
        <v>1483</v>
      </c>
      <c r="B485" s="1" t="s">
        <v>1269</v>
      </c>
      <c r="C485" s="1" t="str">
        <f>TRIM(Customer_Data_[[#This Row],[Name]])</f>
        <v>Sarah Smith</v>
      </c>
      <c r="D485" s="1" t="str">
        <f>PROPER(Customer_Data_[[#This Row],[Name 1]])</f>
        <v>Sarah Smith</v>
      </c>
      <c r="E485" s="1">
        <v>48</v>
      </c>
      <c r="F485" s="1" t="s">
        <v>8</v>
      </c>
      <c r="G485" s="1" t="s">
        <v>1484</v>
      </c>
      <c r="H485" s="1" t="s">
        <v>182</v>
      </c>
      <c r="I485" s="7" t="s">
        <v>11</v>
      </c>
      <c r="J485" s="1" t="str">
        <f>IF(ISBLANK(Customer_Data_[[#This Row],[Loyalty_Level]]),"Silver",Customer_Data_[[#This Row],[Loyalty_Level]])</f>
        <v>Gold</v>
      </c>
    </row>
    <row r="486" spans="1:10" x14ac:dyDescent="0.35">
      <c r="A486" s="6" t="s">
        <v>1485</v>
      </c>
      <c r="B486" s="1" t="s">
        <v>1486</v>
      </c>
      <c r="C486" s="1" t="str">
        <f>TRIM(Customer_Data_[[#This Row],[Name]])</f>
        <v>Jessica Castro</v>
      </c>
      <c r="D486" s="1" t="str">
        <f>PROPER(Customer_Data_[[#This Row],[Name 1]])</f>
        <v>Jessica Castro</v>
      </c>
      <c r="E486" s="1">
        <v>32</v>
      </c>
      <c r="F486" s="1" t="s">
        <v>8</v>
      </c>
      <c r="G486" s="1" t="s">
        <v>1487</v>
      </c>
      <c r="H486" s="1" t="s">
        <v>712</v>
      </c>
      <c r="I486" s="7" t="s">
        <v>24</v>
      </c>
      <c r="J486" s="1" t="str">
        <f>IF(ISBLANK(Customer_Data_[[#This Row],[Loyalty_Level]]),"Silver",Customer_Data_[[#This Row],[Loyalty_Level]])</f>
        <v>Bronze</v>
      </c>
    </row>
    <row r="487" spans="1:10" x14ac:dyDescent="0.35">
      <c r="A487" s="6" t="s">
        <v>1488</v>
      </c>
      <c r="B487" s="1" t="s">
        <v>1489</v>
      </c>
      <c r="C487" s="1" t="str">
        <f>TRIM(Customer_Data_[[#This Row],[Name]])</f>
        <v>Sara Ingram</v>
      </c>
      <c r="D487" s="1" t="str">
        <f>PROPER(Customer_Data_[[#This Row],[Name 1]])</f>
        <v>Sara Ingram</v>
      </c>
      <c r="E487" s="1">
        <v>46</v>
      </c>
      <c r="F487" s="1" t="s">
        <v>14</v>
      </c>
      <c r="G487" s="1" t="s">
        <v>1490</v>
      </c>
      <c r="H487" s="1" t="s">
        <v>284</v>
      </c>
      <c r="I487" s="7" t="s">
        <v>24</v>
      </c>
      <c r="J487" s="1" t="str">
        <f>IF(ISBLANK(Customer_Data_[[#This Row],[Loyalty_Level]]),"Silver",Customer_Data_[[#This Row],[Loyalty_Level]])</f>
        <v>Bronze</v>
      </c>
    </row>
    <row r="488" spans="1:10" x14ac:dyDescent="0.35">
      <c r="A488" s="6" t="s">
        <v>1491</v>
      </c>
      <c r="B488" s="1" t="s">
        <v>1492</v>
      </c>
      <c r="C488" s="1" t="str">
        <f>TRIM(Customer_Data_[[#This Row],[Name]])</f>
        <v>Eric Lee</v>
      </c>
      <c r="D488" s="1" t="str">
        <f>PROPER(Customer_Data_[[#This Row],[Name 1]])</f>
        <v>Eric Lee</v>
      </c>
      <c r="E488" s="1">
        <v>22</v>
      </c>
      <c r="F488" s="1" t="s">
        <v>14</v>
      </c>
      <c r="G488" s="1" t="s">
        <v>1493</v>
      </c>
      <c r="H488" s="1" t="s">
        <v>169</v>
      </c>
      <c r="I488" s="7" t="s">
        <v>24</v>
      </c>
      <c r="J488" s="1" t="str">
        <f>IF(ISBLANK(Customer_Data_[[#This Row],[Loyalty_Level]]),"Silver",Customer_Data_[[#This Row],[Loyalty_Level]])</f>
        <v>Bronze</v>
      </c>
    </row>
    <row r="489" spans="1:10" x14ac:dyDescent="0.35">
      <c r="A489" s="6" t="s">
        <v>1494</v>
      </c>
      <c r="B489" s="1" t="s">
        <v>1495</v>
      </c>
      <c r="C489" s="1" t="str">
        <f>TRIM(Customer_Data_[[#This Row],[Name]])</f>
        <v>Amanda Medina</v>
      </c>
      <c r="D489" s="1" t="str">
        <f>PROPER(Customer_Data_[[#This Row],[Name 1]])</f>
        <v>Amanda Medina</v>
      </c>
      <c r="E489" s="1">
        <v>36</v>
      </c>
      <c r="F489" s="1" t="s">
        <v>14</v>
      </c>
      <c r="G489" s="1" t="s">
        <v>1496</v>
      </c>
      <c r="H489" s="1" t="s">
        <v>115</v>
      </c>
      <c r="I489" s="7" t="s">
        <v>17</v>
      </c>
      <c r="J489" s="1" t="str">
        <f>IF(ISBLANK(Customer_Data_[[#This Row],[Loyalty_Level]]),"Silver",Customer_Data_[[#This Row],[Loyalty_Level]])</f>
        <v>Platinum</v>
      </c>
    </row>
    <row r="490" spans="1:10" x14ac:dyDescent="0.35">
      <c r="A490" s="6" t="s">
        <v>1497</v>
      </c>
      <c r="B490" s="1" t="s">
        <v>1498</v>
      </c>
      <c r="C490" s="1" t="str">
        <f>TRIM(Customer_Data_[[#This Row],[Name]])</f>
        <v>Zachary Andrade</v>
      </c>
      <c r="D490" s="1" t="str">
        <f>PROPER(Customer_Data_[[#This Row],[Name 1]])</f>
        <v>Zachary Andrade</v>
      </c>
      <c r="E490" s="1">
        <v>23</v>
      </c>
      <c r="F490" s="1" t="s">
        <v>14</v>
      </c>
      <c r="G490" s="1" t="s">
        <v>1499</v>
      </c>
      <c r="H490" s="1" t="s">
        <v>28</v>
      </c>
      <c r="I490" s="7" t="s">
        <v>17</v>
      </c>
      <c r="J490" s="1" t="str">
        <f>IF(ISBLANK(Customer_Data_[[#This Row],[Loyalty_Level]]),"Silver",Customer_Data_[[#This Row],[Loyalty_Level]])</f>
        <v>Platinum</v>
      </c>
    </row>
    <row r="491" spans="1:10" x14ac:dyDescent="0.35">
      <c r="A491" s="6" t="s">
        <v>1500</v>
      </c>
      <c r="B491" s="1" t="s">
        <v>1501</v>
      </c>
      <c r="C491" s="1" t="str">
        <f>TRIM(Customer_Data_[[#This Row],[Name]])</f>
        <v>Melinda Thomas</v>
      </c>
      <c r="D491" s="1" t="str">
        <f>PROPER(Customer_Data_[[#This Row],[Name 1]])</f>
        <v>Melinda Thomas</v>
      </c>
      <c r="E491" s="1">
        <v>42</v>
      </c>
      <c r="F491" s="1" t="s">
        <v>14</v>
      </c>
      <c r="G491" s="1" t="s">
        <v>1502</v>
      </c>
      <c r="H491" s="1" t="s">
        <v>251</v>
      </c>
      <c r="I491" s="7" t="s">
        <v>29</v>
      </c>
      <c r="J491" s="1" t="str">
        <f>IF(ISBLANK(Customer_Data_[[#This Row],[Loyalty_Level]]),"Silver",Customer_Data_[[#This Row],[Loyalty_Level]])</f>
        <v>Silver</v>
      </c>
    </row>
    <row r="492" spans="1:10" x14ac:dyDescent="0.35">
      <c r="A492" s="6" t="s">
        <v>1503</v>
      </c>
      <c r="B492" s="1" t="s">
        <v>1504</v>
      </c>
      <c r="C492" s="1" t="str">
        <f>TRIM(Customer_Data_[[#This Row],[Name]])</f>
        <v>Scott Harris</v>
      </c>
      <c r="D492" s="1" t="str">
        <f>PROPER(Customer_Data_[[#This Row],[Name 1]])</f>
        <v>Scott Harris</v>
      </c>
      <c r="E492" s="1">
        <v>23</v>
      </c>
      <c r="F492" s="1" t="s">
        <v>8</v>
      </c>
      <c r="G492" s="1" t="s">
        <v>1505</v>
      </c>
      <c r="H492" s="1" t="s">
        <v>138</v>
      </c>
      <c r="I492" s="7" t="s">
        <v>17</v>
      </c>
      <c r="J492" s="1" t="str">
        <f>IF(ISBLANK(Customer_Data_[[#This Row],[Loyalty_Level]]),"Silver",Customer_Data_[[#This Row],[Loyalty_Level]])</f>
        <v>Platinum</v>
      </c>
    </row>
    <row r="493" spans="1:10" x14ac:dyDescent="0.35">
      <c r="A493" s="6" t="s">
        <v>1506</v>
      </c>
      <c r="B493" s="1" t="s">
        <v>1507</v>
      </c>
      <c r="C493" s="1" t="str">
        <f>TRIM(Customer_Data_[[#This Row],[Name]])</f>
        <v>Kaitlin Brown</v>
      </c>
      <c r="D493" s="1" t="str">
        <f>PROPER(Customer_Data_[[#This Row],[Name 1]])</f>
        <v>Kaitlin Brown</v>
      </c>
      <c r="E493" s="1">
        <v>52</v>
      </c>
      <c r="F493" s="1" t="s">
        <v>14</v>
      </c>
      <c r="G493" s="1" t="s">
        <v>1508</v>
      </c>
      <c r="H493" s="1" t="s">
        <v>37</v>
      </c>
      <c r="I493" s="7" t="s">
        <v>11</v>
      </c>
      <c r="J493" s="1" t="str">
        <f>IF(ISBLANK(Customer_Data_[[#This Row],[Loyalty_Level]]),"Silver",Customer_Data_[[#This Row],[Loyalty_Level]])</f>
        <v>Gold</v>
      </c>
    </row>
    <row r="494" spans="1:10" x14ac:dyDescent="0.35">
      <c r="A494" s="6" t="s">
        <v>1509</v>
      </c>
      <c r="B494" s="1" t="s">
        <v>1510</v>
      </c>
      <c r="C494" s="1" t="str">
        <f>TRIM(Customer_Data_[[#This Row],[Name]])</f>
        <v>Darrell Miller</v>
      </c>
      <c r="D494" s="1" t="str">
        <f>PROPER(Customer_Data_[[#This Row],[Name 1]])</f>
        <v>Darrell Miller</v>
      </c>
      <c r="E494" s="1">
        <v>59</v>
      </c>
      <c r="F494" s="1" t="s">
        <v>14</v>
      </c>
      <c r="G494" s="1" t="s">
        <v>1511</v>
      </c>
      <c r="H494" s="1" t="s">
        <v>247</v>
      </c>
      <c r="I494" s="7" t="s">
        <v>17</v>
      </c>
      <c r="J494" s="1" t="str">
        <f>IF(ISBLANK(Customer_Data_[[#This Row],[Loyalty_Level]]),"Silver",Customer_Data_[[#This Row],[Loyalty_Level]])</f>
        <v>Platinum</v>
      </c>
    </row>
    <row r="495" spans="1:10" x14ac:dyDescent="0.35">
      <c r="A495" s="6" t="s">
        <v>1512</v>
      </c>
      <c r="B495" s="1" t="s">
        <v>1513</v>
      </c>
      <c r="C495" s="1" t="str">
        <f>TRIM(Customer_Data_[[#This Row],[Name]])</f>
        <v>Amanda Powell</v>
      </c>
      <c r="D495" s="1" t="str">
        <f>PROPER(Customer_Data_[[#This Row],[Name 1]])</f>
        <v>Amanda Powell</v>
      </c>
      <c r="E495" s="1">
        <v>28</v>
      </c>
      <c r="F495" s="1" t="s">
        <v>8</v>
      </c>
      <c r="G495" s="1" t="s">
        <v>82</v>
      </c>
      <c r="H495" s="1" t="s">
        <v>20</v>
      </c>
      <c r="I495" s="7" t="s">
        <v>29</v>
      </c>
      <c r="J495" s="1" t="str">
        <f>IF(ISBLANK(Customer_Data_[[#This Row],[Loyalty_Level]]),"Silver",Customer_Data_[[#This Row],[Loyalty_Level]])</f>
        <v>Silver</v>
      </c>
    </row>
    <row r="496" spans="1:10" x14ac:dyDescent="0.35">
      <c r="A496" s="6" t="s">
        <v>1514</v>
      </c>
      <c r="B496" s="1" t="s">
        <v>1515</v>
      </c>
      <c r="C496" s="1" t="str">
        <f>TRIM(Customer_Data_[[#This Row],[Name]])</f>
        <v>Justin Lopez</v>
      </c>
      <c r="D496" s="1" t="str">
        <f>PROPER(Customer_Data_[[#This Row],[Name 1]])</f>
        <v>Justin Lopez</v>
      </c>
      <c r="E496" s="1">
        <v>21</v>
      </c>
      <c r="F496" s="1" t="s">
        <v>8</v>
      </c>
      <c r="G496" s="1" t="s">
        <v>1516</v>
      </c>
      <c r="H496" s="1" t="s">
        <v>356</v>
      </c>
      <c r="I496" s="7" t="s">
        <v>11</v>
      </c>
      <c r="J496" s="1" t="str">
        <f>IF(ISBLANK(Customer_Data_[[#This Row],[Loyalty_Level]]),"Silver",Customer_Data_[[#This Row],[Loyalty_Level]])</f>
        <v>Gold</v>
      </c>
    </row>
    <row r="497" spans="1:10" x14ac:dyDescent="0.35">
      <c r="A497" s="6" t="s">
        <v>1517</v>
      </c>
      <c r="B497" s="1" t="s">
        <v>1518</v>
      </c>
      <c r="C497" s="1" t="str">
        <f>TRIM(Customer_Data_[[#This Row],[Name]])</f>
        <v>James Berger</v>
      </c>
      <c r="D497" s="1" t="str">
        <f>PROPER(Customer_Data_[[#This Row],[Name 1]])</f>
        <v>James Berger</v>
      </c>
      <c r="E497" s="1">
        <v>23</v>
      </c>
      <c r="F497" s="1" t="s">
        <v>14</v>
      </c>
      <c r="G497" s="1" t="s">
        <v>1519</v>
      </c>
      <c r="H497" s="1" t="s">
        <v>90</v>
      </c>
      <c r="I497" s="7" t="s">
        <v>24</v>
      </c>
      <c r="J497" s="1" t="str">
        <f>IF(ISBLANK(Customer_Data_[[#This Row],[Loyalty_Level]]),"Silver",Customer_Data_[[#This Row],[Loyalty_Level]])</f>
        <v>Bronze</v>
      </c>
    </row>
    <row r="498" spans="1:10" x14ac:dyDescent="0.35">
      <c r="A498" s="6" t="s">
        <v>1520</v>
      </c>
      <c r="B498" s="1" t="s">
        <v>1521</v>
      </c>
      <c r="C498" s="1" t="str">
        <f>TRIM(Customer_Data_[[#This Row],[Name]])</f>
        <v>Christopher Ford</v>
      </c>
      <c r="D498" s="1" t="str">
        <f>PROPER(Customer_Data_[[#This Row],[Name 1]])</f>
        <v>Christopher Ford</v>
      </c>
      <c r="E498" s="1">
        <v>56</v>
      </c>
      <c r="F498" s="1" t="s">
        <v>8</v>
      </c>
      <c r="G498" s="1" t="s">
        <v>1522</v>
      </c>
      <c r="H498" s="1" t="s">
        <v>23</v>
      </c>
      <c r="I498" s="7" t="s">
        <v>24</v>
      </c>
      <c r="J498" s="1" t="str">
        <f>IF(ISBLANK(Customer_Data_[[#This Row],[Loyalty_Level]]),"Silver",Customer_Data_[[#This Row],[Loyalty_Level]])</f>
        <v>Bronze</v>
      </c>
    </row>
    <row r="499" spans="1:10" x14ac:dyDescent="0.35">
      <c r="A499" s="6" t="s">
        <v>1523</v>
      </c>
      <c r="B499" s="1" t="s">
        <v>1524</v>
      </c>
      <c r="C499" s="1" t="str">
        <f>TRIM(Customer_Data_[[#This Row],[Name]])</f>
        <v>Sarah Marsh</v>
      </c>
      <c r="D499" s="1" t="str">
        <f>PROPER(Customer_Data_[[#This Row],[Name 1]])</f>
        <v>Sarah Marsh</v>
      </c>
      <c r="E499" s="1">
        <v>47</v>
      </c>
      <c r="F499" s="1" t="s">
        <v>14</v>
      </c>
      <c r="G499" s="1" t="s">
        <v>1525</v>
      </c>
      <c r="H499" s="1" t="s">
        <v>56</v>
      </c>
      <c r="I499" s="7" t="s">
        <v>11</v>
      </c>
      <c r="J499" s="1" t="str">
        <f>IF(ISBLANK(Customer_Data_[[#This Row],[Loyalty_Level]]),"Silver",Customer_Data_[[#This Row],[Loyalty_Level]])</f>
        <v>Gold</v>
      </c>
    </row>
    <row r="500" spans="1:10" x14ac:dyDescent="0.35">
      <c r="A500" s="6" t="s">
        <v>1526</v>
      </c>
      <c r="B500" s="1" t="s">
        <v>1527</v>
      </c>
      <c r="C500" s="1" t="str">
        <f>TRIM(Customer_Data_[[#This Row],[Name]])</f>
        <v>Traci Gonzalez</v>
      </c>
      <c r="D500" s="1" t="str">
        <f>PROPER(Customer_Data_[[#This Row],[Name 1]])</f>
        <v>Traci Gonzalez</v>
      </c>
      <c r="E500" s="1">
        <v>35</v>
      </c>
      <c r="F500" s="1" t="s">
        <v>8</v>
      </c>
      <c r="G500" s="1" t="s">
        <v>1528</v>
      </c>
      <c r="H500" s="1" t="s">
        <v>230</v>
      </c>
      <c r="I500" s="7" t="s">
        <v>29</v>
      </c>
      <c r="J500" s="1" t="str">
        <f>IF(ISBLANK(Customer_Data_[[#This Row],[Loyalty_Level]]),"Silver",Customer_Data_[[#This Row],[Loyalty_Level]])</f>
        <v>Silver</v>
      </c>
    </row>
    <row r="501" spans="1:10" x14ac:dyDescent="0.35">
      <c r="A501" s="8" t="s">
        <v>1529</v>
      </c>
      <c r="B501" s="2" t="s">
        <v>1530</v>
      </c>
      <c r="C501" s="2" t="str">
        <f>TRIM(Customer_Data_[[#This Row],[Name]])</f>
        <v>Philip Pennington</v>
      </c>
      <c r="D501" s="2" t="str">
        <f>PROPER(Customer_Data_[[#This Row],[Name 1]])</f>
        <v>Philip Pennington</v>
      </c>
      <c r="E501" s="2">
        <v>27</v>
      </c>
      <c r="F501" s="2" t="s">
        <v>14</v>
      </c>
      <c r="G501" s="2" t="s">
        <v>1531</v>
      </c>
      <c r="H501" s="2" t="s">
        <v>33</v>
      </c>
      <c r="I501" s="9" t="s">
        <v>17</v>
      </c>
      <c r="J501" s="2" t="str">
        <f>IF(ISBLANK(Customer_Data_[[#This Row],[Loyalty_Level]]),"Silver",Customer_Data_[[#This Row],[Loyalty_Level]])</f>
        <v>Platinum</v>
      </c>
    </row>
  </sheetData>
  <phoneticPr fontId="1" type="noConversion"/>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D8C687-F5FB-4B2F-A126-DAB0A1A4DACB}">
  <dimension ref="A1:I102"/>
  <sheetViews>
    <sheetView workbookViewId="0">
      <selection activeCell="G106" sqref="G106"/>
    </sheetView>
  </sheetViews>
  <sheetFormatPr defaultRowHeight="14.5" x14ac:dyDescent="0.35"/>
  <cols>
    <col min="1" max="1" width="12.54296875" bestFit="1" customWidth="1"/>
    <col min="2" max="2" width="25.81640625" bestFit="1" customWidth="1"/>
    <col min="3" max="3" width="10.54296875" bestFit="1" customWidth="1"/>
    <col min="4" max="4" width="14.6328125" bestFit="1" customWidth="1"/>
    <col min="5" max="5" width="27.81640625" bestFit="1" customWidth="1"/>
    <col min="6" max="6" width="9.08984375" bestFit="1" customWidth="1"/>
    <col min="7" max="7" width="9.26953125" bestFit="1" customWidth="1"/>
    <col min="8" max="9" width="9.90625" bestFit="1" customWidth="1"/>
  </cols>
  <sheetData>
    <row r="1" spans="1:9" s="13" customFormat="1" ht="29" x14ac:dyDescent="0.35">
      <c r="A1" s="15" t="s">
        <v>1532</v>
      </c>
      <c r="B1" s="16" t="s">
        <v>1533</v>
      </c>
      <c r="C1" s="16" t="s">
        <v>1534</v>
      </c>
      <c r="D1" s="16" t="s">
        <v>1535</v>
      </c>
      <c r="E1" s="16" t="s">
        <v>1536</v>
      </c>
      <c r="F1" s="16" t="s">
        <v>1537</v>
      </c>
      <c r="G1" s="17" t="s">
        <v>2449</v>
      </c>
      <c r="H1" s="18" t="s">
        <v>1538</v>
      </c>
      <c r="I1" s="19" t="s">
        <v>2450</v>
      </c>
    </row>
    <row r="2" spans="1:9" x14ac:dyDescent="0.35">
      <c r="A2" s="6" t="s">
        <v>1539</v>
      </c>
      <c r="B2" s="1" t="s">
        <v>2321</v>
      </c>
      <c r="C2" s="1" t="s">
        <v>1559</v>
      </c>
      <c r="D2" s="1" t="s">
        <v>2322</v>
      </c>
      <c r="E2" s="1" t="s">
        <v>1541</v>
      </c>
      <c r="F2" s="1">
        <v>112.42</v>
      </c>
      <c r="G2" s="10">
        <f>ROUND(IF(ISBLANK(Product_Data_1[[#This Row],[Cost]]),AVERAGE(Product_Data_1[Cost]),Product_Data_1[[#This Row],[Cost]]),0)</f>
        <v>112</v>
      </c>
      <c r="H2" s="1">
        <v>416</v>
      </c>
      <c r="I2" s="1">
        <f>ROUND(IF(ISBLANK(Product_Data_1[[#This Row],[Stock]]),AVERAGE(Product_Data_1[Stock]),Product_Data_1[[#This Row],[Stock]]),0)</f>
        <v>416</v>
      </c>
    </row>
    <row r="3" spans="1:9" x14ac:dyDescent="0.35">
      <c r="A3" s="6" t="s">
        <v>1542</v>
      </c>
      <c r="B3" s="1" t="s">
        <v>2323</v>
      </c>
      <c r="C3" s="1" t="s">
        <v>1543</v>
      </c>
      <c r="D3" s="1" t="s">
        <v>2324</v>
      </c>
      <c r="E3" s="1" t="s">
        <v>1544</v>
      </c>
      <c r="F3" s="1">
        <v>342.56</v>
      </c>
      <c r="G3" s="10">
        <f>ROUND(IF(ISBLANK(Product_Data_1[[#This Row],[Cost]]),AVERAGE(Product_Data_1[Cost]),Product_Data_1[[#This Row],[Cost]]),0)</f>
        <v>343</v>
      </c>
      <c r="H3" s="1">
        <v>181</v>
      </c>
      <c r="I3" s="1">
        <f>ROUND(IF(ISBLANK(Product_Data_1[[#This Row],[Stock]]),AVERAGE(Product_Data_1[Stock]),Product_Data_1[[#This Row],[Stock]]),0)</f>
        <v>181</v>
      </c>
    </row>
    <row r="4" spans="1:9" x14ac:dyDescent="0.35">
      <c r="A4" s="6" t="s">
        <v>1545</v>
      </c>
      <c r="B4" s="1" t="s">
        <v>2325</v>
      </c>
      <c r="C4" s="1" t="s">
        <v>1543</v>
      </c>
      <c r="D4" s="1" t="s">
        <v>2326</v>
      </c>
      <c r="E4" s="1" t="s">
        <v>1546</v>
      </c>
      <c r="F4" s="1"/>
      <c r="G4" s="10">
        <f>ROUND(IF(ISBLANK(Product_Data_1[[#This Row],[Cost]]),AVERAGE(Product_Data_1[Cost]),Product_Data_1[[#This Row],[Cost]]),0)</f>
        <v>254</v>
      </c>
      <c r="H4" s="1">
        <v>352</v>
      </c>
      <c r="I4" s="1">
        <f>ROUND(IF(ISBLANK(Product_Data_1[[#This Row],[Stock]]),AVERAGE(Product_Data_1[Stock]),Product_Data_1[[#This Row],[Stock]]),0)</f>
        <v>352</v>
      </c>
    </row>
    <row r="5" spans="1:9" x14ac:dyDescent="0.35">
      <c r="A5" s="6" t="s">
        <v>1547</v>
      </c>
      <c r="B5" s="1" t="s">
        <v>2327</v>
      </c>
      <c r="C5" s="1" t="s">
        <v>1543</v>
      </c>
      <c r="D5" s="1" t="s">
        <v>2326</v>
      </c>
      <c r="E5" s="1" t="s">
        <v>1548</v>
      </c>
      <c r="F5" s="1">
        <v>364.67</v>
      </c>
      <c r="G5" s="10">
        <f>ROUND(IF(ISBLANK(Product_Data_1[[#This Row],[Cost]]),AVERAGE(Product_Data_1[Cost]),Product_Data_1[[#This Row],[Cost]]),0)</f>
        <v>365</v>
      </c>
      <c r="H5" s="1">
        <v>452</v>
      </c>
      <c r="I5" s="1">
        <f>ROUND(IF(ISBLANK(Product_Data_1[[#This Row],[Stock]]),AVERAGE(Product_Data_1[Stock]),Product_Data_1[[#This Row],[Stock]]),0)</f>
        <v>452</v>
      </c>
    </row>
    <row r="6" spans="1:9" x14ac:dyDescent="0.35">
      <c r="A6" s="6" t="s">
        <v>1549</v>
      </c>
      <c r="B6" s="1" t="s">
        <v>2328</v>
      </c>
      <c r="C6" s="1" t="s">
        <v>1543</v>
      </c>
      <c r="D6" s="1" t="s">
        <v>2329</v>
      </c>
      <c r="E6" s="1" t="s">
        <v>1550</v>
      </c>
      <c r="F6" s="1">
        <v>306.45999999999998</v>
      </c>
      <c r="G6" s="10">
        <f>ROUND(IF(ISBLANK(Product_Data_1[[#This Row],[Cost]]),AVERAGE(Product_Data_1[Cost]),Product_Data_1[[#This Row],[Cost]]),0)</f>
        <v>306</v>
      </c>
      <c r="H6" s="1">
        <v>487</v>
      </c>
      <c r="I6" s="1">
        <f>ROUND(IF(ISBLANK(Product_Data_1[[#This Row],[Stock]]),AVERAGE(Product_Data_1[Stock]),Product_Data_1[[#This Row],[Stock]]),0)</f>
        <v>487</v>
      </c>
    </row>
    <row r="7" spans="1:9" x14ac:dyDescent="0.35">
      <c r="A7" s="6" t="s">
        <v>1551</v>
      </c>
      <c r="B7" s="1" t="s">
        <v>2330</v>
      </c>
      <c r="C7" s="1" t="s">
        <v>1543</v>
      </c>
      <c r="D7" s="1" t="s">
        <v>2331</v>
      </c>
      <c r="E7" s="1" t="s">
        <v>1552</v>
      </c>
      <c r="F7" s="1">
        <v>261</v>
      </c>
      <c r="G7" s="10">
        <f>ROUND(IF(ISBLANK(Product_Data_1[[#This Row],[Cost]]),AVERAGE(Product_Data_1[Cost]),Product_Data_1[[#This Row],[Cost]]),0)</f>
        <v>261</v>
      </c>
      <c r="H7" s="1">
        <v>59</v>
      </c>
      <c r="I7" s="1">
        <f>ROUND(IF(ISBLANK(Product_Data_1[[#This Row],[Stock]]),AVERAGE(Product_Data_1[Stock]),Product_Data_1[[#This Row],[Stock]]),0)</f>
        <v>59</v>
      </c>
    </row>
    <row r="8" spans="1:9" x14ac:dyDescent="0.35">
      <c r="A8" s="6" t="s">
        <v>1553</v>
      </c>
      <c r="B8" s="1" t="s">
        <v>2332</v>
      </c>
      <c r="C8" s="1" t="s">
        <v>1554</v>
      </c>
      <c r="D8" s="1" t="s">
        <v>2333</v>
      </c>
      <c r="E8" s="1" t="s">
        <v>1555</v>
      </c>
      <c r="F8" s="1">
        <v>312.8</v>
      </c>
      <c r="G8" s="10">
        <f>ROUND(IF(ISBLANK(Product_Data_1[[#This Row],[Cost]]),AVERAGE(Product_Data_1[Cost]),Product_Data_1[[#This Row],[Cost]]),0)</f>
        <v>313</v>
      </c>
      <c r="H8" s="1">
        <v>350</v>
      </c>
      <c r="I8" s="1">
        <f>ROUND(IF(ISBLANK(Product_Data_1[[#This Row],[Stock]]),AVERAGE(Product_Data_1[Stock]),Product_Data_1[[#This Row],[Stock]]),0)</f>
        <v>350</v>
      </c>
    </row>
    <row r="9" spans="1:9" x14ac:dyDescent="0.35">
      <c r="A9" s="6" t="s">
        <v>1556</v>
      </c>
      <c r="B9" s="1" t="s">
        <v>2334</v>
      </c>
      <c r="C9" s="1" t="s">
        <v>1540</v>
      </c>
      <c r="D9" s="1" t="s">
        <v>2335</v>
      </c>
      <c r="E9" s="1" t="s">
        <v>1557</v>
      </c>
      <c r="F9" s="1">
        <v>218.86</v>
      </c>
      <c r="G9" s="10">
        <f>ROUND(IF(ISBLANK(Product_Data_1[[#This Row],[Cost]]),AVERAGE(Product_Data_1[Cost]),Product_Data_1[[#This Row],[Cost]]),0)</f>
        <v>219</v>
      </c>
      <c r="H9" s="1">
        <v>170</v>
      </c>
      <c r="I9" s="1">
        <f>ROUND(IF(ISBLANK(Product_Data_1[[#This Row],[Stock]]),AVERAGE(Product_Data_1[Stock]),Product_Data_1[[#This Row],[Stock]]),0)</f>
        <v>170</v>
      </c>
    </row>
    <row r="10" spans="1:9" x14ac:dyDescent="0.35">
      <c r="A10" s="6" t="s">
        <v>1558</v>
      </c>
      <c r="B10" s="1" t="s">
        <v>2336</v>
      </c>
      <c r="C10" s="1" t="s">
        <v>1559</v>
      </c>
      <c r="D10" s="1" t="s">
        <v>2337</v>
      </c>
      <c r="E10" s="1" t="s">
        <v>1560</v>
      </c>
      <c r="F10" s="1">
        <v>439.07</v>
      </c>
      <c r="G10" s="10">
        <f>ROUND(IF(ISBLANK(Product_Data_1[[#This Row],[Cost]]),AVERAGE(Product_Data_1[Cost]),Product_Data_1[[#This Row],[Cost]]),0)</f>
        <v>439</v>
      </c>
      <c r="H10" s="1">
        <v>142</v>
      </c>
      <c r="I10" s="1">
        <f>ROUND(IF(ISBLANK(Product_Data_1[[#This Row],[Stock]]),AVERAGE(Product_Data_1[Stock]),Product_Data_1[[#This Row],[Stock]]),0)</f>
        <v>142</v>
      </c>
    </row>
    <row r="11" spans="1:9" x14ac:dyDescent="0.35">
      <c r="A11" s="6" t="s">
        <v>1561</v>
      </c>
      <c r="B11" s="1" t="s">
        <v>2338</v>
      </c>
      <c r="C11" s="1" t="s">
        <v>1562</v>
      </c>
      <c r="D11" s="1" t="s">
        <v>2339</v>
      </c>
      <c r="E11" s="1" t="s">
        <v>1563</v>
      </c>
      <c r="F11" s="1">
        <v>495.72</v>
      </c>
      <c r="G11" s="10">
        <f>ROUND(IF(ISBLANK(Product_Data_1[[#This Row],[Cost]]),AVERAGE(Product_Data_1[Cost]),Product_Data_1[[#This Row],[Cost]]),0)</f>
        <v>496</v>
      </c>
      <c r="H11" s="1">
        <v>323</v>
      </c>
      <c r="I11" s="1">
        <f>ROUND(IF(ISBLANK(Product_Data_1[[#This Row],[Stock]]),AVERAGE(Product_Data_1[Stock]),Product_Data_1[[#This Row],[Stock]]),0)</f>
        <v>323</v>
      </c>
    </row>
    <row r="12" spans="1:9" x14ac:dyDescent="0.35">
      <c r="A12" s="6" t="s">
        <v>1564</v>
      </c>
      <c r="B12" s="1" t="s">
        <v>2340</v>
      </c>
      <c r="C12" s="1" t="s">
        <v>1540</v>
      </c>
      <c r="D12" s="1" t="s">
        <v>2341</v>
      </c>
      <c r="E12" s="1" t="s">
        <v>1565</v>
      </c>
      <c r="F12" s="1">
        <v>298.86</v>
      </c>
      <c r="G12" s="10">
        <f>ROUND(IF(ISBLANK(Product_Data_1[[#This Row],[Cost]]),AVERAGE(Product_Data_1[Cost]),Product_Data_1[[#This Row],[Cost]]),0)</f>
        <v>299</v>
      </c>
      <c r="H12" s="1">
        <v>308</v>
      </c>
      <c r="I12" s="1">
        <f>ROUND(IF(ISBLANK(Product_Data_1[[#This Row],[Stock]]),AVERAGE(Product_Data_1[Stock]),Product_Data_1[[#This Row],[Stock]]),0)</f>
        <v>308</v>
      </c>
    </row>
    <row r="13" spans="1:9" x14ac:dyDescent="0.35">
      <c r="A13" s="6" t="s">
        <v>1566</v>
      </c>
      <c r="B13" s="1" t="s">
        <v>2342</v>
      </c>
      <c r="C13" s="1" t="s">
        <v>1559</v>
      </c>
      <c r="D13" s="1" t="s">
        <v>2331</v>
      </c>
      <c r="E13" s="1" t="s">
        <v>1567</v>
      </c>
      <c r="F13" s="1">
        <v>449.4</v>
      </c>
      <c r="G13" s="10">
        <f>ROUND(IF(ISBLANK(Product_Data_1[[#This Row],[Cost]]),AVERAGE(Product_Data_1[Cost]),Product_Data_1[[#This Row],[Cost]]),0)</f>
        <v>449</v>
      </c>
      <c r="H13" s="1"/>
      <c r="I13" s="1">
        <f>ROUND(IF(ISBLANK(Product_Data_1[[#This Row],[Stock]]),AVERAGE(Product_Data_1[Stock]),Product_Data_1[[#This Row],[Stock]]),0)</f>
        <v>273</v>
      </c>
    </row>
    <row r="14" spans="1:9" x14ac:dyDescent="0.35">
      <c r="A14" s="6" t="s">
        <v>1568</v>
      </c>
      <c r="B14" s="1" t="s">
        <v>2343</v>
      </c>
      <c r="C14" s="1" t="s">
        <v>1554</v>
      </c>
      <c r="D14" s="1" t="s">
        <v>2344</v>
      </c>
      <c r="E14" s="1" t="s">
        <v>1569</v>
      </c>
      <c r="F14" s="1">
        <v>115.82</v>
      </c>
      <c r="G14" s="10">
        <f>ROUND(IF(ISBLANK(Product_Data_1[[#This Row],[Cost]]),AVERAGE(Product_Data_1[Cost]),Product_Data_1[[#This Row],[Cost]]),0)</f>
        <v>116</v>
      </c>
      <c r="H14" s="1">
        <v>460</v>
      </c>
      <c r="I14" s="1">
        <f>ROUND(IF(ISBLANK(Product_Data_1[[#This Row],[Stock]]),AVERAGE(Product_Data_1[Stock]),Product_Data_1[[#This Row],[Stock]]),0)</f>
        <v>460</v>
      </c>
    </row>
    <row r="15" spans="1:9" x14ac:dyDescent="0.35">
      <c r="A15" s="6" t="s">
        <v>1570</v>
      </c>
      <c r="B15" s="1" t="s">
        <v>2345</v>
      </c>
      <c r="C15" s="1" t="s">
        <v>1559</v>
      </c>
      <c r="D15" s="1" t="s">
        <v>2331</v>
      </c>
      <c r="E15" s="1" t="s">
        <v>1571</v>
      </c>
      <c r="F15" s="1">
        <v>242.23</v>
      </c>
      <c r="G15" s="10">
        <f>ROUND(IF(ISBLANK(Product_Data_1[[#This Row],[Cost]]),AVERAGE(Product_Data_1[Cost]),Product_Data_1[[#This Row],[Cost]]),0)</f>
        <v>242</v>
      </c>
      <c r="H15" s="1">
        <v>453</v>
      </c>
      <c r="I15" s="1">
        <f>ROUND(IF(ISBLANK(Product_Data_1[[#This Row],[Stock]]),AVERAGE(Product_Data_1[Stock]),Product_Data_1[[#This Row],[Stock]]),0)</f>
        <v>453</v>
      </c>
    </row>
    <row r="16" spans="1:9" x14ac:dyDescent="0.35">
      <c r="A16" s="6" t="s">
        <v>1572</v>
      </c>
      <c r="B16" s="1" t="s">
        <v>2346</v>
      </c>
      <c r="C16" s="1" t="s">
        <v>1540</v>
      </c>
      <c r="D16" s="1" t="s">
        <v>2347</v>
      </c>
      <c r="E16" s="1" t="s">
        <v>1573</v>
      </c>
      <c r="F16" s="1">
        <v>48.01</v>
      </c>
      <c r="G16" s="10">
        <f>ROUND(IF(ISBLANK(Product_Data_1[[#This Row],[Cost]]),AVERAGE(Product_Data_1[Cost]),Product_Data_1[[#This Row],[Cost]]),0)</f>
        <v>48</v>
      </c>
      <c r="H16" s="1">
        <v>439</v>
      </c>
      <c r="I16" s="1">
        <f>ROUND(IF(ISBLANK(Product_Data_1[[#This Row],[Stock]]),AVERAGE(Product_Data_1[Stock]),Product_Data_1[[#This Row],[Stock]]),0)</f>
        <v>439</v>
      </c>
    </row>
    <row r="17" spans="1:9" x14ac:dyDescent="0.35">
      <c r="A17" s="6" t="s">
        <v>1574</v>
      </c>
      <c r="B17" s="1" t="s">
        <v>2348</v>
      </c>
      <c r="C17" s="1" t="s">
        <v>1559</v>
      </c>
      <c r="D17" s="1" t="s">
        <v>2349</v>
      </c>
      <c r="E17" s="1" t="s">
        <v>1575</v>
      </c>
      <c r="F17" s="1">
        <v>465.34</v>
      </c>
      <c r="G17" s="10">
        <f>ROUND(IF(ISBLANK(Product_Data_1[[#This Row],[Cost]]),AVERAGE(Product_Data_1[Cost]),Product_Data_1[[#This Row],[Cost]]),0)</f>
        <v>465</v>
      </c>
      <c r="H17" s="1">
        <v>301</v>
      </c>
      <c r="I17" s="1">
        <f>ROUND(IF(ISBLANK(Product_Data_1[[#This Row],[Stock]]),AVERAGE(Product_Data_1[Stock]),Product_Data_1[[#This Row],[Stock]]),0)</f>
        <v>301</v>
      </c>
    </row>
    <row r="18" spans="1:9" x14ac:dyDescent="0.35">
      <c r="A18" s="6" t="s">
        <v>1576</v>
      </c>
      <c r="B18" s="1" t="s">
        <v>2350</v>
      </c>
      <c r="C18" s="1" t="s">
        <v>1554</v>
      </c>
      <c r="D18" s="1" t="s">
        <v>2351</v>
      </c>
      <c r="E18" s="1" t="s">
        <v>1577</v>
      </c>
      <c r="F18" s="1">
        <v>337.42</v>
      </c>
      <c r="G18" s="10">
        <f>ROUND(IF(ISBLANK(Product_Data_1[[#This Row],[Cost]]),AVERAGE(Product_Data_1[Cost]),Product_Data_1[[#This Row],[Cost]]),0)</f>
        <v>337</v>
      </c>
      <c r="H18" s="1">
        <v>256</v>
      </c>
      <c r="I18" s="1">
        <f>ROUND(IF(ISBLANK(Product_Data_1[[#This Row],[Stock]]),AVERAGE(Product_Data_1[Stock]),Product_Data_1[[#This Row],[Stock]]),0)</f>
        <v>256</v>
      </c>
    </row>
    <row r="19" spans="1:9" x14ac:dyDescent="0.35">
      <c r="A19" s="6" t="s">
        <v>1578</v>
      </c>
      <c r="B19" s="1" t="s">
        <v>2352</v>
      </c>
      <c r="C19" s="1" t="s">
        <v>1562</v>
      </c>
      <c r="D19" s="1" t="s">
        <v>2331</v>
      </c>
      <c r="E19" s="1" t="s">
        <v>1579</v>
      </c>
      <c r="F19" s="1">
        <v>144.53</v>
      </c>
      <c r="G19" s="10">
        <f>ROUND(IF(ISBLANK(Product_Data_1[[#This Row],[Cost]]),AVERAGE(Product_Data_1[Cost]),Product_Data_1[[#This Row],[Cost]]),0)</f>
        <v>145</v>
      </c>
      <c r="H19" s="1">
        <v>367</v>
      </c>
      <c r="I19" s="1">
        <f>ROUND(IF(ISBLANK(Product_Data_1[[#This Row],[Stock]]),AVERAGE(Product_Data_1[Stock]),Product_Data_1[[#This Row],[Stock]]),0)</f>
        <v>367</v>
      </c>
    </row>
    <row r="20" spans="1:9" x14ac:dyDescent="0.35">
      <c r="A20" s="6" t="s">
        <v>1580</v>
      </c>
      <c r="B20" s="1" t="s">
        <v>2353</v>
      </c>
      <c r="C20" s="1" t="s">
        <v>1543</v>
      </c>
      <c r="D20" s="1" t="s">
        <v>2329</v>
      </c>
      <c r="E20" s="1" t="s">
        <v>1581</v>
      </c>
      <c r="F20" s="1"/>
      <c r="G20" s="10">
        <f>ROUND(IF(ISBLANK(Product_Data_1[[#This Row],[Cost]]),AVERAGE(Product_Data_1[Cost]),Product_Data_1[[#This Row],[Cost]]),0)</f>
        <v>254</v>
      </c>
      <c r="H20" s="1">
        <v>343</v>
      </c>
      <c r="I20" s="1">
        <f>ROUND(IF(ISBLANK(Product_Data_1[[#This Row],[Stock]]),AVERAGE(Product_Data_1[Stock]),Product_Data_1[[#This Row],[Stock]]),0)</f>
        <v>343</v>
      </c>
    </row>
    <row r="21" spans="1:9" x14ac:dyDescent="0.35">
      <c r="A21" s="6" t="s">
        <v>1582</v>
      </c>
      <c r="B21" s="1" t="s">
        <v>2354</v>
      </c>
      <c r="C21" s="1" t="s">
        <v>1562</v>
      </c>
      <c r="D21" s="1" t="s">
        <v>2355</v>
      </c>
      <c r="E21" s="1" t="s">
        <v>1583</v>
      </c>
      <c r="F21" s="1">
        <v>21.34</v>
      </c>
      <c r="G21" s="10">
        <f>ROUND(IF(ISBLANK(Product_Data_1[[#This Row],[Cost]]),AVERAGE(Product_Data_1[Cost]),Product_Data_1[[#This Row],[Cost]]),0)</f>
        <v>21</v>
      </c>
      <c r="H21" s="1">
        <v>65</v>
      </c>
      <c r="I21" s="1">
        <f>ROUND(IF(ISBLANK(Product_Data_1[[#This Row],[Stock]]),AVERAGE(Product_Data_1[Stock]),Product_Data_1[[#This Row],[Stock]]),0)</f>
        <v>65</v>
      </c>
    </row>
    <row r="22" spans="1:9" x14ac:dyDescent="0.35">
      <c r="A22" s="6" t="s">
        <v>1584</v>
      </c>
      <c r="B22" s="1" t="s">
        <v>2356</v>
      </c>
      <c r="C22" s="1" t="s">
        <v>1562</v>
      </c>
      <c r="D22" s="1" t="s">
        <v>2331</v>
      </c>
      <c r="E22" s="1" t="s">
        <v>1585</v>
      </c>
      <c r="F22" s="1">
        <v>131.51</v>
      </c>
      <c r="G22" s="10">
        <f>ROUND(IF(ISBLANK(Product_Data_1[[#This Row],[Cost]]),AVERAGE(Product_Data_1[Cost]),Product_Data_1[[#This Row],[Cost]]),0)</f>
        <v>132</v>
      </c>
      <c r="H22" s="1"/>
      <c r="I22" s="1">
        <f>ROUND(IF(ISBLANK(Product_Data_1[[#This Row],[Stock]]),AVERAGE(Product_Data_1[Stock]),Product_Data_1[[#This Row],[Stock]]),0)</f>
        <v>273</v>
      </c>
    </row>
    <row r="23" spans="1:9" x14ac:dyDescent="0.35">
      <c r="A23" s="6" t="s">
        <v>1586</v>
      </c>
      <c r="B23" s="1" t="s">
        <v>2357</v>
      </c>
      <c r="C23" s="1" t="s">
        <v>1540</v>
      </c>
      <c r="D23" s="1" t="s">
        <v>2358</v>
      </c>
      <c r="E23" s="1" t="s">
        <v>1587</v>
      </c>
      <c r="F23" s="1">
        <v>123.46</v>
      </c>
      <c r="G23" s="10">
        <f>ROUND(IF(ISBLANK(Product_Data_1[[#This Row],[Cost]]),AVERAGE(Product_Data_1[Cost]),Product_Data_1[[#This Row],[Cost]]),0)</f>
        <v>123</v>
      </c>
      <c r="H23" s="1">
        <v>76</v>
      </c>
      <c r="I23" s="1">
        <f>ROUND(IF(ISBLANK(Product_Data_1[[#This Row],[Stock]]),AVERAGE(Product_Data_1[Stock]),Product_Data_1[[#This Row],[Stock]]),0)</f>
        <v>76</v>
      </c>
    </row>
    <row r="24" spans="1:9" x14ac:dyDescent="0.35">
      <c r="A24" s="6" t="s">
        <v>1588</v>
      </c>
      <c r="B24" s="1" t="s">
        <v>2359</v>
      </c>
      <c r="C24" s="1" t="s">
        <v>1562</v>
      </c>
      <c r="D24" s="1" t="s">
        <v>2355</v>
      </c>
      <c r="E24" s="1" t="s">
        <v>1589</v>
      </c>
      <c r="F24" s="1">
        <v>484.62</v>
      </c>
      <c r="G24" s="10">
        <f>ROUND(IF(ISBLANK(Product_Data_1[[#This Row],[Cost]]),AVERAGE(Product_Data_1[Cost]),Product_Data_1[[#This Row],[Cost]]),0)</f>
        <v>485</v>
      </c>
      <c r="H24" s="1">
        <v>432</v>
      </c>
      <c r="I24" s="1">
        <f>ROUND(IF(ISBLANK(Product_Data_1[[#This Row],[Stock]]),AVERAGE(Product_Data_1[Stock]),Product_Data_1[[#This Row],[Stock]]),0)</f>
        <v>432</v>
      </c>
    </row>
    <row r="25" spans="1:9" x14ac:dyDescent="0.35">
      <c r="A25" s="6" t="s">
        <v>1590</v>
      </c>
      <c r="B25" s="1" t="s">
        <v>2360</v>
      </c>
      <c r="C25" s="1" t="s">
        <v>1543</v>
      </c>
      <c r="D25" s="1" t="s">
        <v>2324</v>
      </c>
      <c r="E25" s="1" t="s">
        <v>1591</v>
      </c>
      <c r="F25" s="1"/>
      <c r="G25" s="10">
        <f>ROUND(IF(ISBLANK(Product_Data_1[[#This Row],[Cost]]),AVERAGE(Product_Data_1[Cost]),Product_Data_1[[#This Row],[Cost]]),0)</f>
        <v>254</v>
      </c>
      <c r="H25" s="1">
        <v>360</v>
      </c>
      <c r="I25" s="1">
        <f>ROUND(IF(ISBLANK(Product_Data_1[[#This Row],[Stock]]),AVERAGE(Product_Data_1[Stock]),Product_Data_1[[#This Row],[Stock]]),0)</f>
        <v>360</v>
      </c>
    </row>
    <row r="26" spans="1:9" x14ac:dyDescent="0.35">
      <c r="A26" s="6" t="s">
        <v>1592</v>
      </c>
      <c r="B26" s="1" t="s">
        <v>2361</v>
      </c>
      <c r="C26" s="1" t="s">
        <v>1562</v>
      </c>
      <c r="D26" s="1" t="s">
        <v>2362</v>
      </c>
      <c r="E26" s="1" t="s">
        <v>1593</v>
      </c>
      <c r="F26" s="1">
        <v>166.06</v>
      </c>
      <c r="G26" s="10">
        <f>ROUND(IF(ISBLANK(Product_Data_1[[#This Row],[Cost]]),AVERAGE(Product_Data_1[Cost]),Product_Data_1[[#This Row],[Cost]]),0)</f>
        <v>166</v>
      </c>
      <c r="H26" s="1">
        <v>340</v>
      </c>
      <c r="I26" s="1">
        <f>ROUND(IF(ISBLANK(Product_Data_1[[#This Row],[Stock]]),AVERAGE(Product_Data_1[Stock]),Product_Data_1[[#This Row],[Stock]]),0)</f>
        <v>340</v>
      </c>
    </row>
    <row r="27" spans="1:9" x14ac:dyDescent="0.35">
      <c r="A27" s="6" t="s">
        <v>1594</v>
      </c>
      <c r="B27" s="1" t="s">
        <v>2363</v>
      </c>
      <c r="C27" s="1" t="s">
        <v>1543</v>
      </c>
      <c r="D27" s="1" t="s">
        <v>2331</v>
      </c>
      <c r="E27" s="1" t="s">
        <v>1595</v>
      </c>
      <c r="F27" s="1">
        <v>174.02</v>
      </c>
      <c r="G27" s="10">
        <f>ROUND(IF(ISBLANK(Product_Data_1[[#This Row],[Cost]]),AVERAGE(Product_Data_1[Cost]),Product_Data_1[[#This Row],[Cost]]),0)</f>
        <v>174</v>
      </c>
      <c r="H27" s="1">
        <v>268</v>
      </c>
      <c r="I27" s="1">
        <f>ROUND(IF(ISBLANK(Product_Data_1[[#This Row],[Stock]]),AVERAGE(Product_Data_1[Stock]),Product_Data_1[[#This Row],[Stock]]),0)</f>
        <v>268</v>
      </c>
    </row>
    <row r="28" spans="1:9" x14ac:dyDescent="0.35">
      <c r="A28" s="6" t="s">
        <v>1596</v>
      </c>
      <c r="B28" s="1" t="s">
        <v>2364</v>
      </c>
      <c r="C28" s="1" t="s">
        <v>1559</v>
      </c>
      <c r="D28" s="1" t="s">
        <v>2337</v>
      </c>
      <c r="E28" s="1" t="s">
        <v>1597</v>
      </c>
      <c r="F28" s="1">
        <v>322.41000000000003</v>
      </c>
      <c r="G28" s="10">
        <f>ROUND(IF(ISBLANK(Product_Data_1[[#This Row],[Cost]]),AVERAGE(Product_Data_1[Cost]),Product_Data_1[[#This Row],[Cost]]),0)</f>
        <v>322</v>
      </c>
      <c r="H28" s="1">
        <v>213</v>
      </c>
      <c r="I28" s="1">
        <f>ROUND(IF(ISBLANK(Product_Data_1[[#This Row],[Stock]]),AVERAGE(Product_Data_1[Stock]),Product_Data_1[[#This Row],[Stock]]),0)</f>
        <v>213</v>
      </c>
    </row>
    <row r="29" spans="1:9" x14ac:dyDescent="0.35">
      <c r="A29" s="6" t="s">
        <v>1598</v>
      </c>
      <c r="B29" s="1" t="s">
        <v>2365</v>
      </c>
      <c r="C29" s="1" t="s">
        <v>1540</v>
      </c>
      <c r="D29" s="1" t="s">
        <v>2347</v>
      </c>
      <c r="E29" s="1" t="s">
        <v>1599</v>
      </c>
      <c r="F29" s="1"/>
      <c r="G29" s="10">
        <f>ROUND(IF(ISBLANK(Product_Data_1[[#This Row],[Cost]]),AVERAGE(Product_Data_1[Cost]),Product_Data_1[[#This Row],[Cost]]),0)</f>
        <v>254</v>
      </c>
      <c r="H29" s="1">
        <v>378</v>
      </c>
      <c r="I29" s="1">
        <f>ROUND(IF(ISBLANK(Product_Data_1[[#This Row],[Stock]]),AVERAGE(Product_Data_1[Stock]),Product_Data_1[[#This Row],[Stock]]),0)</f>
        <v>378</v>
      </c>
    </row>
    <row r="30" spans="1:9" x14ac:dyDescent="0.35">
      <c r="A30" s="6" t="s">
        <v>1600</v>
      </c>
      <c r="B30" s="1" t="s">
        <v>2366</v>
      </c>
      <c r="C30" s="1" t="s">
        <v>1562</v>
      </c>
      <c r="D30" s="1" t="s">
        <v>2331</v>
      </c>
      <c r="E30" s="1" t="s">
        <v>1601</v>
      </c>
      <c r="F30" s="1">
        <v>38.76</v>
      </c>
      <c r="G30" s="10">
        <f>ROUND(IF(ISBLANK(Product_Data_1[[#This Row],[Cost]]),AVERAGE(Product_Data_1[Cost]),Product_Data_1[[#This Row],[Cost]]),0)</f>
        <v>39</v>
      </c>
      <c r="H30" s="1">
        <v>137</v>
      </c>
      <c r="I30" s="1">
        <f>ROUND(IF(ISBLANK(Product_Data_1[[#This Row],[Stock]]),AVERAGE(Product_Data_1[Stock]),Product_Data_1[[#This Row],[Stock]]),0)</f>
        <v>137</v>
      </c>
    </row>
    <row r="31" spans="1:9" x14ac:dyDescent="0.35">
      <c r="A31" s="6" t="s">
        <v>1602</v>
      </c>
      <c r="B31" s="1" t="s">
        <v>2367</v>
      </c>
      <c r="C31" s="1" t="s">
        <v>1540</v>
      </c>
      <c r="D31" s="1" t="s">
        <v>2347</v>
      </c>
      <c r="E31" s="1" t="s">
        <v>1603</v>
      </c>
      <c r="F31" s="1">
        <v>218.48</v>
      </c>
      <c r="G31" s="10">
        <f>ROUND(IF(ISBLANK(Product_Data_1[[#This Row],[Cost]]),AVERAGE(Product_Data_1[Cost]),Product_Data_1[[#This Row],[Cost]]),0)</f>
        <v>218</v>
      </c>
      <c r="H31" s="1">
        <v>276</v>
      </c>
      <c r="I31" s="1">
        <f>ROUND(IF(ISBLANK(Product_Data_1[[#This Row],[Stock]]),AVERAGE(Product_Data_1[Stock]),Product_Data_1[[#This Row],[Stock]]),0)</f>
        <v>276</v>
      </c>
    </row>
    <row r="32" spans="1:9" x14ac:dyDescent="0.35">
      <c r="A32" s="6" t="s">
        <v>1604</v>
      </c>
      <c r="B32" s="1" t="s">
        <v>2368</v>
      </c>
      <c r="C32" s="1" t="s">
        <v>1540</v>
      </c>
      <c r="D32" s="1" t="s">
        <v>2341</v>
      </c>
      <c r="E32" s="1" t="s">
        <v>1605</v>
      </c>
      <c r="F32" s="1">
        <v>19.52</v>
      </c>
      <c r="G32" s="10">
        <f>ROUND(IF(ISBLANK(Product_Data_1[[#This Row],[Cost]]),AVERAGE(Product_Data_1[Cost]),Product_Data_1[[#This Row],[Cost]]),0)</f>
        <v>20</v>
      </c>
      <c r="H32" s="1">
        <v>57</v>
      </c>
      <c r="I32" s="1">
        <f>ROUND(IF(ISBLANK(Product_Data_1[[#This Row],[Stock]]),AVERAGE(Product_Data_1[Stock]),Product_Data_1[[#This Row],[Stock]]),0)</f>
        <v>57</v>
      </c>
    </row>
    <row r="33" spans="1:9" x14ac:dyDescent="0.35">
      <c r="A33" s="6" t="s">
        <v>1606</v>
      </c>
      <c r="B33" s="1" t="s">
        <v>2369</v>
      </c>
      <c r="C33" s="1" t="s">
        <v>1562</v>
      </c>
      <c r="D33" s="1" t="s">
        <v>2370</v>
      </c>
      <c r="E33" s="1" t="s">
        <v>1607</v>
      </c>
      <c r="F33" s="1">
        <v>204.39</v>
      </c>
      <c r="G33" s="10">
        <f>ROUND(IF(ISBLANK(Product_Data_1[[#This Row],[Cost]]),AVERAGE(Product_Data_1[Cost]),Product_Data_1[[#This Row],[Cost]]),0)</f>
        <v>204</v>
      </c>
      <c r="H33" s="1">
        <v>281</v>
      </c>
      <c r="I33" s="1">
        <f>ROUND(IF(ISBLANK(Product_Data_1[[#This Row],[Stock]]),AVERAGE(Product_Data_1[Stock]),Product_Data_1[[#This Row],[Stock]]),0)</f>
        <v>281</v>
      </c>
    </row>
    <row r="34" spans="1:9" x14ac:dyDescent="0.35">
      <c r="A34" s="6" t="s">
        <v>1608</v>
      </c>
      <c r="B34" s="1" t="s">
        <v>2371</v>
      </c>
      <c r="C34" s="1" t="s">
        <v>1554</v>
      </c>
      <c r="D34" s="1" t="s">
        <v>2333</v>
      </c>
      <c r="E34" s="1" t="s">
        <v>1609</v>
      </c>
      <c r="F34" s="1">
        <v>283.83</v>
      </c>
      <c r="G34" s="10">
        <f>ROUND(IF(ISBLANK(Product_Data_1[[#This Row],[Cost]]),AVERAGE(Product_Data_1[Cost]),Product_Data_1[[#This Row],[Cost]]),0)</f>
        <v>284</v>
      </c>
      <c r="H34" s="1">
        <v>244</v>
      </c>
      <c r="I34" s="1">
        <f>ROUND(IF(ISBLANK(Product_Data_1[[#This Row],[Stock]]),AVERAGE(Product_Data_1[Stock]),Product_Data_1[[#This Row],[Stock]]),0)</f>
        <v>244</v>
      </c>
    </row>
    <row r="35" spans="1:9" x14ac:dyDescent="0.35">
      <c r="A35" s="6" t="s">
        <v>1610</v>
      </c>
      <c r="B35" s="1" t="s">
        <v>2372</v>
      </c>
      <c r="C35" s="1" t="s">
        <v>1540</v>
      </c>
      <c r="D35" s="1" t="s">
        <v>2347</v>
      </c>
      <c r="E35" s="1" t="s">
        <v>1611</v>
      </c>
      <c r="F35" s="1">
        <v>179.77</v>
      </c>
      <c r="G35" s="10">
        <f>ROUND(IF(ISBLANK(Product_Data_1[[#This Row],[Cost]]),AVERAGE(Product_Data_1[Cost]),Product_Data_1[[#This Row],[Cost]]),0)</f>
        <v>180</v>
      </c>
      <c r="H35" s="1">
        <v>305</v>
      </c>
      <c r="I35" s="1">
        <f>ROUND(IF(ISBLANK(Product_Data_1[[#This Row],[Stock]]),AVERAGE(Product_Data_1[Stock]),Product_Data_1[[#This Row],[Stock]]),0)</f>
        <v>305</v>
      </c>
    </row>
    <row r="36" spans="1:9" x14ac:dyDescent="0.35">
      <c r="A36" s="6" t="s">
        <v>1612</v>
      </c>
      <c r="B36" s="1" t="s">
        <v>2373</v>
      </c>
      <c r="C36" s="1" t="s">
        <v>1559</v>
      </c>
      <c r="D36" s="1" t="s">
        <v>2322</v>
      </c>
      <c r="E36" s="1" t="s">
        <v>1613</v>
      </c>
      <c r="F36" s="1">
        <v>419.28</v>
      </c>
      <c r="G36" s="10">
        <f>ROUND(IF(ISBLANK(Product_Data_1[[#This Row],[Cost]]),AVERAGE(Product_Data_1[Cost]),Product_Data_1[[#This Row],[Cost]]),0)</f>
        <v>419</v>
      </c>
      <c r="H36" s="1">
        <v>86</v>
      </c>
      <c r="I36" s="1">
        <f>ROUND(IF(ISBLANK(Product_Data_1[[#This Row],[Stock]]),AVERAGE(Product_Data_1[Stock]),Product_Data_1[[#This Row],[Stock]]),0)</f>
        <v>86</v>
      </c>
    </row>
    <row r="37" spans="1:9" x14ac:dyDescent="0.35">
      <c r="A37" s="6" t="s">
        <v>1614</v>
      </c>
      <c r="B37" s="1" t="s">
        <v>2374</v>
      </c>
      <c r="C37" s="1" t="s">
        <v>1540</v>
      </c>
      <c r="D37" s="1" t="s">
        <v>2335</v>
      </c>
      <c r="E37" s="1" t="s">
        <v>1615</v>
      </c>
      <c r="F37" s="1">
        <v>382.22</v>
      </c>
      <c r="G37" s="10">
        <f>ROUND(IF(ISBLANK(Product_Data_1[[#This Row],[Cost]]),AVERAGE(Product_Data_1[Cost]),Product_Data_1[[#This Row],[Cost]]),0)</f>
        <v>382</v>
      </c>
      <c r="H37" s="1">
        <v>329</v>
      </c>
      <c r="I37" s="1">
        <f>ROUND(IF(ISBLANK(Product_Data_1[[#This Row],[Stock]]),AVERAGE(Product_Data_1[Stock]),Product_Data_1[[#This Row],[Stock]]),0)</f>
        <v>329</v>
      </c>
    </row>
    <row r="38" spans="1:9" x14ac:dyDescent="0.35">
      <c r="A38" s="6" t="s">
        <v>1616</v>
      </c>
      <c r="B38" s="1" t="s">
        <v>2375</v>
      </c>
      <c r="C38" s="1" t="s">
        <v>1543</v>
      </c>
      <c r="D38" s="1" t="s">
        <v>2324</v>
      </c>
      <c r="E38" s="1" t="s">
        <v>1617</v>
      </c>
      <c r="F38" s="1">
        <v>223.43</v>
      </c>
      <c r="G38" s="10">
        <f>ROUND(IF(ISBLANK(Product_Data_1[[#This Row],[Cost]]),AVERAGE(Product_Data_1[Cost]),Product_Data_1[[#This Row],[Cost]]),0)</f>
        <v>223</v>
      </c>
      <c r="H38" s="1">
        <v>154</v>
      </c>
      <c r="I38" s="1">
        <f>ROUND(IF(ISBLANK(Product_Data_1[[#This Row],[Stock]]),AVERAGE(Product_Data_1[Stock]),Product_Data_1[[#This Row],[Stock]]),0)</f>
        <v>154</v>
      </c>
    </row>
    <row r="39" spans="1:9" x14ac:dyDescent="0.35">
      <c r="A39" s="6" t="s">
        <v>1618</v>
      </c>
      <c r="B39" s="1" t="s">
        <v>2376</v>
      </c>
      <c r="C39" s="1" t="s">
        <v>1543</v>
      </c>
      <c r="D39" s="1" t="s">
        <v>2377</v>
      </c>
      <c r="E39" s="1" t="s">
        <v>1619</v>
      </c>
      <c r="F39" s="1">
        <v>353.47</v>
      </c>
      <c r="G39" s="10">
        <f>ROUND(IF(ISBLANK(Product_Data_1[[#This Row],[Cost]]),AVERAGE(Product_Data_1[Cost]),Product_Data_1[[#This Row],[Cost]]),0)</f>
        <v>353</v>
      </c>
      <c r="H39" s="1">
        <v>214</v>
      </c>
      <c r="I39" s="1">
        <f>ROUND(IF(ISBLANK(Product_Data_1[[#This Row],[Stock]]),AVERAGE(Product_Data_1[Stock]),Product_Data_1[[#This Row],[Stock]]),0)</f>
        <v>214</v>
      </c>
    </row>
    <row r="40" spans="1:9" x14ac:dyDescent="0.35">
      <c r="A40" s="6" t="s">
        <v>1620</v>
      </c>
      <c r="B40" s="1" t="s">
        <v>2378</v>
      </c>
      <c r="C40" s="1" t="s">
        <v>1562</v>
      </c>
      <c r="D40" s="1" t="s">
        <v>2362</v>
      </c>
      <c r="E40" s="1" t="s">
        <v>1621</v>
      </c>
      <c r="F40" s="1">
        <v>135.61000000000001</v>
      </c>
      <c r="G40" s="10">
        <f>ROUND(IF(ISBLANK(Product_Data_1[[#This Row],[Cost]]),AVERAGE(Product_Data_1[Cost]),Product_Data_1[[#This Row],[Cost]]),0)</f>
        <v>136</v>
      </c>
      <c r="H40" s="1">
        <v>394</v>
      </c>
      <c r="I40" s="1">
        <f>ROUND(IF(ISBLANK(Product_Data_1[[#This Row],[Stock]]),AVERAGE(Product_Data_1[Stock]),Product_Data_1[[#This Row],[Stock]]),0)</f>
        <v>394</v>
      </c>
    </row>
    <row r="41" spans="1:9" x14ac:dyDescent="0.35">
      <c r="A41" s="6" t="s">
        <v>1622</v>
      </c>
      <c r="B41" s="1" t="s">
        <v>2379</v>
      </c>
      <c r="C41" s="1" t="s">
        <v>1559</v>
      </c>
      <c r="D41" s="1" t="s">
        <v>2380</v>
      </c>
      <c r="E41" s="1" t="s">
        <v>1623</v>
      </c>
      <c r="F41" s="1">
        <v>326.06</v>
      </c>
      <c r="G41" s="10">
        <f>ROUND(IF(ISBLANK(Product_Data_1[[#This Row],[Cost]]),AVERAGE(Product_Data_1[Cost]),Product_Data_1[[#This Row],[Cost]]),0)</f>
        <v>326</v>
      </c>
      <c r="H41" s="1">
        <v>301</v>
      </c>
      <c r="I41" s="1">
        <f>ROUND(IF(ISBLANK(Product_Data_1[[#This Row],[Stock]]),AVERAGE(Product_Data_1[Stock]),Product_Data_1[[#This Row],[Stock]]),0)</f>
        <v>301</v>
      </c>
    </row>
    <row r="42" spans="1:9" x14ac:dyDescent="0.35">
      <c r="A42" s="6" t="s">
        <v>1624</v>
      </c>
      <c r="B42" s="1" t="s">
        <v>2381</v>
      </c>
      <c r="C42" s="1" t="s">
        <v>1559</v>
      </c>
      <c r="D42" s="1" t="s">
        <v>2337</v>
      </c>
      <c r="E42" s="1" t="s">
        <v>1625</v>
      </c>
      <c r="F42" s="1">
        <v>38.520000000000003</v>
      </c>
      <c r="G42" s="10">
        <f>ROUND(IF(ISBLANK(Product_Data_1[[#This Row],[Cost]]),AVERAGE(Product_Data_1[Cost]),Product_Data_1[[#This Row],[Cost]]),0)</f>
        <v>39</v>
      </c>
      <c r="H42" s="1">
        <v>378</v>
      </c>
      <c r="I42" s="1">
        <f>ROUND(IF(ISBLANK(Product_Data_1[[#This Row],[Stock]]),AVERAGE(Product_Data_1[Stock]),Product_Data_1[[#This Row],[Stock]]),0)</f>
        <v>378</v>
      </c>
    </row>
    <row r="43" spans="1:9" x14ac:dyDescent="0.35">
      <c r="A43" s="6" t="s">
        <v>1626</v>
      </c>
      <c r="B43" s="1" t="s">
        <v>2382</v>
      </c>
      <c r="C43" s="1" t="s">
        <v>1562</v>
      </c>
      <c r="D43" s="1" t="s">
        <v>2339</v>
      </c>
      <c r="E43" s="1" t="s">
        <v>1627</v>
      </c>
      <c r="F43" s="1">
        <v>313.26</v>
      </c>
      <c r="G43" s="10">
        <f>ROUND(IF(ISBLANK(Product_Data_1[[#This Row],[Cost]]),AVERAGE(Product_Data_1[Cost]),Product_Data_1[[#This Row],[Cost]]),0)</f>
        <v>313</v>
      </c>
      <c r="H43" s="1">
        <v>369</v>
      </c>
      <c r="I43" s="1">
        <f>ROUND(IF(ISBLANK(Product_Data_1[[#This Row],[Stock]]),AVERAGE(Product_Data_1[Stock]),Product_Data_1[[#This Row],[Stock]]),0)</f>
        <v>369</v>
      </c>
    </row>
    <row r="44" spans="1:9" x14ac:dyDescent="0.35">
      <c r="A44" s="6" t="s">
        <v>1628</v>
      </c>
      <c r="B44" s="1" t="s">
        <v>2383</v>
      </c>
      <c r="C44" s="1" t="s">
        <v>1559</v>
      </c>
      <c r="D44" s="1" t="s">
        <v>2331</v>
      </c>
      <c r="E44" s="1" t="s">
        <v>1629</v>
      </c>
      <c r="F44" s="1">
        <v>450.71</v>
      </c>
      <c r="G44" s="10">
        <f>ROUND(IF(ISBLANK(Product_Data_1[[#This Row],[Cost]]),AVERAGE(Product_Data_1[Cost]),Product_Data_1[[#This Row],[Cost]]),0)</f>
        <v>451</v>
      </c>
      <c r="H44" s="1">
        <v>389</v>
      </c>
      <c r="I44" s="1">
        <f>ROUND(IF(ISBLANK(Product_Data_1[[#This Row],[Stock]]),AVERAGE(Product_Data_1[Stock]),Product_Data_1[[#This Row],[Stock]]),0)</f>
        <v>389</v>
      </c>
    </row>
    <row r="45" spans="1:9" x14ac:dyDescent="0.35">
      <c r="A45" s="6" t="s">
        <v>1630</v>
      </c>
      <c r="B45" s="1" t="s">
        <v>2384</v>
      </c>
      <c r="C45" s="1" t="s">
        <v>1559</v>
      </c>
      <c r="D45" s="1" t="s">
        <v>2322</v>
      </c>
      <c r="E45" s="1" t="s">
        <v>1631</v>
      </c>
      <c r="F45" s="1">
        <v>253.33</v>
      </c>
      <c r="G45" s="10">
        <f>ROUND(IF(ISBLANK(Product_Data_1[[#This Row],[Cost]]),AVERAGE(Product_Data_1[Cost]),Product_Data_1[[#This Row],[Cost]]),0)</f>
        <v>253</v>
      </c>
      <c r="H45" s="1">
        <v>266</v>
      </c>
      <c r="I45" s="1">
        <f>ROUND(IF(ISBLANK(Product_Data_1[[#This Row],[Stock]]),AVERAGE(Product_Data_1[Stock]),Product_Data_1[[#This Row],[Stock]]),0)</f>
        <v>266</v>
      </c>
    </row>
    <row r="46" spans="1:9" x14ac:dyDescent="0.35">
      <c r="A46" s="6" t="s">
        <v>1632</v>
      </c>
      <c r="B46" s="1" t="s">
        <v>2385</v>
      </c>
      <c r="C46" s="1" t="s">
        <v>1562</v>
      </c>
      <c r="D46" s="1" t="s">
        <v>2339</v>
      </c>
      <c r="E46" s="1" t="s">
        <v>1633</v>
      </c>
      <c r="F46" s="1">
        <v>167.12</v>
      </c>
      <c r="G46" s="10">
        <f>ROUND(IF(ISBLANK(Product_Data_1[[#This Row],[Cost]]),AVERAGE(Product_Data_1[Cost]),Product_Data_1[[#This Row],[Cost]]),0)</f>
        <v>167</v>
      </c>
      <c r="H46" s="1">
        <v>316</v>
      </c>
      <c r="I46" s="1">
        <f>ROUND(IF(ISBLANK(Product_Data_1[[#This Row],[Stock]]),AVERAGE(Product_Data_1[Stock]),Product_Data_1[[#This Row],[Stock]]),0)</f>
        <v>316</v>
      </c>
    </row>
    <row r="47" spans="1:9" x14ac:dyDescent="0.35">
      <c r="A47" s="6" t="s">
        <v>1634</v>
      </c>
      <c r="B47" s="1" t="s">
        <v>2386</v>
      </c>
      <c r="C47" s="1" t="s">
        <v>1562</v>
      </c>
      <c r="D47" s="1" t="s">
        <v>2370</v>
      </c>
      <c r="E47" s="1" t="s">
        <v>1635</v>
      </c>
      <c r="F47" s="1">
        <v>318.91000000000003</v>
      </c>
      <c r="G47" s="10">
        <f>ROUND(IF(ISBLANK(Product_Data_1[[#This Row],[Cost]]),AVERAGE(Product_Data_1[Cost]),Product_Data_1[[#This Row],[Cost]]),0)</f>
        <v>319</v>
      </c>
      <c r="H47" s="1">
        <v>114</v>
      </c>
      <c r="I47" s="1">
        <f>ROUND(IF(ISBLANK(Product_Data_1[[#This Row],[Stock]]),AVERAGE(Product_Data_1[Stock]),Product_Data_1[[#This Row],[Stock]]),0)</f>
        <v>114</v>
      </c>
    </row>
    <row r="48" spans="1:9" x14ac:dyDescent="0.35">
      <c r="A48" s="6" t="s">
        <v>1636</v>
      </c>
      <c r="B48" s="1" t="s">
        <v>2387</v>
      </c>
      <c r="C48" s="1" t="s">
        <v>1543</v>
      </c>
      <c r="D48" s="1" t="s">
        <v>2326</v>
      </c>
      <c r="E48" s="1" t="s">
        <v>1637</v>
      </c>
      <c r="F48" s="1">
        <v>167.34</v>
      </c>
      <c r="G48" s="10">
        <f>ROUND(IF(ISBLANK(Product_Data_1[[#This Row],[Cost]]),AVERAGE(Product_Data_1[Cost]),Product_Data_1[[#This Row],[Cost]]),0)</f>
        <v>167</v>
      </c>
      <c r="H48" s="1">
        <v>296</v>
      </c>
      <c r="I48" s="1">
        <f>ROUND(IF(ISBLANK(Product_Data_1[[#This Row],[Stock]]),AVERAGE(Product_Data_1[Stock]),Product_Data_1[[#This Row],[Stock]]),0)</f>
        <v>296</v>
      </c>
    </row>
    <row r="49" spans="1:9" x14ac:dyDescent="0.35">
      <c r="A49" s="6" t="s">
        <v>1638</v>
      </c>
      <c r="B49" s="1" t="s">
        <v>2388</v>
      </c>
      <c r="C49" s="1" t="s">
        <v>1554</v>
      </c>
      <c r="D49" s="1" t="s">
        <v>2389</v>
      </c>
      <c r="E49" s="1" t="s">
        <v>1639</v>
      </c>
      <c r="F49" s="1"/>
      <c r="G49" s="10">
        <f>ROUND(IF(ISBLANK(Product_Data_1[[#This Row],[Cost]]),AVERAGE(Product_Data_1[Cost]),Product_Data_1[[#This Row],[Cost]]),0)</f>
        <v>254</v>
      </c>
      <c r="H49" s="1">
        <v>431</v>
      </c>
      <c r="I49" s="1">
        <f>ROUND(IF(ISBLANK(Product_Data_1[[#This Row],[Stock]]),AVERAGE(Product_Data_1[Stock]),Product_Data_1[[#This Row],[Stock]]),0)</f>
        <v>431</v>
      </c>
    </row>
    <row r="50" spans="1:9" x14ac:dyDescent="0.35">
      <c r="A50" s="6" t="s">
        <v>1640</v>
      </c>
      <c r="B50" s="1" t="s">
        <v>2390</v>
      </c>
      <c r="C50" s="1" t="s">
        <v>1559</v>
      </c>
      <c r="D50" s="1" t="s">
        <v>2331</v>
      </c>
      <c r="E50" s="1" t="s">
        <v>1641</v>
      </c>
      <c r="F50" s="1">
        <v>177.98</v>
      </c>
      <c r="G50" s="10">
        <f>ROUND(IF(ISBLANK(Product_Data_1[[#This Row],[Cost]]),AVERAGE(Product_Data_1[Cost]),Product_Data_1[[#This Row],[Cost]]),0)</f>
        <v>178</v>
      </c>
      <c r="H50" s="1">
        <v>103</v>
      </c>
      <c r="I50" s="1">
        <f>ROUND(IF(ISBLANK(Product_Data_1[[#This Row],[Stock]]),AVERAGE(Product_Data_1[Stock]),Product_Data_1[[#This Row],[Stock]]),0)</f>
        <v>103</v>
      </c>
    </row>
    <row r="51" spans="1:9" x14ac:dyDescent="0.35">
      <c r="A51" s="6" t="s">
        <v>1642</v>
      </c>
      <c r="B51" s="1" t="s">
        <v>2391</v>
      </c>
      <c r="C51" s="1" t="s">
        <v>1554</v>
      </c>
      <c r="D51" s="1" t="s">
        <v>2392</v>
      </c>
      <c r="E51" s="1" t="s">
        <v>1643</v>
      </c>
      <c r="F51" s="1">
        <v>43.29</v>
      </c>
      <c r="G51" s="10">
        <f>ROUND(IF(ISBLANK(Product_Data_1[[#This Row],[Cost]]),AVERAGE(Product_Data_1[Cost]),Product_Data_1[[#This Row],[Cost]]),0)</f>
        <v>43</v>
      </c>
      <c r="H51" s="1">
        <v>267</v>
      </c>
      <c r="I51" s="1">
        <f>ROUND(IF(ISBLANK(Product_Data_1[[#This Row],[Stock]]),AVERAGE(Product_Data_1[Stock]),Product_Data_1[[#This Row],[Stock]]),0)</f>
        <v>267</v>
      </c>
    </row>
    <row r="52" spans="1:9" x14ac:dyDescent="0.35">
      <c r="A52" s="6" t="s">
        <v>1644</v>
      </c>
      <c r="B52" s="1" t="s">
        <v>2393</v>
      </c>
      <c r="C52" s="1" t="s">
        <v>1562</v>
      </c>
      <c r="D52" s="1" t="s">
        <v>2339</v>
      </c>
      <c r="E52" s="1" t="s">
        <v>1645</v>
      </c>
      <c r="F52" s="1">
        <v>190.29</v>
      </c>
      <c r="G52" s="10">
        <f>ROUND(IF(ISBLANK(Product_Data_1[[#This Row],[Cost]]),AVERAGE(Product_Data_1[Cost]),Product_Data_1[[#This Row],[Cost]]),0)</f>
        <v>190</v>
      </c>
      <c r="H52" s="1">
        <v>260</v>
      </c>
      <c r="I52" s="1">
        <f>ROUND(IF(ISBLANK(Product_Data_1[[#This Row],[Stock]]),AVERAGE(Product_Data_1[Stock]),Product_Data_1[[#This Row],[Stock]]),0)</f>
        <v>260</v>
      </c>
    </row>
    <row r="53" spans="1:9" x14ac:dyDescent="0.35">
      <c r="A53" s="6" t="s">
        <v>1646</v>
      </c>
      <c r="B53" s="1" t="s">
        <v>2394</v>
      </c>
      <c r="C53" s="1" t="s">
        <v>1559</v>
      </c>
      <c r="D53" s="1" t="s">
        <v>2331</v>
      </c>
      <c r="E53" s="1" t="s">
        <v>1647</v>
      </c>
      <c r="F53" s="1">
        <v>88.49</v>
      </c>
      <c r="G53" s="10">
        <f>ROUND(IF(ISBLANK(Product_Data_1[[#This Row],[Cost]]),AVERAGE(Product_Data_1[Cost]),Product_Data_1[[#This Row],[Cost]]),0)</f>
        <v>88</v>
      </c>
      <c r="H53" s="1">
        <v>246</v>
      </c>
      <c r="I53" s="1">
        <f>ROUND(IF(ISBLANK(Product_Data_1[[#This Row],[Stock]]),AVERAGE(Product_Data_1[Stock]),Product_Data_1[[#This Row],[Stock]]),0)</f>
        <v>246</v>
      </c>
    </row>
    <row r="54" spans="1:9" x14ac:dyDescent="0.35">
      <c r="A54" s="6" t="s">
        <v>1648</v>
      </c>
      <c r="B54" s="1" t="s">
        <v>2395</v>
      </c>
      <c r="C54" s="1" t="s">
        <v>1562</v>
      </c>
      <c r="D54" s="1" t="s">
        <v>2370</v>
      </c>
      <c r="E54" s="1" t="s">
        <v>1649</v>
      </c>
      <c r="F54" s="1">
        <v>212.26</v>
      </c>
      <c r="G54" s="10">
        <f>ROUND(IF(ISBLANK(Product_Data_1[[#This Row],[Cost]]),AVERAGE(Product_Data_1[Cost]),Product_Data_1[[#This Row],[Cost]]),0)</f>
        <v>212</v>
      </c>
      <c r="H54" s="1">
        <v>82</v>
      </c>
      <c r="I54" s="1">
        <f>ROUND(IF(ISBLANK(Product_Data_1[[#This Row],[Stock]]),AVERAGE(Product_Data_1[Stock]),Product_Data_1[[#This Row],[Stock]]),0)</f>
        <v>82</v>
      </c>
    </row>
    <row r="55" spans="1:9" x14ac:dyDescent="0.35">
      <c r="A55" s="6" t="s">
        <v>1650</v>
      </c>
      <c r="B55" s="1" t="s">
        <v>2396</v>
      </c>
      <c r="C55" s="1" t="s">
        <v>1543</v>
      </c>
      <c r="D55" s="1" t="s">
        <v>2329</v>
      </c>
      <c r="E55" s="1" t="s">
        <v>1651</v>
      </c>
      <c r="F55" s="1">
        <v>386.56</v>
      </c>
      <c r="G55" s="10">
        <f>ROUND(IF(ISBLANK(Product_Data_1[[#This Row],[Cost]]),AVERAGE(Product_Data_1[Cost]),Product_Data_1[[#This Row],[Cost]]),0)</f>
        <v>387</v>
      </c>
      <c r="H55" s="1">
        <v>125</v>
      </c>
      <c r="I55" s="1">
        <f>ROUND(IF(ISBLANK(Product_Data_1[[#This Row],[Stock]]),AVERAGE(Product_Data_1[Stock]),Product_Data_1[[#This Row],[Stock]]),0)</f>
        <v>125</v>
      </c>
    </row>
    <row r="56" spans="1:9" x14ac:dyDescent="0.35">
      <c r="A56" s="6" t="s">
        <v>1652</v>
      </c>
      <c r="B56" s="1" t="s">
        <v>2397</v>
      </c>
      <c r="C56" s="1" t="s">
        <v>1562</v>
      </c>
      <c r="D56" s="1" t="s">
        <v>2331</v>
      </c>
      <c r="E56" s="1" t="s">
        <v>1653</v>
      </c>
      <c r="F56" s="1">
        <v>434.84</v>
      </c>
      <c r="G56" s="10">
        <f>ROUND(IF(ISBLANK(Product_Data_1[[#This Row],[Cost]]),AVERAGE(Product_Data_1[Cost]),Product_Data_1[[#This Row],[Cost]]),0)</f>
        <v>435</v>
      </c>
      <c r="H56" s="1">
        <v>185</v>
      </c>
      <c r="I56" s="1">
        <f>ROUND(IF(ISBLANK(Product_Data_1[[#This Row],[Stock]]),AVERAGE(Product_Data_1[Stock]),Product_Data_1[[#This Row],[Stock]]),0)</f>
        <v>185</v>
      </c>
    </row>
    <row r="57" spans="1:9" x14ac:dyDescent="0.35">
      <c r="A57" s="6" t="s">
        <v>1654</v>
      </c>
      <c r="B57" s="1" t="s">
        <v>2398</v>
      </c>
      <c r="C57" s="1" t="s">
        <v>1540</v>
      </c>
      <c r="D57" s="1" t="s">
        <v>2347</v>
      </c>
      <c r="E57" s="1" t="s">
        <v>1655</v>
      </c>
      <c r="F57" s="1">
        <v>81.75</v>
      </c>
      <c r="G57" s="10">
        <f>ROUND(IF(ISBLANK(Product_Data_1[[#This Row],[Cost]]),AVERAGE(Product_Data_1[Cost]),Product_Data_1[[#This Row],[Cost]]),0)</f>
        <v>82</v>
      </c>
      <c r="H57" s="1"/>
      <c r="I57" s="1">
        <f>ROUND(IF(ISBLANK(Product_Data_1[[#This Row],[Stock]]),AVERAGE(Product_Data_1[Stock]),Product_Data_1[[#This Row],[Stock]]),0)</f>
        <v>273</v>
      </c>
    </row>
    <row r="58" spans="1:9" x14ac:dyDescent="0.35">
      <c r="A58" s="6" t="s">
        <v>1656</v>
      </c>
      <c r="B58" s="1" t="s">
        <v>2399</v>
      </c>
      <c r="C58" s="1" t="s">
        <v>1540</v>
      </c>
      <c r="D58" s="1" t="s">
        <v>2347</v>
      </c>
      <c r="E58" s="1" t="s">
        <v>1657</v>
      </c>
      <c r="F58" s="1">
        <v>461.47</v>
      </c>
      <c r="G58" s="10">
        <f>ROUND(IF(ISBLANK(Product_Data_1[[#This Row],[Cost]]),AVERAGE(Product_Data_1[Cost]),Product_Data_1[[#This Row],[Cost]]),0)</f>
        <v>461</v>
      </c>
      <c r="H58" s="1">
        <v>190</v>
      </c>
      <c r="I58" s="1">
        <f>ROUND(IF(ISBLANK(Product_Data_1[[#This Row],[Stock]]),AVERAGE(Product_Data_1[Stock]),Product_Data_1[[#This Row],[Stock]]),0)</f>
        <v>190</v>
      </c>
    </row>
    <row r="59" spans="1:9" x14ac:dyDescent="0.35">
      <c r="A59" s="6" t="s">
        <v>1658</v>
      </c>
      <c r="B59" s="1" t="s">
        <v>2400</v>
      </c>
      <c r="C59" s="1" t="s">
        <v>1562</v>
      </c>
      <c r="D59" s="1" t="s">
        <v>2339</v>
      </c>
      <c r="E59" s="1" t="s">
        <v>1659</v>
      </c>
      <c r="F59" s="1">
        <v>30.62</v>
      </c>
      <c r="G59" s="10">
        <f>ROUND(IF(ISBLANK(Product_Data_1[[#This Row],[Cost]]),AVERAGE(Product_Data_1[Cost]),Product_Data_1[[#This Row],[Cost]]),0)</f>
        <v>31</v>
      </c>
      <c r="H59" s="1">
        <v>138</v>
      </c>
      <c r="I59" s="1">
        <f>ROUND(IF(ISBLANK(Product_Data_1[[#This Row],[Stock]]),AVERAGE(Product_Data_1[Stock]),Product_Data_1[[#This Row],[Stock]]),0)</f>
        <v>138</v>
      </c>
    </row>
    <row r="60" spans="1:9" x14ac:dyDescent="0.35">
      <c r="A60" s="6" t="s">
        <v>1660</v>
      </c>
      <c r="B60" s="1" t="s">
        <v>2401</v>
      </c>
      <c r="C60" s="1" t="s">
        <v>1543</v>
      </c>
      <c r="D60" s="1" t="s">
        <v>2331</v>
      </c>
      <c r="E60" s="1" t="s">
        <v>1661</v>
      </c>
      <c r="F60" s="1">
        <v>113.83</v>
      </c>
      <c r="G60" s="10">
        <f>ROUND(IF(ISBLANK(Product_Data_1[[#This Row],[Cost]]),AVERAGE(Product_Data_1[Cost]),Product_Data_1[[#This Row],[Cost]]),0)</f>
        <v>114</v>
      </c>
      <c r="H60" s="1">
        <v>485</v>
      </c>
      <c r="I60" s="1">
        <f>ROUND(IF(ISBLANK(Product_Data_1[[#This Row],[Stock]]),AVERAGE(Product_Data_1[Stock]),Product_Data_1[[#This Row],[Stock]]),0)</f>
        <v>485</v>
      </c>
    </row>
    <row r="61" spans="1:9" x14ac:dyDescent="0.35">
      <c r="A61" s="6" t="s">
        <v>1662</v>
      </c>
      <c r="B61" s="1" t="s">
        <v>2402</v>
      </c>
      <c r="C61" s="1" t="s">
        <v>1554</v>
      </c>
      <c r="D61" s="1" t="s">
        <v>2344</v>
      </c>
      <c r="E61" s="1" t="s">
        <v>1663</v>
      </c>
      <c r="F61" s="1">
        <v>17.309999999999999</v>
      </c>
      <c r="G61" s="10">
        <f>ROUND(IF(ISBLANK(Product_Data_1[[#This Row],[Cost]]),AVERAGE(Product_Data_1[Cost]),Product_Data_1[[#This Row],[Cost]]),0)</f>
        <v>17</v>
      </c>
      <c r="H61" s="1">
        <v>399</v>
      </c>
      <c r="I61" s="1">
        <f>ROUND(IF(ISBLANK(Product_Data_1[[#This Row],[Stock]]),AVERAGE(Product_Data_1[Stock]),Product_Data_1[[#This Row],[Stock]]),0)</f>
        <v>399</v>
      </c>
    </row>
    <row r="62" spans="1:9" x14ac:dyDescent="0.35">
      <c r="A62" s="6" t="s">
        <v>1664</v>
      </c>
      <c r="B62" s="1" t="s">
        <v>2403</v>
      </c>
      <c r="C62" s="1" t="s">
        <v>1554</v>
      </c>
      <c r="D62" s="1" t="s">
        <v>2392</v>
      </c>
      <c r="E62" s="1" t="s">
        <v>1665</v>
      </c>
      <c r="F62" s="1">
        <v>482.75</v>
      </c>
      <c r="G62" s="10">
        <f>ROUND(IF(ISBLANK(Product_Data_1[[#This Row],[Cost]]),AVERAGE(Product_Data_1[Cost]),Product_Data_1[[#This Row],[Cost]]),0)</f>
        <v>483</v>
      </c>
      <c r="H62" s="1">
        <v>444</v>
      </c>
      <c r="I62" s="1">
        <f>ROUND(IF(ISBLANK(Product_Data_1[[#This Row],[Stock]]),AVERAGE(Product_Data_1[Stock]),Product_Data_1[[#This Row],[Stock]]),0)</f>
        <v>444</v>
      </c>
    </row>
    <row r="63" spans="1:9" x14ac:dyDescent="0.35">
      <c r="A63" s="6" t="s">
        <v>1666</v>
      </c>
      <c r="B63" s="1" t="s">
        <v>2404</v>
      </c>
      <c r="C63" s="1" t="s">
        <v>1562</v>
      </c>
      <c r="D63" s="1" t="s">
        <v>2355</v>
      </c>
      <c r="E63" s="1" t="s">
        <v>1667</v>
      </c>
      <c r="F63" s="1">
        <v>103.45</v>
      </c>
      <c r="G63" s="10">
        <f>ROUND(IF(ISBLANK(Product_Data_1[[#This Row],[Cost]]),AVERAGE(Product_Data_1[Cost]),Product_Data_1[[#This Row],[Cost]]),0)</f>
        <v>103</v>
      </c>
      <c r="H63" s="1">
        <v>465</v>
      </c>
      <c r="I63" s="1">
        <f>ROUND(IF(ISBLANK(Product_Data_1[[#This Row],[Stock]]),AVERAGE(Product_Data_1[Stock]),Product_Data_1[[#This Row],[Stock]]),0)</f>
        <v>465</v>
      </c>
    </row>
    <row r="64" spans="1:9" x14ac:dyDescent="0.35">
      <c r="A64" s="6" t="s">
        <v>1668</v>
      </c>
      <c r="B64" s="1" t="s">
        <v>2405</v>
      </c>
      <c r="C64" s="1" t="s">
        <v>1559</v>
      </c>
      <c r="D64" s="1" t="s">
        <v>2322</v>
      </c>
      <c r="E64" s="1" t="s">
        <v>1669</v>
      </c>
      <c r="F64" s="1">
        <v>86.42</v>
      </c>
      <c r="G64" s="10">
        <f>ROUND(IF(ISBLANK(Product_Data_1[[#This Row],[Cost]]),AVERAGE(Product_Data_1[Cost]),Product_Data_1[[#This Row],[Cost]]),0)</f>
        <v>86</v>
      </c>
      <c r="H64" s="1">
        <v>222</v>
      </c>
      <c r="I64" s="1">
        <f>ROUND(IF(ISBLANK(Product_Data_1[[#This Row],[Stock]]),AVERAGE(Product_Data_1[Stock]),Product_Data_1[[#This Row],[Stock]]),0)</f>
        <v>222</v>
      </c>
    </row>
    <row r="65" spans="1:9" x14ac:dyDescent="0.35">
      <c r="A65" s="6" t="s">
        <v>1670</v>
      </c>
      <c r="B65" s="1" t="s">
        <v>2406</v>
      </c>
      <c r="C65" s="1" t="s">
        <v>1554</v>
      </c>
      <c r="D65" s="1" t="s">
        <v>2333</v>
      </c>
      <c r="E65" s="1" t="s">
        <v>1671</v>
      </c>
      <c r="F65" s="1">
        <v>266.86</v>
      </c>
      <c r="G65" s="10">
        <f>ROUND(IF(ISBLANK(Product_Data_1[[#This Row],[Cost]]),AVERAGE(Product_Data_1[Cost]),Product_Data_1[[#This Row],[Cost]]),0)</f>
        <v>267</v>
      </c>
      <c r="H65" s="1">
        <v>458</v>
      </c>
      <c r="I65" s="1">
        <f>ROUND(IF(ISBLANK(Product_Data_1[[#This Row],[Stock]]),AVERAGE(Product_Data_1[Stock]),Product_Data_1[[#This Row],[Stock]]),0)</f>
        <v>458</v>
      </c>
    </row>
    <row r="66" spans="1:9" x14ac:dyDescent="0.35">
      <c r="A66" s="6" t="s">
        <v>1672</v>
      </c>
      <c r="B66" s="1" t="s">
        <v>2407</v>
      </c>
      <c r="C66" s="1" t="s">
        <v>1554</v>
      </c>
      <c r="D66" s="1" t="s">
        <v>2389</v>
      </c>
      <c r="E66" s="1" t="s">
        <v>1673</v>
      </c>
      <c r="F66" s="1">
        <v>299.11</v>
      </c>
      <c r="G66" s="10">
        <f>ROUND(IF(ISBLANK(Product_Data_1[[#This Row],[Cost]]),AVERAGE(Product_Data_1[Cost]),Product_Data_1[[#This Row],[Cost]]),0)</f>
        <v>299</v>
      </c>
      <c r="H66" s="1">
        <v>118</v>
      </c>
      <c r="I66" s="1">
        <f>ROUND(IF(ISBLANK(Product_Data_1[[#This Row],[Stock]]),AVERAGE(Product_Data_1[Stock]),Product_Data_1[[#This Row],[Stock]]),0)</f>
        <v>118</v>
      </c>
    </row>
    <row r="67" spans="1:9" x14ac:dyDescent="0.35">
      <c r="A67" s="6" t="s">
        <v>1674</v>
      </c>
      <c r="B67" s="1" t="s">
        <v>2408</v>
      </c>
      <c r="C67" s="1" t="s">
        <v>1562</v>
      </c>
      <c r="D67" s="1" t="s">
        <v>2339</v>
      </c>
      <c r="E67" s="1" t="s">
        <v>1675</v>
      </c>
      <c r="F67" s="1">
        <v>240.63</v>
      </c>
      <c r="G67" s="10">
        <f>ROUND(IF(ISBLANK(Product_Data_1[[#This Row],[Cost]]),AVERAGE(Product_Data_1[Cost]),Product_Data_1[[#This Row],[Cost]]),0)</f>
        <v>241</v>
      </c>
      <c r="H67" s="1">
        <v>423</v>
      </c>
      <c r="I67" s="1">
        <f>ROUND(IF(ISBLANK(Product_Data_1[[#This Row],[Stock]]),AVERAGE(Product_Data_1[Stock]),Product_Data_1[[#This Row],[Stock]]),0)</f>
        <v>423</v>
      </c>
    </row>
    <row r="68" spans="1:9" x14ac:dyDescent="0.35">
      <c r="A68" s="6" t="s">
        <v>1676</v>
      </c>
      <c r="B68" s="1" t="s">
        <v>2409</v>
      </c>
      <c r="C68" s="1" t="s">
        <v>1554</v>
      </c>
      <c r="D68" s="1" t="s">
        <v>2344</v>
      </c>
      <c r="E68" s="1" t="s">
        <v>1677</v>
      </c>
      <c r="F68" s="1">
        <v>340.39</v>
      </c>
      <c r="G68" s="10">
        <f>ROUND(IF(ISBLANK(Product_Data_1[[#This Row],[Cost]]),AVERAGE(Product_Data_1[Cost]),Product_Data_1[[#This Row],[Cost]]),0)</f>
        <v>340</v>
      </c>
      <c r="H68" s="1">
        <v>177</v>
      </c>
      <c r="I68" s="1">
        <f>ROUND(IF(ISBLANK(Product_Data_1[[#This Row],[Stock]]),AVERAGE(Product_Data_1[Stock]),Product_Data_1[[#This Row],[Stock]]),0)</f>
        <v>177</v>
      </c>
    </row>
    <row r="69" spans="1:9" x14ac:dyDescent="0.35">
      <c r="A69" s="6" t="s">
        <v>1678</v>
      </c>
      <c r="B69" s="1" t="s">
        <v>2410</v>
      </c>
      <c r="C69" s="1" t="s">
        <v>1559</v>
      </c>
      <c r="D69" s="1" t="s">
        <v>2331</v>
      </c>
      <c r="E69" s="1" t="s">
        <v>1679</v>
      </c>
      <c r="F69" s="1">
        <v>349.17</v>
      </c>
      <c r="G69" s="10">
        <f>ROUND(IF(ISBLANK(Product_Data_1[[#This Row],[Cost]]),AVERAGE(Product_Data_1[Cost]),Product_Data_1[[#This Row],[Cost]]),0)</f>
        <v>349</v>
      </c>
      <c r="H69" s="1">
        <v>476</v>
      </c>
      <c r="I69" s="1">
        <f>ROUND(IF(ISBLANK(Product_Data_1[[#This Row],[Stock]]),AVERAGE(Product_Data_1[Stock]),Product_Data_1[[#This Row],[Stock]]),0)</f>
        <v>476</v>
      </c>
    </row>
    <row r="70" spans="1:9" x14ac:dyDescent="0.35">
      <c r="A70" s="6" t="s">
        <v>1680</v>
      </c>
      <c r="B70" s="1" t="s">
        <v>2411</v>
      </c>
      <c r="C70" s="1" t="s">
        <v>1540</v>
      </c>
      <c r="D70" s="1" t="s">
        <v>2412</v>
      </c>
      <c r="E70" s="1" t="s">
        <v>1681</v>
      </c>
      <c r="F70" s="1">
        <v>243.7</v>
      </c>
      <c r="G70" s="10">
        <f>ROUND(IF(ISBLANK(Product_Data_1[[#This Row],[Cost]]),AVERAGE(Product_Data_1[Cost]),Product_Data_1[[#This Row],[Cost]]),0)</f>
        <v>244</v>
      </c>
      <c r="H70" s="1">
        <v>130</v>
      </c>
      <c r="I70" s="1">
        <f>ROUND(IF(ISBLANK(Product_Data_1[[#This Row],[Stock]]),AVERAGE(Product_Data_1[Stock]),Product_Data_1[[#This Row],[Stock]]),0)</f>
        <v>130</v>
      </c>
    </row>
    <row r="71" spans="1:9" x14ac:dyDescent="0.35">
      <c r="A71" s="6" t="s">
        <v>1682</v>
      </c>
      <c r="B71" s="1" t="s">
        <v>2413</v>
      </c>
      <c r="C71" s="1" t="s">
        <v>1543</v>
      </c>
      <c r="D71" s="1" t="s">
        <v>2329</v>
      </c>
      <c r="E71" s="1" t="s">
        <v>1683</v>
      </c>
      <c r="F71" s="1">
        <v>218.22</v>
      </c>
      <c r="G71" s="10">
        <f>ROUND(IF(ISBLANK(Product_Data_1[[#This Row],[Cost]]),AVERAGE(Product_Data_1[Cost]),Product_Data_1[[#This Row],[Cost]]),0)</f>
        <v>218</v>
      </c>
      <c r="H71" s="1">
        <v>224</v>
      </c>
      <c r="I71" s="1">
        <f>ROUND(IF(ISBLANK(Product_Data_1[[#This Row],[Stock]]),AVERAGE(Product_Data_1[Stock]),Product_Data_1[[#This Row],[Stock]]),0)</f>
        <v>224</v>
      </c>
    </row>
    <row r="72" spans="1:9" x14ac:dyDescent="0.35">
      <c r="A72" s="6" t="s">
        <v>1684</v>
      </c>
      <c r="B72" s="1" t="s">
        <v>2414</v>
      </c>
      <c r="C72" s="1" t="s">
        <v>1540</v>
      </c>
      <c r="D72" s="1" t="s">
        <v>2358</v>
      </c>
      <c r="E72" s="1" t="s">
        <v>1685</v>
      </c>
      <c r="F72" s="1">
        <v>138.05000000000001</v>
      </c>
      <c r="G72" s="10">
        <f>ROUND(IF(ISBLANK(Product_Data_1[[#This Row],[Cost]]),AVERAGE(Product_Data_1[Cost]),Product_Data_1[[#This Row],[Cost]]),0)</f>
        <v>138</v>
      </c>
      <c r="H72" s="1">
        <v>89</v>
      </c>
      <c r="I72" s="1">
        <f>ROUND(IF(ISBLANK(Product_Data_1[[#This Row],[Stock]]),AVERAGE(Product_Data_1[Stock]),Product_Data_1[[#This Row],[Stock]]),0)</f>
        <v>89</v>
      </c>
    </row>
    <row r="73" spans="1:9" x14ac:dyDescent="0.35">
      <c r="A73" s="6" t="s">
        <v>1686</v>
      </c>
      <c r="B73" s="1" t="s">
        <v>2415</v>
      </c>
      <c r="C73" s="1" t="s">
        <v>1554</v>
      </c>
      <c r="D73" s="1" t="s">
        <v>2344</v>
      </c>
      <c r="E73" s="1" t="s">
        <v>1687</v>
      </c>
      <c r="F73" s="1">
        <v>214.32</v>
      </c>
      <c r="G73" s="10">
        <f>ROUND(IF(ISBLANK(Product_Data_1[[#This Row],[Cost]]),AVERAGE(Product_Data_1[Cost]),Product_Data_1[[#This Row],[Cost]]),0)</f>
        <v>214</v>
      </c>
      <c r="H73" s="1">
        <v>383</v>
      </c>
      <c r="I73" s="1">
        <f>ROUND(IF(ISBLANK(Product_Data_1[[#This Row],[Stock]]),AVERAGE(Product_Data_1[Stock]),Product_Data_1[[#This Row],[Stock]]),0)</f>
        <v>383</v>
      </c>
    </row>
    <row r="74" spans="1:9" x14ac:dyDescent="0.35">
      <c r="A74" s="6" t="s">
        <v>1688</v>
      </c>
      <c r="B74" s="1" t="s">
        <v>2416</v>
      </c>
      <c r="C74" s="1" t="s">
        <v>1562</v>
      </c>
      <c r="D74" s="1" t="s">
        <v>2339</v>
      </c>
      <c r="E74" s="1" t="s">
        <v>1689</v>
      </c>
      <c r="F74" s="1">
        <v>477.61</v>
      </c>
      <c r="G74" s="10">
        <f>ROUND(IF(ISBLANK(Product_Data_1[[#This Row],[Cost]]),AVERAGE(Product_Data_1[Cost]),Product_Data_1[[#This Row],[Cost]]),0)</f>
        <v>478</v>
      </c>
      <c r="H74" s="1">
        <v>300</v>
      </c>
      <c r="I74" s="1">
        <f>ROUND(IF(ISBLANK(Product_Data_1[[#This Row],[Stock]]),AVERAGE(Product_Data_1[Stock]),Product_Data_1[[#This Row],[Stock]]),0)</f>
        <v>300</v>
      </c>
    </row>
    <row r="75" spans="1:9" x14ac:dyDescent="0.35">
      <c r="A75" s="6" t="s">
        <v>1690</v>
      </c>
      <c r="B75" s="1" t="s">
        <v>2417</v>
      </c>
      <c r="C75" s="1" t="s">
        <v>1562</v>
      </c>
      <c r="D75" s="1" t="s">
        <v>2370</v>
      </c>
      <c r="E75" s="1" t="s">
        <v>1691</v>
      </c>
      <c r="F75" s="1">
        <v>107.06</v>
      </c>
      <c r="G75" s="10">
        <f>ROUND(IF(ISBLANK(Product_Data_1[[#This Row],[Cost]]),AVERAGE(Product_Data_1[Cost]),Product_Data_1[[#This Row],[Cost]]),0)</f>
        <v>107</v>
      </c>
      <c r="H75" s="1">
        <v>359</v>
      </c>
      <c r="I75" s="1">
        <f>ROUND(IF(ISBLANK(Product_Data_1[[#This Row],[Stock]]),AVERAGE(Product_Data_1[Stock]),Product_Data_1[[#This Row],[Stock]]),0)</f>
        <v>359</v>
      </c>
    </row>
    <row r="76" spans="1:9" x14ac:dyDescent="0.35">
      <c r="A76" s="6" t="s">
        <v>1692</v>
      </c>
      <c r="B76" s="1" t="s">
        <v>2418</v>
      </c>
      <c r="C76" s="1" t="s">
        <v>1559</v>
      </c>
      <c r="D76" s="1" t="s">
        <v>2337</v>
      </c>
      <c r="E76" s="1" t="s">
        <v>1693</v>
      </c>
      <c r="F76" s="1">
        <v>403.71</v>
      </c>
      <c r="G76" s="10">
        <f>ROUND(IF(ISBLANK(Product_Data_1[[#This Row],[Cost]]),AVERAGE(Product_Data_1[Cost]),Product_Data_1[[#This Row],[Cost]]),0)</f>
        <v>404</v>
      </c>
      <c r="H76" s="1">
        <v>159</v>
      </c>
      <c r="I76" s="1">
        <f>ROUND(IF(ISBLANK(Product_Data_1[[#This Row],[Stock]]),AVERAGE(Product_Data_1[Stock]),Product_Data_1[[#This Row],[Stock]]),0)</f>
        <v>159</v>
      </c>
    </row>
    <row r="77" spans="1:9" x14ac:dyDescent="0.35">
      <c r="A77" s="6" t="s">
        <v>1694</v>
      </c>
      <c r="B77" s="1" t="s">
        <v>2419</v>
      </c>
      <c r="C77" s="1" t="s">
        <v>1543</v>
      </c>
      <c r="D77" s="1" t="s">
        <v>2377</v>
      </c>
      <c r="E77" s="1" t="s">
        <v>1695</v>
      </c>
      <c r="F77" s="1">
        <v>158.13999999999999</v>
      </c>
      <c r="G77" s="10">
        <f>ROUND(IF(ISBLANK(Product_Data_1[[#This Row],[Cost]]),AVERAGE(Product_Data_1[Cost]),Product_Data_1[[#This Row],[Cost]]),0)</f>
        <v>158</v>
      </c>
      <c r="H77" s="1">
        <v>82</v>
      </c>
      <c r="I77" s="1">
        <f>ROUND(IF(ISBLANK(Product_Data_1[[#This Row],[Stock]]),AVERAGE(Product_Data_1[Stock]),Product_Data_1[[#This Row],[Stock]]),0)</f>
        <v>82</v>
      </c>
    </row>
    <row r="78" spans="1:9" x14ac:dyDescent="0.35">
      <c r="A78" s="6" t="s">
        <v>1696</v>
      </c>
      <c r="B78" s="1" t="s">
        <v>2420</v>
      </c>
      <c r="C78" s="1" t="s">
        <v>1559</v>
      </c>
      <c r="D78" s="1" t="s">
        <v>2322</v>
      </c>
      <c r="E78" s="1" t="s">
        <v>1697</v>
      </c>
      <c r="F78" s="1">
        <v>392.89</v>
      </c>
      <c r="G78" s="10">
        <f>ROUND(IF(ISBLANK(Product_Data_1[[#This Row],[Cost]]),AVERAGE(Product_Data_1[Cost]),Product_Data_1[[#This Row],[Cost]]),0)</f>
        <v>393</v>
      </c>
      <c r="H78" s="1">
        <v>320</v>
      </c>
      <c r="I78" s="1">
        <f>ROUND(IF(ISBLANK(Product_Data_1[[#This Row],[Stock]]),AVERAGE(Product_Data_1[Stock]),Product_Data_1[[#This Row],[Stock]]),0)</f>
        <v>320</v>
      </c>
    </row>
    <row r="79" spans="1:9" x14ac:dyDescent="0.35">
      <c r="A79" s="6" t="s">
        <v>1698</v>
      </c>
      <c r="B79" s="1" t="s">
        <v>2421</v>
      </c>
      <c r="C79" s="1" t="s">
        <v>1559</v>
      </c>
      <c r="D79" s="1" t="s">
        <v>2349</v>
      </c>
      <c r="E79" s="1" t="s">
        <v>1699</v>
      </c>
      <c r="F79" s="1">
        <v>480.9</v>
      </c>
      <c r="G79" s="10">
        <f>ROUND(IF(ISBLANK(Product_Data_1[[#This Row],[Cost]]),AVERAGE(Product_Data_1[Cost]),Product_Data_1[[#This Row],[Cost]]),0)</f>
        <v>481</v>
      </c>
      <c r="H79" s="1">
        <v>104</v>
      </c>
      <c r="I79" s="1">
        <f>ROUND(IF(ISBLANK(Product_Data_1[[#This Row],[Stock]]),AVERAGE(Product_Data_1[Stock]),Product_Data_1[[#This Row],[Stock]]),0)</f>
        <v>104</v>
      </c>
    </row>
    <row r="80" spans="1:9" x14ac:dyDescent="0.35">
      <c r="A80" s="6" t="s">
        <v>1700</v>
      </c>
      <c r="B80" s="1" t="s">
        <v>2422</v>
      </c>
      <c r="C80" s="1" t="s">
        <v>1540</v>
      </c>
      <c r="D80" s="1" t="s">
        <v>2347</v>
      </c>
      <c r="E80" s="1" t="s">
        <v>1701</v>
      </c>
      <c r="F80" s="1">
        <v>325.26</v>
      </c>
      <c r="G80" s="10">
        <f>ROUND(IF(ISBLANK(Product_Data_1[[#This Row],[Cost]]),AVERAGE(Product_Data_1[Cost]),Product_Data_1[[#This Row],[Cost]]),0)</f>
        <v>325</v>
      </c>
      <c r="H80" s="1">
        <v>400</v>
      </c>
      <c r="I80" s="1">
        <f>ROUND(IF(ISBLANK(Product_Data_1[[#This Row],[Stock]]),AVERAGE(Product_Data_1[Stock]),Product_Data_1[[#This Row],[Stock]]),0)</f>
        <v>400</v>
      </c>
    </row>
    <row r="81" spans="1:9" x14ac:dyDescent="0.35">
      <c r="A81" s="6" t="s">
        <v>1702</v>
      </c>
      <c r="B81" s="1" t="s">
        <v>2423</v>
      </c>
      <c r="C81" s="1" t="s">
        <v>1540</v>
      </c>
      <c r="D81" s="1" t="s">
        <v>2335</v>
      </c>
      <c r="E81" s="1" t="s">
        <v>1703</v>
      </c>
      <c r="F81" s="1">
        <v>228.53</v>
      </c>
      <c r="G81" s="10">
        <f>ROUND(IF(ISBLANK(Product_Data_1[[#This Row],[Cost]]),AVERAGE(Product_Data_1[Cost]),Product_Data_1[[#This Row],[Cost]]),0)</f>
        <v>229</v>
      </c>
      <c r="H81" s="1">
        <v>469</v>
      </c>
      <c r="I81" s="1">
        <f>ROUND(IF(ISBLANK(Product_Data_1[[#This Row],[Stock]]),AVERAGE(Product_Data_1[Stock]),Product_Data_1[[#This Row],[Stock]]),0)</f>
        <v>469</v>
      </c>
    </row>
    <row r="82" spans="1:9" x14ac:dyDescent="0.35">
      <c r="A82" s="6" t="s">
        <v>1704</v>
      </c>
      <c r="B82" s="1" t="s">
        <v>2424</v>
      </c>
      <c r="C82" s="1" t="s">
        <v>1540</v>
      </c>
      <c r="D82" s="1" t="s">
        <v>2341</v>
      </c>
      <c r="E82" s="1" t="s">
        <v>1705</v>
      </c>
      <c r="F82" s="1">
        <v>143.43</v>
      </c>
      <c r="G82" s="10">
        <f>ROUND(IF(ISBLANK(Product_Data_1[[#This Row],[Cost]]),AVERAGE(Product_Data_1[Cost]),Product_Data_1[[#This Row],[Cost]]),0)</f>
        <v>143</v>
      </c>
      <c r="H82" s="1">
        <v>58</v>
      </c>
      <c r="I82" s="1">
        <f>ROUND(IF(ISBLANK(Product_Data_1[[#This Row],[Stock]]),AVERAGE(Product_Data_1[Stock]),Product_Data_1[[#This Row],[Stock]]),0)</f>
        <v>58</v>
      </c>
    </row>
    <row r="83" spans="1:9" x14ac:dyDescent="0.35">
      <c r="A83" s="6" t="s">
        <v>1706</v>
      </c>
      <c r="B83" s="1" t="s">
        <v>2425</v>
      </c>
      <c r="C83" s="1" t="s">
        <v>1562</v>
      </c>
      <c r="D83" s="1" t="s">
        <v>2355</v>
      </c>
      <c r="E83" s="1" t="s">
        <v>1707</v>
      </c>
      <c r="F83" s="1">
        <v>285.54000000000002</v>
      </c>
      <c r="G83" s="10">
        <f>ROUND(IF(ISBLANK(Product_Data_1[[#This Row],[Cost]]),AVERAGE(Product_Data_1[Cost]),Product_Data_1[[#This Row],[Cost]]),0)</f>
        <v>286</v>
      </c>
      <c r="H83" s="1">
        <v>358</v>
      </c>
      <c r="I83" s="1">
        <f>ROUND(IF(ISBLANK(Product_Data_1[[#This Row],[Stock]]),AVERAGE(Product_Data_1[Stock]),Product_Data_1[[#This Row],[Stock]]),0)</f>
        <v>358</v>
      </c>
    </row>
    <row r="84" spans="1:9" x14ac:dyDescent="0.35">
      <c r="A84" s="6" t="s">
        <v>1708</v>
      </c>
      <c r="B84" s="1" t="s">
        <v>2426</v>
      </c>
      <c r="C84" s="1" t="s">
        <v>1562</v>
      </c>
      <c r="D84" s="1" t="s">
        <v>2339</v>
      </c>
      <c r="E84" s="1" t="s">
        <v>1709</v>
      </c>
      <c r="F84" s="1">
        <v>152.91999999999999</v>
      </c>
      <c r="G84" s="10">
        <f>ROUND(IF(ISBLANK(Product_Data_1[[#This Row],[Cost]]),AVERAGE(Product_Data_1[Cost]),Product_Data_1[[#This Row],[Cost]]),0)</f>
        <v>153</v>
      </c>
      <c r="H84" s="1">
        <v>281</v>
      </c>
      <c r="I84" s="1">
        <f>ROUND(IF(ISBLANK(Product_Data_1[[#This Row],[Stock]]),AVERAGE(Product_Data_1[Stock]),Product_Data_1[[#This Row],[Stock]]),0)</f>
        <v>281</v>
      </c>
    </row>
    <row r="85" spans="1:9" x14ac:dyDescent="0.35">
      <c r="A85" s="6" t="s">
        <v>1710</v>
      </c>
      <c r="B85" s="1" t="s">
        <v>2427</v>
      </c>
      <c r="C85" s="1" t="s">
        <v>1554</v>
      </c>
      <c r="D85" s="1" t="s">
        <v>2333</v>
      </c>
      <c r="E85" s="1" t="s">
        <v>1711</v>
      </c>
      <c r="F85" s="1"/>
      <c r="G85" s="10">
        <f>ROUND(IF(ISBLANK(Product_Data_1[[#This Row],[Cost]]),AVERAGE(Product_Data_1[Cost]),Product_Data_1[[#This Row],[Cost]]),0)</f>
        <v>254</v>
      </c>
      <c r="H85" s="1">
        <v>159</v>
      </c>
      <c r="I85" s="1">
        <f>ROUND(IF(ISBLANK(Product_Data_1[[#This Row],[Stock]]),AVERAGE(Product_Data_1[Stock]),Product_Data_1[[#This Row],[Stock]]),0)</f>
        <v>159</v>
      </c>
    </row>
    <row r="86" spans="1:9" x14ac:dyDescent="0.35">
      <c r="A86" s="6" t="s">
        <v>1712</v>
      </c>
      <c r="B86" s="1" t="s">
        <v>2428</v>
      </c>
      <c r="C86" s="1" t="s">
        <v>1540</v>
      </c>
      <c r="D86" s="1" t="s">
        <v>2412</v>
      </c>
      <c r="E86" s="1" t="s">
        <v>1713</v>
      </c>
      <c r="F86" s="1">
        <v>388.46</v>
      </c>
      <c r="G86" s="10">
        <f>ROUND(IF(ISBLANK(Product_Data_1[[#This Row],[Cost]]),AVERAGE(Product_Data_1[Cost]),Product_Data_1[[#This Row],[Cost]]),0)</f>
        <v>388</v>
      </c>
      <c r="H86" s="1">
        <v>208</v>
      </c>
      <c r="I86" s="1">
        <f>ROUND(IF(ISBLANK(Product_Data_1[[#This Row],[Stock]]),AVERAGE(Product_Data_1[Stock]),Product_Data_1[[#This Row],[Stock]]),0)</f>
        <v>208</v>
      </c>
    </row>
    <row r="87" spans="1:9" x14ac:dyDescent="0.35">
      <c r="A87" s="6" t="s">
        <v>1714</v>
      </c>
      <c r="B87" s="1" t="s">
        <v>2429</v>
      </c>
      <c r="C87" s="1" t="s">
        <v>1543</v>
      </c>
      <c r="D87" s="1" t="s">
        <v>2331</v>
      </c>
      <c r="E87" s="1" t="s">
        <v>1715</v>
      </c>
      <c r="F87" s="1">
        <v>119.57</v>
      </c>
      <c r="G87" s="10">
        <f>ROUND(IF(ISBLANK(Product_Data_1[[#This Row],[Cost]]),AVERAGE(Product_Data_1[Cost]),Product_Data_1[[#This Row],[Cost]]),0)</f>
        <v>120</v>
      </c>
      <c r="H87" s="1">
        <v>210</v>
      </c>
      <c r="I87" s="1">
        <f>ROUND(IF(ISBLANK(Product_Data_1[[#This Row],[Stock]]),AVERAGE(Product_Data_1[Stock]),Product_Data_1[[#This Row],[Stock]]),0)</f>
        <v>210</v>
      </c>
    </row>
    <row r="88" spans="1:9" x14ac:dyDescent="0.35">
      <c r="A88" s="6" t="s">
        <v>1716</v>
      </c>
      <c r="B88" s="1" t="s">
        <v>2430</v>
      </c>
      <c r="C88" s="1" t="s">
        <v>1540</v>
      </c>
      <c r="D88" s="1" t="s">
        <v>2341</v>
      </c>
      <c r="E88" s="1" t="s">
        <v>1717</v>
      </c>
      <c r="F88" s="1">
        <v>176.07</v>
      </c>
      <c r="G88" s="10">
        <f>ROUND(IF(ISBLANK(Product_Data_1[[#This Row],[Cost]]),AVERAGE(Product_Data_1[Cost]),Product_Data_1[[#This Row],[Cost]]),0)</f>
        <v>176</v>
      </c>
      <c r="H88" s="1">
        <v>82</v>
      </c>
      <c r="I88" s="1">
        <f>ROUND(IF(ISBLANK(Product_Data_1[[#This Row],[Stock]]),AVERAGE(Product_Data_1[Stock]),Product_Data_1[[#This Row],[Stock]]),0)</f>
        <v>82</v>
      </c>
    </row>
    <row r="89" spans="1:9" x14ac:dyDescent="0.35">
      <c r="A89" s="6" t="s">
        <v>1718</v>
      </c>
      <c r="B89" s="1" t="s">
        <v>2431</v>
      </c>
      <c r="C89" s="1" t="s">
        <v>1540</v>
      </c>
      <c r="D89" s="1" t="s">
        <v>2335</v>
      </c>
      <c r="E89" s="1" t="s">
        <v>1719</v>
      </c>
      <c r="F89" s="1">
        <v>371.38</v>
      </c>
      <c r="G89" s="10">
        <f>ROUND(IF(ISBLANK(Product_Data_1[[#This Row],[Cost]]),AVERAGE(Product_Data_1[Cost]),Product_Data_1[[#This Row],[Cost]]),0)</f>
        <v>371</v>
      </c>
      <c r="H89" s="1">
        <v>220</v>
      </c>
      <c r="I89" s="1">
        <f>ROUND(IF(ISBLANK(Product_Data_1[[#This Row],[Stock]]),AVERAGE(Product_Data_1[Stock]),Product_Data_1[[#This Row],[Stock]]),0)</f>
        <v>220</v>
      </c>
    </row>
    <row r="90" spans="1:9" x14ac:dyDescent="0.35">
      <c r="A90" s="6" t="s">
        <v>1720</v>
      </c>
      <c r="B90" s="1" t="s">
        <v>2432</v>
      </c>
      <c r="C90" s="1" t="s">
        <v>1562</v>
      </c>
      <c r="D90" s="1" t="s">
        <v>2331</v>
      </c>
      <c r="E90" s="1" t="s">
        <v>1721</v>
      </c>
      <c r="F90" s="1">
        <v>131.24</v>
      </c>
      <c r="G90" s="10">
        <f>ROUND(IF(ISBLANK(Product_Data_1[[#This Row],[Cost]]),AVERAGE(Product_Data_1[Cost]),Product_Data_1[[#This Row],[Cost]]),0)</f>
        <v>131</v>
      </c>
      <c r="H90" s="1">
        <v>232</v>
      </c>
      <c r="I90" s="1">
        <f>ROUND(IF(ISBLANK(Product_Data_1[[#This Row],[Stock]]),AVERAGE(Product_Data_1[Stock]),Product_Data_1[[#This Row],[Stock]]),0)</f>
        <v>232</v>
      </c>
    </row>
    <row r="91" spans="1:9" x14ac:dyDescent="0.35">
      <c r="A91" s="6" t="s">
        <v>1722</v>
      </c>
      <c r="B91" s="1" t="s">
        <v>2433</v>
      </c>
      <c r="C91" s="1" t="s">
        <v>1554</v>
      </c>
      <c r="D91" s="1" t="s">
        <v>2389</v>
      </c>
      <c r="E91" s="1" t="s">
        <v>1723</v>
      </c>
      <c r="F91" s="1">
        <v>183.04</v>
      </c>
      <c r="G91" s="10">
        <f>ROUND(IF(ISBLANK(Product_Data_1[[#This Row],[Cost]]),AVERAGE(Product_Data_1[Cost]),Product_Data_1[[#This Row],[Cost]]),0)</f>
        <v>183</v>
      </c>
      <c r="H91" s="1">
        <v>457</v>
      </c>
      <c r="I91" s="1">
        <f>ROUND(IF(ISBLANK(Product_Data_1[[#This Row],[Stock]]),AVERAGE(Product_Data_1[Stock]),Product_Data_1[[#This Row],[Stock]]),0)</f>
        <v>457</v>
      </c>
    </row>
    <row r="92" spans="1:9" x14ac:dyDescent="0.35">
      <c r="A92" s="6" t="s">
        <v>1724</v>
      </c>
      <c r="B92" s="1" t="s">
        <v>2434</v>
      </c>
      <c r="C92" s="1" t="s">
        <v>1559</v>
      </c>
      <c r="D92" s="1" t="s">
        <v>2331</v>
      </c>
      <c r="E92" s="1" t="s">
        <v>1725</v>
      </c>
      <c r="F92" s="1">
        <v>340.14</v>
      </c>
      <c r="G92" s="10">
        <f>ROUND(IF(ISBLANK(Product_Data_1[[#This Row],[Cost]]),AVERAGE(Product_Data_1[Cost]),Product_Data_1[[#This Row],[Cost]]),0)</f>
        <v>340</v>
      </c>
      <c r="H92" s="1">
        <v>361</v>
      </c>
      <c r="I92" s="1">
        <f>ROUND(IF(ISBLANK(Product_Data_1[[#This Row],[Stock]]),AVERAGE(Product_Data_1[Stock]),Product_Data_1[[#This Row],[Stock]]),0)</f>
        <v>361</v>
      </c>
    </row>
    <row r="93" spans="1:9" x14ac:dyDescent="0.35">
      <c r="A93" s="6" t="s">
        <v>1726</v>
      </c>
      <c r="B93" s="1" t="s">
        <v>2435</v>
      </c>
      <c r="C93" s="1" t="s">
        <v>1543</v>
      </c>
      <c r="D93" s="1" t="s">
        <v>2377</v>
      </c>
      <c r="E93" s="1" t="s">
        <v>1727</v>
      </c>
      <c r="F93" s="1">
        <v>438.25</v>
      </c>
      <c r="G93" s="10">
        <f>ROUND(IF(ISBLANK(Product_Data_1[[#This Row],[Cost]]),AVERAGE(Product_Data_1[Cost]),Product_Data_1[[#This Row],[Cost]]),0)</f>
        <v>438</v>
      </c>
      <c r="H93" s="1">
        <v>496</v>
      </c>
      <c r="I93" s="1">
        <f>ROUND(IF(ISBLANK(Product_Data_1[[#This Row],[Stock]]),AVERAGE(Product_Data_1[Stock]),Product_Data_1[[#This Row],[Stock]]),0)</f>
        <v>496</v>
      </c>
    </row>
    <row r="94" spans="1:9" x14ac:dyDescent="0.35">
      <c r="A94" s="6" t="s">
        <v>1728</v>
      </c>
      <c r="B94" s="1" t="s">
        <v>2436</v>
      </c>
      <c r="C94" s="1" t="s">
        <v>1540</v>
      </c>
      <c r="D94" s="1" t="s">
        <v>2349</v>
      </c>
      <c r="E94" s="1" t="s">
        <v>1729</v>
      </c>
      <c r="F94" s="1">
        <v>447.43</v>
      </c>
      <c r="G94" s="10">
        <f>ROUND(IF(ISBLANK(Product_Data_1[[#This Row],[Cost]]),AVERAGE(Product_Data_1[Cost]),Product_Data_1[[#This Row],[Cost]]),0)</f>
        <v>447</v>
      </c>
      <c r="H94" s="1">
        <v>191</v>
      </c>
      <c r="I94" s="1">
        <f>ROUND(IF(ISBLANK(Product_Data_1[[#This Row],[Stock]]),AVERAGE(Product_Data_1[Stock]),Product_Data_1[[#This Row],[Stock]]),0)</f>
        <v>191</v>
      </c>
    </row>
    <row r="95" spans="1:9" x14ac:dyDescent="0.35">
      <c r="A95" s="6" t="s">
        <v>1730</v>
      </c>
      <c r="B95" s="1" t="s">
        <v>2437</v>
      </c>
      <c r="C95" s="1" t="s">
        <v>1559</v>
      </c>
      <c r="D95" s="1" t="s">
        <v>2322</v>
      </c>
      <c r="E95" s="1" t="s">
        <v>1731</v>
      </c>
      <c r="F95" s="1">
        <v>377.52</v>
      </c>
      <c r="G95" s="10">
        <f>ROUND(IF(ISBLANK(Product_Data_1[[#This Row],[Cost]]),AVERAGE(Product_Data_1[Cost]),Product_Data_1[[#This Row],[Cost]]),0)</f>
        <v>378</v>
      </c>
      <c r="H95" s="1">
        <v>485</v>
      </c>
      <c r="I95" s="1">
        <f>ROUND(IF(ISBLANK(Product_Data_1[[#This Row],[Stock]]),AVERAGE(Product_Data_1[Stock]),Product_Data_1[[#This Row],[Stock]]),0)</f>
        <v>485</v>
      </c>
    </row>
    <row r="96" spans="1:9" x14ac:dyDescent="0.35">
      <c r="A96" s="6" t="s">
        <v>1732</v>
      </c>
      <c r="B96" s="1" t="s">
        <v>2438</v>
      </c>
      <c r="C96" s="1" t="s">
        <v>1554</v>
      </c>
      <c r="D96" s="1" t="s">
        <v>2333</v>
      </c>
      <c r="E96" s="1" t="s">
        <v>1733</v>
      </c>
      <c r="F96" s="1">
        <v>358.47</v>
      </c>
      <c r="G96" s="10">
        <f>ROUND(IF(ISBLANK(Product_Data_1[[#This Row],[Cost]]),AVERAGE(Product_Data_1[Cost]),Product_Data_1[[#This Row],[Cost]]),0)</f>
        <v>358</v>
      </c>
      <c r="H96" s="1">
        <v>213</v>
      </c>
      <c r="I96" s="1">
        <f>ROUND(IF(ISBLANK(Product_Data_1[[#This Row],[Stock]]),AVERAGE(Product_Data_1[Stock]),Product_Data_1[[#This Row],[Stock]]),0)</f>
        <v>213</v>
      </c>
    </row>
    <row r="97" spans="1:9" x14ac:dyDescent="0.35">
      <c r="A97" s="6" t="s">
        <v>1734</v>
      </c>
      <c r="B97" s="1" t="s">
        <v>2439</v>
      </c>
      <c r="C97" s="1" t="s">
        <v>1562</v>
      </c>
      <c r="D97" s="1" t="s">
        <v>2331</v>
      </c>
      <c r="E97" s="1" t="s">
        <v>1735</v>
      </c>
      <c r="F97" s="1">
        <v>60.65</v>
      </c>
      <c r="G97" s="10">
        <f>ROUND(IF(ISBLANK(Product_Data_1[[#This Row],[Cost]]),AVERAGE(Product_Data_1[Cost]),Product_Data_1[[#This Row],[Cost]]),0)</f>
        <v>61</v>
      </c>
      <c r="H97" s="1">
        <v>75</v>
      </c>
      <c r="I97" s="1">
        <f>ROUND(IF(ISBLANK(Product_Data_1[[#This Row],[Stock]]),AVERAGE(Product_Data_1[Stock]),Product_Data_1[[#This Row],[Stock]]),0)</f>
        <v>75</v>
      </c>
    </row>
    <row r="98" spans="1:9" x14ac:dyDescent="0.35">
      <c r="A98" s="6" t="s">
        <v>1736</v>
      </c>
      <c r="B98" s="1" t="s">
        <v>2440</v>
      </c>
      <c r="C98" s="1" t="s">
        <v>1543</v>
      </c>
      <c r="D98" s="1" t="s">
        <v>2326</v>
      </c>
      <c r="E98" s="1" t="s">
        <v>1737</v>
      </c>
      <c r="F98" s="1">
        <v>358.47</v>
      </c>
      <c r="G98" s="10">
        <f>ROUND(IF(ISBLANK(Product_Data_1[[#This Row],[Cost]]),AVERAGE(Product_Data_1[Cost]),Product_Data_1[[#This Row],[Cost]]),0)</f>
        <v>358</v>
      </c>
      <c r="H98" s="1">
        <v>143</v>
      </c>
      <c r="I98" s="1">
        <f>ROUND(IF(ISBLANK(Product_Data_1[[#This Row],[Stock]]),AVERAGE(Product_Data_1[Stock]),Product_Data_1[[#This Row],[Stock]]),0)</f>
        <v>143</v>
      </c>
    </row>
    <row r="99" spans="1:9" x14ac:dyDescent="0.35">
      <c r="A99" s="6" t="s">
        <v>1738</v>
      </c>
      <c r="B99" s="1" t="s">
        <v>2441</v>
      </c>
      <c r="C99" s="1" t="s">
        <v>1562</v>
      </c>
      <c r="D99" s="1" t="s">
        <v>2370</v>
      </c>
      <c r="E99" s="1" t="s">
        <v>1739</v>
      </c>
      <c r="F99" s="1">
        <v>245.98</v>
      </c>
      <c r="G99" s="10">
        <f>ROUND(IF(ISBLANK(Product_Data_1[[#This Row],[Cost]]),AVERAGE(Product_Data_1[Cost]),Product_Data_1[[#This Row],[Cost]]),0)</f>
        <v>246</v>
      </c>
      <c r="H99" s="1">
        <v>471</v>
      </c>
      <c r="I99" s="1">
        <f>ROUND(IF(ISBLANK(Product_Data_1[[#This Row],[Stock]]),AVERAGE(Product_Data_1[Stock]),Product_Data_1[[#This Row],[Stock]]),0)</f>
        <v>471</v>
      </c>
    </row>
    <row r="100" spans="1:9" x14ac:dyDescent="0.35">
      <c r="A100" s="6" t="s">
        <v>1740</v>
      </c>
      <c r="B100" s="1" t="s">
        <v>2442</v>
      </c>
      <c r="C100" s="1" t="s">
        <v>1559</v>
      </c>
      <c r="D100" s="1" t="s">
        <v>2337</v>
      </c>
      <c r="E100" s="1" t="s">
        <v>1741</v>
      </c>
      <c r="F100" s="1">
        <v>431.67</v>
      </c>
      <c r="G100" s="10">
        <f>ROUND(IF(ISBLANK(Product_Data_1[[#This Row],[Cost]]),AVERAGE(Product_Data_1[Cost]),Product_Data_1[[#This Row],[Cost]]),0)</f>
        <v>432</v>
      </c>
      <c r="H100" s="1">
        <v>73</v>
      </c>
      <c r="I100" s="1">
        <f>ROUND(IF(ISBLANK(Product_Data_1[[#This Row],[Stock]]),AVERAGE(Product_Data_1[Stock]),Product_Data_1[[#This Row],[Stock]]),0)</f>
        <v>73</v>
      </c>
    </row>
    <row r="101" spans="1:9" x14ac:dyDescent="0.35">
      <c r="A101" s="8" t="s">
        <v>1742</v>
      </c>
      <c r="B101" s="2" t="s">
        <v>2443</v>
      </c>
      <c r="C101" s="2" t="s">
        <v>1540</v>
      </c>
      <c r="D101" s="2" t="s">
        <v>2341</v>
      </c>
      <c r="E101" s="2" t="s">
        <v>1743</v>
      </c>
      <c r="F101" s="2">
        <v>201.41</v>
      </c>
      <c r="G101" s="11">
        <f>ROUND(IF(ISBLANK(Product_Data_1[[#This Row],[Cost]]),AVERAGE(Product_Data_1[Cost]),Product_Data_1[[#This Row],[Cost]]),0)</f>
        <v>201</v>
      </c>
      <c r="H101" s="2">
        <v>146</v>
      </c>
      <c r="I101" s="2">
        <f>ROUND(IF(ISBLANK(Product_Data_1[[#This Row],[Stock]]),AVERAGE(Product_Data_1[Stock]),Product_Data_1[[#This Row],[Stock]]),0)</f>
        <v>146</v>
      </c>
    </row>
    <row r="102" spans="1:9" x14ac:dyDescent="0.35">
      <c r="G102">
        <f>SUM(Product_Data_1[Final Cost])</f>
        <v>25400</v>
      </c>
      <c r="I102">
        <f>SUM(Product_Data_1[Final Stock])</f>
        <v>27348</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E79C5B-9389-4A4F-B385-130379DC61EA}">
  <dimension ref="A1:E21"/>
  <sheetViews>
    <sheetView workbookViewId="0">
      <selection activeCell="G8" sqref="G8"/>
    </sheetView>
  </sheetViews>
  <sheetFormatPr defaultRowHeight="14.5" x14ac:dyDescent="0.35"/>
  <cols>
    <col min="1" max="1" width="10.36328125" bestFit="1" customWidth="1"/>
    <col min="2" max="2" width="30.1796875" bestFit="1" customWidth="1"/>
    <col min="4" max="4" width="17.81640625" bestFit="1" customWidth="1"/>
    <col min="5" max="5" width="12.54296875" bestFit="1" customWidth="1"/>
  </cols>
  <sheetData>
    <row r="1" spans="1:5" x14ac:dyDescent="0.35">
      <c r="A1" s="4" t="s">
        <v>1744</v>
      </c>
      <c r="B1" s="5" t="s">
        <v>1745</v>
      </c>
      <c r="C1" s="5" t="s">
        <v>1746</v>
      </c>
      <c r="D1" s="5" t="s">
        <v>4</v>
      </c>
      <c r="E1" s="3" t="s">
        <v>1747</v>
      </c>
    </row>
    <row r="2" spans="1:5" x14ac:dyDescent="0.35">
      <c r="A2" s="6" t="s">
        <v>1748</v>
      </c>
      <c r="B2" s="1" t="s">
        <v>1749</v>
      </c>
      <c r="C2" s="1" t="s">
        <v>1750</v>
      </c>
      <c r="D2" s="1" t="s">
        <v>1751</v>
      </c>
      <c r="E2" s="7" t="s">
        <v>1752</v>
      </c>
    </row>
    <row r="3" spans="1:5" x14ac:dyDescent="0.35">
      <c r="A3" s="6" t="s">
        <v>1753</v>
      </c>
      <c r="B3" s="1" t="s">
        <v>1754</v>
      </c>
      <c r="C3" s="1" t="s">
        <v>1755</v>
      </c>
      <c r="D3" s="1" t="s">
        <v>1756</v>
      </c>
      <c r="E3" s="7" t="s">
        <v>1752</v>
      </c>
    </row>
    <row r="4" spans="1:5" x14ac:dyDescent="0.35">
      <c r="A4" s="6" t="s">
        <v>1757</v>
      </c>
      <c r="B4" s="1" t="s">
        <v>1758</v>
      </c>
      <c r="C4" s="1" t="s">
        <v>1759</v>
      </c>
      <c r="D4" s="1" t="s">
        <v>1760</v>
      </c>
      <c r="E4" s="7" t="s">
        <v>1761</v>
      </c>
    </row>
    <row r="5" spans="1:5" x14ac:dyDescent="0.35">
      <c r="A5" s="6" t="s">
        <v>1762</v>
      </c>
      <c r="B5" s="1" t="s">
        <v>1763</v>
      </c>
      <c r="C5" s="1" t="s">
        <v>1755</v>
      </c>
      <c r="D5" s="1" t="s">
        <v>1764</v>
      </c>
      <c r="E5" s="7" t="s">
        <v>1761</v>
      </c>
    </row>
    <row r="6" spans="1:5" x14ac:dyDescent="0.35">
      <c r="A6" s="6" t="s">
        <v>1765</v>
      </c>
      <c r="B6" s="1" t="s">
        <v>1766</v>
      </c>
      <c r="C6" s="1" t="s">
        <v>1759</v>
      </c>
      <c r="D6" s="1" t="s">
        <v>1767</v>
      </c>
      <c r="E6" s="7" t="s">
        <v>1768</v>
      </c>
    </row>
    <row r="7" spans="1:5" x14ac:dyDescent="0.35">
      <c r="A7" s="6" t="s">
        <v>1769</v>
      </c>
      <c r="B7" s="1" t="s">
        <v>1770</v>
      </c>
      <c r="C7" s="1" t="s">
        <v>1755</v>
      </c>
      <c r="D7" s="1" t="s">
        <v>1771</v>
      </c>
      <c r="E7" s="7" t="s">
        <v>1761</v>
      </c>
    </row>
    <row r="8" spans="1:5" x14ac:dyDescent="0.35">
      <c r="A8" s="6" t="s">
        <v>1772</v>
      </c>
      <c r="B8" s="1" t="s">
        <v>1773</v>
      </c>
      <c r="C8" s="1" t="s">
        <v>1750</v>
      </c>
      <c r="D8" s="1" t="s">
        <v>1774</v>
      </c>
      <c r="E8" s="7" t="s">
        <v>1768</v>
      </c>
    </row>
    <row r="9" spans="1:5" x14ac:dyDescent="0.35">
      <c r="A9" s="6" t="s">
        <v>1775</v>
      </c>
      <c r="B9" s="1" t="s">
        <v>1776</v>
      </c>
      <c r="C9" s="1" t="s">
        <v>1759</v>
      </c>
      <c r="D9" s="1" t="s">
        <v>1777</v>
      </c>
      <c r="E9" s="7" t="s">
        <v>1768</v>
      </c>
    </row>
    <row r="10" spans="1:5" x14ac:dyDescent="0.35">
      <c r="A10" s="6" t="s">
        <v>1778</v>
      </c>
      <c r="B10" s="1" t="s">
        <v>1779</v>
      </c>
      <c r="C10" s="1" t="s">
        <v>1780</v>
      </c>
      <c r="D10" s="1" t="s">
        <v>1781</v>
      </c>
      <c r="E10" s="7" t="s">
        <v>1768</v>
      </c>
    </row>
    <row r="11" spans="1:5" x14ac:dyDescent="0.35">
      <c r="A11" s="6" t="s">
        <v>1782</v>
      </c>
      <c r="B11" s="1" t="s">
        <v>1783</v>
      </c>
      <c r="C11" s="1" t="s">
        <v>1759</v>
      </c>
      <c r="D11" s="1" t="s">
        <v>1784</v>
      </c>
      <c r="E11" s="7" t="s">
        <v>1752</v>
      </c>
    </row>
    <row r="12" spans="1:5" x14ac:dyDescent="0.35">
      <c r="A12" s="6" t="s">
        <v>1785</v>
      </c>
      <c r="B12" s="1" t="s">
        <v>1786</v>
      </c>
      <c r="C12" s="1" t="s">
        <v>1750</v>
      </c>
      <c r="D12" s="1" t="s">
        <v>1787</v>
      </c>
      <c r="E12" s="7" t="s">
        <v>1768</v>
      </c>
    </row>
    <row r="13" spans="1:5" x14ac:dyDescent="0.35">
      <c r="A13" s="6" t="s">
        <v>1788</v>
      </c>
      <c r="B13" s="1" t="s">
        <v>1789</v>
      </c>
      <c r="C13" s="1" t="s">
        <v>1759</v>
      </c>
      <c r="D13" s="1" t="s">
        <v>392</v>
      </c>
      <c r="E13" s="7" t="s">
        <v>1768</v>
      </c>
    </row>
    <row r="14" spans="1:5" x14ac:dyDescent="0.35">
      <c r="A14" s="6" t="s">
        <v>1790</v>
      </c>
      <c r="B14" s="1" t="s">
        <v>1791</v>
      </c>
      <c r="C14" s="1" t="s">
        <v>1755</v>
      </c>
      <c r="D14" s="1" t="s">
        <v>1792</v>
      </c>
      <c r="E14" s="7" t="s">
        <v>1768</v>
      </c>
    </row>
    <row r="15" spans="1:5" x14ac:dyDescent="0.35">
      <c r="A15" s="6" t="s">
        <v>1793</v>
      </c>
      <c r="B15" s="1" t="s">
        <v>1794</v>
      </c>
      <c r="C15" s="1" t="s">
        <v>1750</v>
      </c>
      <c r="D15" s="1" t="s">
        <v>127</v>
      </c>
      <c r="E15" s="7" t="s">
        <v>1752</v>
      </c>
    </row>
    <row r="16" spans="1:5" x14ac:dyDescent="0.35">
      <c r="A16" s="6" t="s">
        <v>1795</v>
      </c>
      <c r="B16" s="1" t="s">
        <v>1796</v>
      </c>
      <c r="C16" s="1" t="s">
        <v>1759</v>
      </c>
      <c r="D16" s="1" t="s">
        <v>204</v>
      </c>
      <c r="E16" s="7" t="s">
        <v>1761</v>
      </c>
    </row>
    <row r="17" spans="1:5" x14ac:dyDescent="0.35">
      <c r="A17" s="6" t="s">
        <v>1797</v>
      </c>
      <c r="B17" s="1" t="s">
        <v>1798</v>
      </c>
      <c r="C17" s="1" t="s">
        <v>1755</v>
      </c>
      <c r="D17" s="1" t="s">
        <v>1799</v>
      </c>
      <c r="E17" s="7" t="s">
        <v>1752</v>
      </c>
    </row>
    <row r="18" spans="1:5" x14ac:dyDescent="0.35">
      <c r="A18" s="6" t="s">
        <v>1800</v>
      </c>
      <c r="B18" s="1" t="s">
        <v>1801</v>
      </c>
      <c r="C18" s="1" t="s">
        <v>1780</v>
      </c>
      <c r="D18" s="1" t="s">
        <v>1802</v>
      </c>
      <c r="E18" s="7" t="s">
        <v>1752</v>
      </c>
    </row>
    <row r="19" spans="1:5" x14ac:dyDescent="0.35">
      <c r="A19" s="6" t="s">
        <v>1803</v>
      </c>
      <c r="B19" s="1" t="s">
        <v>1804</v>
      </c>
      <c r="C19" s="1" t="s">
        <v>1755</v>
      </c>
      <c r="D19" s="1" t="s">
        <v>1805</v>
      </c>
      <c r="E19" s="7" t="s">
        <v>1752</v>
      </c>
    </row>
    <row r="20" spans="1:5" x14ac:dyDescent="0.35">
      <c r="A20" s="6" t="s">
        <v>1806</v>
      </c>
      <c r="B20" s="1" t="s">
        <v>1807</v>
      </c>
      <c r="C20" s="1" t="s">
        <v>1750</v>
      </c>
      <c r="D20" s="1" t="s">
        <v>1808</v>
      </c>
      <c r="E20" s="7" t="s">
        <v>1752</v>
      </c>
    </row>
    <row r="21" spans="1:5" x14ac:dyDescent="0.35">
      <c r="A21" s="8" t="s">
        <v>1809</v>
      </c>
      <c r="B21" s="2" t="s">
        <v>1810</v>
      </c>
      <c r="C21" s="2" t="s">
        <v>1750</v>
      </c>
      <c r="D21" s="2" t="s">
        <v>1811</v>
      </c>
      <c r="E21" s="9" t="s">
        <v>1768</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A7AE99-0C58-4234-A458-1705DA16C2DE}">
  <dimension ref="A1:S493"/>
  <sheetViews>
    <sheetView zoomScaleNormal="100" workbookViewId="0">
      <selection activeCell="G9" sqref="G9"/>
    </sheetView>
  </sheetViews>
  <sheetFormatPr defaultRowHeight="14.5" x14ac:dyDescent="0.35"/>
  <cols>
    <col min="1" max="1" width="8.36328125" customWidth="1"/>
    <col min="2" max="2" width="13" bestFit="1" customWidth="1"/>
    <col min="3" max="3" width="13" customWidth="1"/>
    <col min="4" max="6" width="12.54296875" customWidth="1"/>
    <col min="7" max="7" width="12.54296875" bestFit="1" customWidth="1"/>
    <col min="8" max="8" width="25.81640625" bestFit="1" customWidth="1"/>
    <col min="9" max="9" width="12.81640625" bestFit="1" customWidth="1"/>
    <col min="10" max="10" width="10.36328125" customWidth="1"/>
    <col min="11" max="11" width="10.36328125" bestFit="1" customWidth="1"/>
    <col min="12" max="12" width="10.36328125" customWidth="1"/>
    <col min="13" max="13" width="10.26953125" customWidth="1"/>
    <col min="14" max="14" width="9.54296875" customWidth="1"/>
    <col min="15" max="15" width="10.453125" bestFit="1" customWidth="1"/>
    <col min="16" max="16" width="11.1796875" customWidth="1"/>
    <col min="17" max="17" width="10.6328125" customWidth="1"/>
    <col min="19" max="19" width="11.26953125" bestFit="1" customWidth="1"/>
  </cols>
  <sheetData>
    <row r="1" spans="1:19" s="14" customFormat="1" ht="29" x14ac:dyDescent="0.35">
      <c r="A1" s="21" t="s">
        <v>1812</v>
      </c>
      <c r="B1" s="19" t="s">
        <v>1813</v>
      </c>
      <c r="C1" s="19" t="s">
        <v>2458</v>
      </c>
      <c r="D1" s="19" t="s">
        <v>0</v>
      </c>
      <c r="E1" s="19" t="s">
        <v>3</v>
      </c>
      <c r="F1" s="19" t="s">
        <v>5</v>
      </c>
      <c r="G1" s="19" t="s">
        <v>1532</v>
      </c>
      <c r="H1" s="19" t="s">
        <v>2453</v>
      </c>
      <c r="I1" s="19" t="s">
        <v>1534</v>
      </c>
      <c r="J1" s="19" t="s">
        <v>2456</v>
      </c>
      <c r="K1" s="19" t="s">
        <v>1744</v>
      </c>
      <c r="L1" s="19" t="s">
        <v>1746</v>
      </c>
      <c r="M1" s="19" t="s">
        <v>2451</v>
      </c>
      <c r="N1" s="19" t="s">
        <v>2452</v>
      </c>
      <c r="O1" s="19" t="s">
        <v>1814</v>
      </c>
      <c r="P1" s="19" t="s">
        <v>1815</v>
      </c>
      <c r="Q1" s="17" t="s">
        <v>2454</v>
      </c>
      <c r="R1" s="19" t="s">
        <v>2455</v>
      </c>
      <c r="S1" s="19" t="s">
        <v>2457</v>
      </c>
    </row>
    <row r="2" spans="1:19" x14ac:dyDescent="0.35">
      <c r="A2" s="6" t="s">
        <v>1816</v>
      </c>
      <c r="B2" s="20">
        <v>45480</v>
      </c>
      <c r="C2" t="str">
        <f>TEXT(Salesdta[[#This Row],[Order_Date]],"mmmm")</f>
        <v>July</v>
      </c>
      <c r="D2" s="1" t="s">
        <v>1268</v>
      </c>
      <c r="E2" s="1" t="str">
        <f>VLOOKUP(Salesdta[[#This Row],[Customer_ID]],Customer_Data_[],6,TRUE)</f>
        <v>Male</v>
      </c>
      <c r="F2" s="1" t="str">
        <f>VLOOKUP(Salesdta[[#This Row],[Customer_ID]],Customer_Data_[],8,TRUE)</f>
        <v>Wyoming</v>
      </c>
      <c r="G2" s="1" t="s">
        <v>1738</v>
      </c>
      <c r="H2" s="1" t="str">
        <f>VLOOKUP(Salesdta[[#This Row],[Product_ID]],Product_Data_1[],2,TRUE)</f>
        <v>Cricket Bat</v>
      </c>
      <c r="I2" s="1" t="str">
        <f>VLOOKUP(Salesdta[[#This Row],[Product_ID]],Product_Data_1[],3,TRUE)</f>
        <v>Sports</v>
      </c>
      <c r="J2" s="1">
        <f>VLOOKUP(Salesdta[[#This Row],[Product_ID]],Product_Data_1[],7,TRUE)</f>
        <v>246</v>
      </c>
      <c r="K2" s="1" t="s">
        <v>1762</v>
      </c>
      <c r="L2" s="1" t="str">
        <f>VLOOKUP(Salesdta[[#This Row],[Store_ID]],Store_Data_1[],3,TRUE)</f>
        <v>North</v>
      </c>
      <c r="M2" s="1">
        <v>1</v>
      </c>
      <c r="N2" s="1">
        <v>218</v>
      </c>
      <c r="O2" s="12">
        <v>0.09</v>
      </c>
      <c r="P2" s="1" t="s">
        <v>1817</v>
      </c>
      <c r="Q2" s="1">
        <v>198</v>
      </c>
      <c r="R2" s="5">
        <f>Salesdta[[#This Row],[Final Revenue]]-Salesdta[[#This Row],[Product cost]]</f>
        <v>-48</v>
      </c>
      <c r="S2" s="5" t="str">
        <f>IF(Salesdta[[#This Row],[Final Revenue]]&gt;1000,"Selected","Not Selected")</f>
        <v>Not Selected</v>
      </c>
    </row>
    <row r="3" spans="1:19" x14ac:dyDescent="0.35">
      <c r="A3" s="6" t="s">
        <v>1818</v>
      </c>
      <c r="B3" s="20">
        <v>45285</v>
      </c>
      <c r="C3" s="1" t="str">
        <f>TEXT(Salesdta[[#This Row],[Order_Date]],"mmmm")</f>
        <v>December</v>
      </c>
      <c r="D3" s="1" t="s">
        <v>1436</v>
      </c>
      <c r="E3" s="1" t="str">
        <f>VLOOKUP(Salesdta[[#This Row],[Customer_ID]],Customer_Data_[],6,TRUE)</f>
        <v>Female</v>
      </c>
      <c r="F3" s="1" t="str">
        <f>VLOOKUP(Salesdta[[#This Row],[Customer_ID]],Customer_Data_[],8,TRUE)</f>
        <v>Vermont</v>
      </c>
      <c r="G3" s="1" t="s">
        <v>1692</v>
      </c>
      <c r="H3" s="1" t="str">
        <f>VLOOKUP(Salesdta[[#This Row],[Product_ID]],Product_Data_1[],2,TRUE)</f>
        <v>Bluetooth Car Audio System</v>
      </c>
      <c r="I3" s="1" t="str">
        <f>VLOOKUP(Salesdta[[#This Row],[Product_ID]],Product_Data_1[],3,TRUE)</f>
        <v>Electronics</v>
      </c>
      <c r="J3" s="1">
        <f>VLOOKUP(Salesdta[[#This Row],[Product_ID]],Product_Data_1[],7,TRUE)</f>
        <v>404</v>
      </c>
      <c r="K3" s="1" t="s">
        <v>1803</v>
      </c>
      <c r="L3" s="1" t="str">
        <f>VLOOKUP(Salesdta[[#This Row],[Store_ID]],Store_Data_1[],3,TRUE)</f>
        <v>North</v>
      </c>
      <c r="M3" s="1">
        <v>3</v>
      </c>
      <c r="N3" s="1">
        <v>104</v>
      </c>
      <c r="O3" s="12">
        <v>0.27</v>
      </c>
      <c r="P3" s="1" t="s">
        <v>1819</v>
      </c>
      <c r="Q3" s="1">
        <v>229</v>
      </c>
      <c r="R3" s="1">
        <f>Salesdta[[#This Row],[Final Revenue]]-Salesdta[[#This Row],[Product cost]]</f>
        <v>-175</v>
      </c>
      <c r="S3" s="1" t="str">
        <f>IF(Salesdta[[#This Row],[Final Revenue]]&gt;1000,"Selected","Not Selected")</f>
        <v>Not Selected</v>
      </c>
    </row>
    <row r="4" spans="1:19" x14ac:dyDescent="0.35">
      <c r="A4" s="6" t="s">
        <v>1820</v>
      </c>
      <c r="B4" s="20">
        <v>45446</v>
      </c>
      <c r="C4" s="1" t="str">
        <f>TEXT(Salesdta[[#This Row],[Order_Date]],"mmmm")</f>
        <v>June</v>
      </c>
      <c r="D4" s="1" t="s">
        <v>208</v>
      </c>
      <c r="E4" s="1" t="str">
        <f>VLOOKUP(Salesdta[[#This Row],[Customer_ID]],Customer_Data_[],6,TRUE)</f>
        <v>Female</v>
      </c>
      <c r="F4" s="1" t="str">
        <f>VLOOKUP(Salesdta[[#This Row],[Customer_ID]],Customer_Data_[],8,TRUE)</f>
        <v>Pennsylvania</v>
      </c>
      <c r="G4" s="1" t="s">
        <v>1642</v>
      </c>
      <c r="H4" s="1" t="str">
        <f>VLOOKUP(Salesdta[[#This Row],[Product_ID]],Product_Data_1[],2,TRUE)</f>
        <v>Men's Roll-On Perfume</v>
      </c>
      <c r="I4" s="1" t="str">
        <f>VLOOKUP(Salesdta[[#This Row],[Product_ID]],Product_Data_1[],3,TRUE)</f>
        <v>Beauty</v>
      </c>
      <c r="J4" s="1">
        <f>VLOOKUP(Salesdta[[#This Row],[Product_ID]],Product_Data_1[],7,TRUE)</f>
        <v>43</v>
      </c>
      <c r="K4" s="1" t="s">
        <v>1778</v>
      </c>
      <c r="L4" s="1" t="str">
        <f>VLOOKUP(Salesdta[[#This Row],[Store_ID]],Store_Data_1[],3,TRUE)</f>
        <v>West</v>
      </c>
      <c r="M4" s="1">
        <v>4</v>
      </c>
      <c r="N4" s="1">
        <v>914</v>
      </c>
      <c r="O4" s="12">
        <v>0.25</v>
      </c>
      <c r="P4" s="1" t="s">
        <v>1817</v>
      </c>
      <c r="Q4" s="1">
        <v>2742</v>
      </c>
      <c r="R4" s="1">
        <f>Salesdta[[#This Row],[Final Revenue]]-Salesdta[[#This Row],[Product cost]]</f>
        <v>2699</v>
      </c>
      <c r="S4" s="1" t="str">
        <f>IF(Salesdta[[#This Row],[Final Revenue]]&gt;1000,"Selected","Not Selected")</f>
        <v>Selected</v>
      </c>
    </row>
    <row r="5" spans="1:19" x14ac:dyDescent="0.35">
      <c r="A5" s="6" t="s">
        <v>1821</v>
      </c>
      <c r="B5" s="20">
        <v>45259</v>
      </c>
      <c r="C5" s="1" t="str">
        <f>TEXT(Salesdta[[#This Row],[Order_Date]],"mmmm")</f>
        <v>November</v>
      </c>
      <c r="D5" s="1" t="s">
        <v>1083</v>
      </c>
      <c r="E5" s="1" t="str">
        <f>VLOOKUP(Salesdta[[#This Row],[Customer_ID]],Customer_Data_[],6,TRUE)</f>
        <v>Female</v>
      </c>
      <c r="F5" s="1" t="str">
        <f>VLOOKUP(Salesdta[[#This Row],[Customer_ID]],Customer_Data_[],8,TRUE)</f>
        <v>Tennessee</v>
      </c>
      <c r="G5" s="1" t="s">
        <v>1696</v>
      </c>
      <c r="H5" s="1" t="str">
        <f>VLOOKUP(Salesdta[[#This Row],[Product_ID]],Product_Data_1[],2,TRUE)</f>
        <v>Wireless Mouse</v>
      </c>
      <c r="I5" s="1" t="str">
        <f>VLOOKUP(Salesdta[[#This Row],[Product_ID]],Product_Data_1[],3,TRUE)</f>
        <v>Electronics</v>
      </c>
      <c r="J5" s="1">
        <f>VLOOKUP(Salesdta[[#This Row],[Product_ID]],Product_Data_1[],7,TRUE)</f>
        <v>393</v>
      </c>
      <c r="K5" s="1" t="s">
        <v>1778</v>
      </c>
      <c r="L5" s="1" t="str">
        <f>VLOOKUP(Salesdta[[#This Row],[Store_ID]],Store_Data_1[],3,TRUE)</f>
        <v>West</v>
      </c>
      <c r="M5" s="1">
        <v>1</v>
      </c>
      <c r="N5" s="1">
        <v>922</v>
      </c>
      <c r="O5" s="12">
        <v>0.16</v>
      </c>
      <c r="P5" s="1" t="s">
        <v>1822</v>
      </c>
      <c r="Q5" s="1">
        <v>774</v>
      </c>
      <c r="R5" s="1">
        <f>Salesdta[[#This Row],[Final Revenue]]-Salesdta[[#This Row],[Product cost]]</f>
        <v>381</v>
      </c>
      <c r="S5" s="1" t="str">
        <f>IF(Salesdta[[#This Row],[Final Revenue]]&gt;1000,"Selected","Not Selected")</f>
        <v>Not Selected</v>
      </c>
    </row>
    <row r="6" spans="1:19" x14ac:dyDescent="0.35">
      <c r="A6" s="6" t="s">
        <v>1823</v>
      </c>
      <c r="B6" s="20">
        <v>45297</v>
      </c>
      <c r="C6" s="1" t="str">
        <f>TEXT(Salesdta[[#This Row],[Order_Date]],"mmmm")</f>
        <v>January</v>
      </c>
      <c r="D6" s="1" t="s">
        <v>1512</v>
      </c>
      <c r="E6" s="1" t="str">
        <f>VLOOKUP(Salesdta[[#This Row],[Customer_ID]],Customer_Data_[],6,TRUE)</f>
        <v>Male</v>
      </c>
      <c r="F6" s="1" t="str">
        <f>VLOOKUP(Salesdta[[#This Row],[Customer_ID]],Customer_Data_[],8,TRUE)</f>
        <v>Alabama</v>
      </c>
      <c r="G6" s="1" t="s">
        <v>1662</v>
      </c>
      <c r="H6" s="1" t="str">
        <f>VLOOKUP(Salesdta[[#This Row],[Product_ID]],Product_Data_1[],2,TRUE)</f>
        <v>Men's Hair Styling Gel</v>
      </c>
      <c r="I6" s="1" t="str">
        <f>VLOOKUP(Salesdta[[#This Row],[Product_ID]],Product_Data_1[],3,TRUE)</f>
        <v>Beauty</v>
      </c>
      <c r="J6" s="1">
        <f>VLOOKUP(Salesdta[[#This Row],[Product_ID]],Product_Data_1[],7,TRUE)</f>
        <v>17</v>
      </c>
      <c r="K6" s="1" t="s">
        <v>1769</v>
      </c>
      <c r="L6" s="1" t="str">
        <f>VLOOKUP(Salesdta[[#This Row],[Store_ID]],Store_Data_1[],3,TRUE)</f>
        <v>North</v>
      </c>
      <c r="M6" s="1">
        <v>3</v>
      </c>
      <c r="N6" s="1">
        <v>745</v>
      </c>
      <c r="O6" s="12">
        <v>0.18</v>
      </c>
      <c r="P6" s="1" t="s">
        <v>1817</v>
      </c>
      <c r="Q6" s="1">
        <v>1833</v>
      </c>
      <c r="R6" s="1">
        <f>Salesdta[[#This Row],[Final Revenue]]-Salesdta[[#This Row],[Product cost]]</f>
        <v>1816</v>
      </c>
      <c r="S6" s="1" t="str">
        <f>IF(Salesdta[[#This Row],[Final Revenue]]&gt;1000,"Selected","Not Selected")</f>
        <v>Selected</v>
      </c>
    </row>
    <row r="7" spans="1:19" x14ac:dyDescent="0.35">
      <c r="A7" s="6" t="s">
        <v>1824</v>
      </c>
      <c r="B7" s="20">
        <v>45499</v>
      </c>
      <c r="C7" s="1" t="str">
        <f>TEXT(Salesdta[[#This Row],[Order_Date]],"mmmm")</f>
        <v>July</v>
      </c>
      <c r="D7" s="1" t="s">
        <v>402</v>
      </c>
      <c r="E7" s="1" t="str">
        <f>VLOOKUP(Salesdta[[#This Row],[Customer_ID]],Customer_Data_[],6,TRUE)</f>
        <v>Female</v>
      </c>
      <c r="F7" s="1" t="str">
        <f>VLOOKUP(Salesdta[[#This Row],[Customer_ID]],Customer_Data_[],8,TRUE)</f>
        <v>Rhode Island</v>
      </c>
      <c r="G7" s="1" t="s">
        <v>1574</v>
      </c>
      <c r="H7" s="1" t="str">
        <f>VLOOKUP(Salesdta[[#This Row],[Product_ID]],Product_Data_1[],2,TRUE)</f>
        <v>4K Home Projector</v>
      </c>
      <c r="I7" s="1" t="str">
        <f>VLOOKUP(Salesdta[[#This Row],[Product_ID]],Product_Data_1[],3,TRUE)</f>
        <v>Electronics</v>
      </c>
      <c r="J7" s="1">
        <f>VLOOKUP(Salesdta[[#This Row],[Product_ID]],Product_Data_1[],7,TRUE)</f>
        <v>465</v>
      </c>
      <c r="K7" s="1" t="s">
        <v>1775</v>
      </c>
      <c r="L7" s="1" t="str">
        <f>VLOOKUP(Salesdta[[#This Row],[Store_ID]],Store_Data_1[],3,TRUE)</f>
        <v>South</v>
      </c>
      <c r="M7" s="1">
        <v>3</v>
      </c>
      <c r="N7" s="1">
        <v>147</v>
      </c>
      <c r="O7" s="12">
        <v>0.19</v>
      </c>
      <c r="P7" s="1" t="s">
        <v>1822</v>
      </c>
      <c r="Q7" s="1">
        <v>357</v>
      </c>
      <c r="R7" s="1">
        <f>Salesdta[[#This Row],[Final Revenue]]-Salesdta[[#This Row],[Product cost]]</f>
        <v>-108</v>
      </c>
      <c r="S7" s="1" t="str">
        <f>IF(Salesdta[[#This Row],[Final Revenue]]&gt;1000,"Selected","Not Selected")</f>
        <v>Not Selected</v>
      </c>
    </row>
    <row r="8" spans="1:19" x14ac:dyDescent="0.35">
      <c r="A8" s="6" t="s">
        <v>1825</v>
      </c>
      <c r="B8" s="20">
        <v>45850</v>
      </c>
      <c r="C8" s="1" t="str">
        <f>TEXT(Salesdta[[#This Row],[Order_Date]],"mmmm")</f>
        <v>July</v>
      </c>
      <c r="D8" s="1" t="s">
        <v>73</v>
      </c>
      <c r="E8" s="1" t="str">
        <f>VLOOKUP(Salesdta[[#This Row],[Customer_ID]],Customer_Data_[],6,TRUE)</f>
        <v>Female</v>
      </c>
      <c r="F8" s="1" t="str">
        <f>VLOOKUP(Salesdta[[#This Row],[Customer_ID]],Customer_Data_[],8,TRUE)</f>
        <v>Pennsylvania</v>
      </c>
      <c r="G8" s="1" t="s">
        <v>1656</v>
      </c>
      <c r="H8" s="1" t="str">
        <f>VLOOKUP(Salesdta[[#This Row],[Product_ID]],Product_Data_1[],2,TRUE)</f>
        <v>Premium Blanket Throw</v>
      </c>
      <c r="I8" s="1" t="str">
        <f>VLOOKUP(Salesdta[[#This Row],[Product_ID]],Product_Data_1[],3,TRUE)</f>
        <v>Home</v>
      </c>
      <c r="J8" s="1">
        <f>VLOOKUP(Salesdta[[#This Row],[Product_ID]],Product_Data_1[],7,TRUE)</f>
        <v>461</v>
      </c>
      <c r="K8" s="1" t="s">
        <v>1765</v>
      </c>
      <c r="L8" s="1" t="str">
        <f>VLOOKUP(Salesdta[[#This Row],[Store_ID]],Store_Data_1[],3,TRUE)</f>
        <v>South</v>
      </c>
      <c r="M8" s="1">
        <v>2</v>
      </c>
      <c r="N8" s="1">
        <v>785</v>
      </c>
      <c r="O8" s="12">
        <v>0.15</v>
      </c>
      <c r="P8" s="1" t="s">
        <v>1819</v>
      </c>
      <c r="Q8" s="1">
        <v>1335</v>
      </c>
      <c r="R8" s="1">
        <f>Salesdta[[#This Row],[Final Revenue]]-Salesdta[[#This Row],[Product cost]]</f>
        <v>874</v>
      </c>
      <c r="S8" s="1" t="str">
        <f>IF(Salesdta[[#This Row],[Final Revenue]]&gt;1000,"Selected","Not Selected")</f>
        <v>Selected</v>
      </c>
    </row>
    <row r="9" spans="1:19" x14ac:dyDescent="0.35">
      <c r="A9" s="6" t="s">
        <v>1826</v>
      </c>
      <c r="B9" s="20">
        <v>45248</v>
      </c>
      <c r="C9" s="1" t="str">
        <f>TEXT(Salesdta[[#This Row],[Order_Date]],"mmmm")</f>
        <v>November</v>
      </c>
      <c r="D9" s="1" t="s">
        <v>508</v>
      </c>
      <c r="E9" s="1" t="str">
        <f>VLOOKUP(Salesdta[[#This Row],[Customer_ID]],Customer_Data_[],6,TRUE)</f>
        <v>Female</v>
      </c>
      <c r="F9" s="1" t="str">
        <f>VLOOKUP(Salesdta[[#This Row],[Customer_ID]],Customer_Data_[],8,TRUE)</f>
        <v>Missouri</v>
      </c>
      <c r="G9" s="1" t="s">
        <v>1684</v>
      </c>
      <c r="H9" s="1" t="str">
        <f>VLOOKUP(Salesdta[[#This Row],[Product_ID]],Product_Data_1[],2,TRUE)</f>
        <v>Kitchen Storage Rack</v>
      </c>
      <c r="I9" s="1" t="str">
        <f>VLOOKUP(Salesdta[[#This Row],[Product_ID]],Product_Data_1[],3,TRUE)</f>
        <v>Home</v>
      </c>
      <c r="J9" s="1">
        <f>VLOOKUP(Salesdta[[#This Row],[Product_ID]],Product_Data_1[],7,TRUE)</f>
        <v>138</v>
      </c>
      <c r="K9" s="1" t="s">
        <v>1778</v>
      </c>
      <c r="L9" s="1" t="str">
        <f>VLOOKUP(Salesdta[[#This Row],[Store_ID]],Store_Data_1[],3,TRUE)</f>
        <v>West</v>
      </c>
      <c r="M9" s="1">
        <v>4</v>
      </c>
      <c r="N9" s="1">
        <v>342</v>
      </c>
      <c r="O9" s="12">
        <v>0.23</v>
      </c>
      <c r="P9" s="1" t="s">
        <v>1819</v>
      </c>
      <c r="Q9" s="1">
        <v>1055</v>
      </c>
      <c r="R9" s="1">
        <f>Salesdta[[#This Row],[Final Revenue]]-Salesdta[[#This Row],[Product cost]]</f>
        <v>917</v>
      </c>
      <c r="S9" s="1" t="str">
        <f>IF(Salesdta[[#This Row],[Final Revenue]]&gt;1000,"Selected","Not Selected")</f>
        <v>Selected</v>
      </c>
    </row>
    <row r="10" spans="1:19" x14ac:dyDescent="0.35">
      <c r="A10" s="6" t="s">
        <v>1827</v>
      </c>
      <c r="B10" s="20">
        <v>45781</v>
      </c>
      <c r="C10" s="1" t="str">
        <f>TEXT(Salesdta[[#This Row],[Order_Date]],"mmmm")</f>
        <v>May</v>
      </c>
      <c r="D10" s="1" t="s">
        <v>613</v>
      </c>
      <c r="E10" s="1" t="str">
        <f>VLOOKUP(Salesdta[[#This Row],[Customer_ID]],Customer_Data_[],6,TRUE)</f>
        <v>Female</v>
      </c>
      <c r="F10" s="1" t="str">
        <f>VLOOKUP(Salesdta[[#This Row],[Customer_ID]],Customer_Data_[],8,TRUE)</f>
        <v>Alabama</v>
      </c>
      <c r="G10" s="1" t="s">
        <v>1742</v>
      </c>
      <c r="H10" s="1" t="str">
        <f>VLOOKUP(Salesdta[[#This Row],[Product_ID]],Product_Data_1[],2,TRUE)</f>
        <v>Stainless Steel Cookware Set</v>
      </c>
      <c r="I10" s="1" t="str">
        <f>VLOOKUP(Salesdta[[#This Row],[Product_ID]],Product_Data_1[],3,TRUE)</f>
        <v>Home</v>
      </c>
      <c r="J10" s="1">
        <f>VLOOKUP(Salesdta[[#This Row],[Product_ID]],Product_Data_1[],7,TRUE)</f>
        <v>201</v>
      </c>
      <c r="K10" s="1" t="s">
        <v>1769</v>
      </c>
      <c r="L10" s="1" t="str">
        <f>VLOOKUP(Salesdta[[#This Row],[Store_ID]],Store_Data_1[],3,TRUE)</f>
        <v>North</v>
      </c>
      <c r="M10" s="1">
        <v>2</v>
      </c>
      <c r="N10" s="1">
        <v>448</v>
      </c>
      <c r="O10" s="12">
        <v>7.0000000000000007E-2</v>
      </c>
      <c r="P10" s="1" t="s">
        <v>1819</v>
      </c>
      <c r="Q10" s="1">
        <v>1251</v>
      </c>
      <c r="R10" s="1">
        <f>Salesdta[[#This Row],[Final Revenue]]-Salesdta[[#This Row],[Product cost]]</f>
        <v>1050</v>
      </c>
      <c r="S10" s="1" t="str">
        <f>IF(Salesdta[[#This Row],[Final Revenue]]&gt;1000,"Selected","Not Selected")</f>
        <v>Selected</v>
      </c>
    </row>
    <row r="11" spans="1:19" x14ac:dyDescent="0.35">
      <c r="A11" s="6" t="s">
        <v>1828</v>
      </c>
      <c r="B11" s="20">
        <v>45869</v>
      </c>
      <c r="C11" s="1" t="str">
        <f>TEXT(Salesdta[[#This Row],[Order_Date]],"mmmm")</f>
        <v>July</v>
      </c>
      <c r="D11" s="1" t="s">
        <v>1427</v>
      </c>
      <c r="E11" s="1" t="str">
        <f>VLOOKUP(Salesdta[[#This Row],[Customer_ID]],Customer_Data_[],6,TRUE)</f>
        <v>Female</v>
      </c>
      <c r="F11" s="1" t="str">
        <f>VLOOKUP(Salesdta[[#This Row],[Customer_ID]],Customer_Data_[],8,TRUE)</f>
        <v>Washington</v>
      </c>
      <c r="G11" s="1" t="s">
        <v>1610</v>
      </c>
      <c r="H11" s="1" t="str">
        <f>VLOOKUP(Salesdta[[#This Row],[Product_ID]],Product_Data_1[],2,TRUE)</f>
        <v>Modern Wall Clock</v>
      </c>
      <c r="I11" s="1" t="str">
        <f>VLOOKUP(Salesdta[[#This Row],[Product_ID]],Product_Data_1[],3,TRUE)</f>
        <v>Home</v>
      </c>
      <c r="J11" s="1">
        <f>VLOOKUP(Salesdta[[#This Row],[Product_ID]],Product_Data_1[],7,TRUE)</f>
        <v>180</v>
      </c>
      <c r="K11" s="1" t="s">
        <v>1748</v>
      </c>
      <c r="L11" s="1" t="str">
        <f>VLOOKUP(Salesdta[[#This Row],[Store_ID]],Store_Data_1[],3,TRUE)</f>
        <v>East</v>
      </c>
      <c r="M11" s="1">
        <v>2</v>
      </c>
      <c r="N11" s="1">
        <v>873</v>
      </c>
      <c r="O11" s="12">
        <v>0.23</v>
      </c>
      <c r="P11" s="1" t="s">
        <v>1819</v>
      </c>
      <c r="Q11" s="1">
        <v>1345</v>
      </c>
      <c r="R11" s="1">
        <f>Salesdta[[#This Row],[Final Revenue]]-Salesdta[[#This Row],[Product cost]]</f>
        <v>1165</v>
      </c>
      <c r="S11" s="1" t="str">
        <f>IF(Salesdta[[#This Row],[Final Revenue]]&gt;1000,"Selected","Not Selected")</f>
        <v>Selected</v>
      </c>
    </row>
    <row r="12" spans="1:19" x14ac:dyDescent="0.35">
      <c r="A12" s="6" t="s">
        <v>1829</v>
      </c>
      <c r="B12" s="20">
        <v>45335</v>
      </c>
      <c r="C12" s="1" t="str">
        <f>TEXT(Salesdta[[#This Row],[Order_Date]],"mmmm")</f>
        <v>February</v>
      </c>
      <c r="D12" s="1" t="s">
        <v>238</v>
      </c>
      <c r="E12" s="1" t="str">
        <f>VLOOKUP(Salesdta[[#This Row],[Customer_ID]],Customer_Data_[],6,TRUE)</f>
        <v>Female</v>
      </c>
      <c r="F12" s="1" t="str">
        <f>VLOOKUP(Salesdta[[#This Row],[Customer_ID]],Customer_Data_[],8,TRUE)</f>
        <v>Nevada</v>
      </c>
      <c r="G12" s="1" t="s">
        <v>1592</v>
      </c>
      <c r="H12" s="1" t="str">
        <f>VLOOKUP(Salesdta[[#This Row],[Product_ID]],Product_Data_1[],2,TRUE)</f>
        <v>Foldable Camping Chair</v>
      </c>
      <c r="I12" s="1" t="str">
        <f>VLOOKUP(Salesdta[[#This Row],[Product_ID]],Product_Data_1[],3,TRUE)</f>
        <v>Sports</v>
      </c>
      <c r="J12" s="1">
        <f>VLOOKUP(Salesdta[[#This Row],[Product_ID]],Product_Data_1[],7,TRUE)</f>
        <v>166</v>
      </c>
      <c r="K12" s="1" t="s">
        <v>1795</v>
      </c>
      <c r="L12" s="1" t="str">
        <f>VLOOKUP(Salesdta[[#This Row],[Store_ID]],Store_Data_1[],3,TRUE)</f>
        <v>North</v>
      </c>
      <c r="M12" s="1">
        <v>1</v>
      </c>
      <c r="N12" s="1">
        <v>279</v>
      </c>
      <c r="O12" s="12">
        <v>7.0000000000000007E-2</v>
      </c>
      <c r="P12" s="1" t="s">
        <v>1817</v>
      </c>
      <c r="Q12" s="1">
        <v>259</v>
      </c>
      <c r="R12" s="1">
        <f>Salesdta[[#This Row],[Final Revenue]]-Salesdta[[#This Row],[Product cost]]</f>
        <v>93</v>
      </c>
      <c r="S12" s="1" t="str">
        <f>IF(Salesdta[[#This Row],[Final Revenue]]&gt;1000,"Selected","Not Selected")</f>
        <v>Not Selected</v>
      </c>
    </row>
    <row r="13" spans="1:19" x14ac:dyDescent="0.35">
      <c r="A13" s="6" t="s">
        <v>1830</v>
      </c>
      <c r="B13" s="20">
        <v>45801</v>
      </c>
      <c r="C13" s="1" t="str">
        <f>TEXT(Salesdta[[#This Row],[Order_Date]],"mmmm")</f>
        <v>May</v>
      </c>
      <c r="D13" s="1" t="s">
        <v>1005</v>
      </c>
      <c r="E13" s="1" t="str">
        <f>VLOOKUP(Salesdta[[#This Row],[Customer_ID]],Customer_Data_[],6,TRUE)</f>
        <v>Female</v>
      </c>
      <c r="F13" s="1" t="str">
        <f>VLOOKUP(Salesdta[[#This Row],[Customer_ID]],Customer_Data_[],8,TRUE)</f>
        <v>Iowa</v>
      </c>
      <c r="G13" s="1" t="s">
        <v>1622</v>
      </c>
      <c r="H13" s="1" t="str">
        <f>VLOOKUP(Salesdta[[#This Row],[Product_ID]],Product_Data_1[],2,TRUE)</f>
        <v>Portable Power Bank</v>
      </c>
      <c r="I13" s="1" t="str">
        <f>VLOOKUP(Salesdta[[#This Row],[Product_ID]],Product_Data_1[],3,TRUE)</f>
        <v>Electronics</v>
      </c>
      <c r="J13" s="1">
        <f>VLOOKUP(Salesdta[[#This Row],[Product_ID]],Product_Data_1[],7,TRUE)</f>
        <v>326</v>
      </c>
      <c r="K13" s="1" t="s">
        <v>1753</v>
      </c>
      <c r="L13" s="1" t="str">
        <f>VLOOKUP(Salesdta[[#This Row],[Store_ID]],Store_Data_1[],3,TRUE)</f>
        <v>North</v>
      </c>
      <c r="M13" s="1">
        <v>4</v>
      </c>
      <c r="N13" s="1">
        <v>287</v>
      </c>
      <c r="O13" s="12">
        <v>0.17</v>
      </c>
      <c r="P13" s="1" t="s">
        <v>1817</v>
      </c>
      <c r="Q13" s="1">
        <v>953</v>
      </c>
      <c r="R13" s="1">
        <f>Salesdta[[#This Row],[Final Revenue]]-Salesdta[[#This Row],[Product cost]]</f>
        <v>627</v>
      </c>
      <c r="S13" s="1" t="str">
        <f>IF(Salesdta[[#This Row],[Final Revenue]]&gt;1000,"Selected","Not Selected")</f>
        <v>Not Selected</v>
      </c>
    </row>
    <row r="14" spans="1:19" x14ac:dyDescent="0.35">
      <c r="A14" s="6" t="s">
        <v>1831</v>
      </c>
      <c r="B14" s="20">
        <v>45528</v>
      </c>
      <c r="C14" s="1" t="str">
        <f>TEXT(Salesdta[[#This Row],[Order_Date]],"mmmm")</f>
        <v>August</v>
      </c>
      <c r="D14" s="1" t="s">
        <v>758</v>
      </c>
      <c r="E14" s="1" t="str">
        <f>VLOOKUP(Salesdta[[#This Row],[Customer_ID]],Customer_Data_[],6,TRUE)</f>
        <v>Female</v>
      </c>
      <c r="F14" s="1" t="str">
        <f>VLOOKUP(Salesdta[[#This Row],[Customer_ID]],Customer_Data_[],8,TRUE)</f>
        <v>Montana</v>
      </c>
      <c r="G14" s="1" t="s">
        <v>1720</v>
      </c>
      <c r="H14" s="1" t="str">
        <f>VLOOKUP(Salesdta[[#This Row],[Product_ID]],Product_Data_1[],2,TRUE)</f>
        <v>Sports Wrist Sweatbands</v>
      </c>
      <c r="I14" s="1" t="str">
        <f>VLOOKUP(Salesdta[[#This Row],[Product_ID]],Product_Data_1[],3,TRUE)</f>
        <v>Sports</v>
      </c>
      <c r="J14" s="1">
        <f>VLOOKUP(Salesdta[[#This Row],[Product_ID]],Product_Data_1[],7,TRUE)</f>
        <v>131</v>
      </c>
      <c r="K14" s="1" t="s">
        <v>1765</v>
      </c>
      <c r="L14" s="1" t="str">
        <f>VLOOKUP(Salesdta[[#This Row],[Store_ID]],Store_Data_1[],3,TRUE)</f>
        <v>South</v>
      </c>
      <c r="M14" s="1">
        <v>4</v>
      </c>
      <c r="N14" s="1">
        <v>645</v>
      </c>
      <c r="O14" s="12">
        <v>0.01</v>
      </c>
      <c r="P14" s="1" t="s">
        <v>1817</v>
      </c>
      <c r="Q14" s="1">
        <v>2553</v>
      </c>
      <c r="R14" s="1">
        <f>Salesdta[[#This Row],[Final Revenue]]-Salesdta[[#This Row],[Product cost]]</f>
        <v>2422</v>
      </c>
      <c r="S14" s="1" t="str">
        <f>IF(Salesdta[[#This Row],[Final Revenue]]&gt;1000,"Selected","Not Selected")</f>
        <v>Selected</v>
      </c>
    </row>
    <row r="15" spans="1:19" x14ac:dyDescent="0.35">
      <c r="A15" s="6" t="s">
        <v>1832</v>
      </c>
      <c r="B15" s="20">
        <v>45875</v>
      </c>
      <c r="C15" s="1" t="str">
        <f>TEXT(Salesdta[[#This Row],[Order_Date]],"mmmm")</f>
        <v>August</v>
      </c>
      <c r="D15" s="1" t="s">
        <v>1367</v>
      </c>
      <c r="E15" s="1" t="str">
        <f>VLOOKUP(Salesdta[[#This Row],[Customer_ID]],Customer_Data_[],6,TRUE)</f>
        <v>Male</v>
      </c>
      <c r="F15" s="1" t="str">
        <f>VLOOKUP(Salesdta[[#This Row],[Customer_ID]],Customer_Data_[],8,TRUE)</f>
        <v>Texas</v>
      </c>
      <c r="G15" s="1" t="s">
        <v>1612</v>
      </c>
      <c r="H15" s="1" t="str">
        <f>VLOOKUP(Salesdta[[#This Row],[Product_ID]],Product_Data_1[],2,TRUE)</f>
        <v>Gaming Mechanical Keyboard</v>
      </c>
      <c r="I15" s="1" t="str">
        <f>VLOOKUP(Salesdta[[#This Row],[Product_ID]],Product_Data_1[],3,TRUE)</f>
        <v>Electronics</v>
      </c>
      <c r="J15" s="1">
        <f>VLOOKUP(Salesdta[[#This Row],[Product_ID]],Product_Data_1[],7,TRUE)</f>
        <v>419</v>
      </c>
      <c r="K15" s="1" t="s">
        <v>1800</v>
      </c>
      <c r="L15" s="1" t="str">
        <f>VLOOKUP(Salesdta[[#This Row],[Store_ID]],Store_Data_1[],3,TRUE)</f>
        <v>North</v>
      </c>
      <c r="M15" s="1">
        <v>2</v>
      </c>
      <c r="N15" s="1">
        <v>317</v>
      </c>
      <c r="O15" s="12">
        <v>0.3</v>
      </c>
      <c r="P15" s="1" t="s">
        <v>1819</v>
      </c>
      <c r="Q15" s="1">
        <v>444</v>
      </c>
      <c r="R15" s="1">
        <f>Salesdta[[#This Row],[Final Revenue]]-Salesdta[[#This Row],[Product cost]]</f>
        <v>25</v>
      </c>
      <c r="S15" s="1" t="str">
        <f>IF(Salesdta[[#This Row],[Final Revenue]]&gt;1000,"Selected","Not Selected")</f>
        <v>Not Selected</v>
      </c>
    </row>
    <row r="16" spans="1:19" x14ac:dyDescent="0.35">
      <c r="A16" s="6" t="s">
        <v>1833</v>
      </c>
      <c r="B16" s="20">
        <v>45829</v>
      </c>
      <c r="C16" s="1" t="str">
        <f>TEXT(Salesdta[[#This Row],[Order_Date]],"mmmm")</f>
        <v>June</v>
      </c>
      <c r="D16" s="1" t="s">
        <v>1089</v>
      </c>
      <c r="E16" s="1" t="str">
        <f>VLOOKUP(Salesdta[[#This Row],[Customer_ID]],Customer_Data_[],6,TRUE)</f>
        <v>Male</v>
      </c>
      <c r="F16" s="1" t="str">
        <f>VLOOKUP(Salesdta[[#This Row],[Customer_ID]],Customer_Data_[],8,TRUE)</f>
        <v>Pennsylvania</v>
      </c>
      <c r="G16" s="1" t="s">
        <v>1592</v>
      </c>
      <c r="H16" s="1" t="str">
        <f>VLOOKUP(Salesdta[[#This Row],[Product_ID]],Product_Data_1[],2,TRUE)</f>
        <v>Foldable Camping Chair</v>
      </c>
      <c r="I16" s="1" t="str">
        <f>VLOOKUP(Salesdta[[#This Row],[Product_ID]],Product_Data_1[],3,TRUE)</f>
        <v>Sports</v>
      </c>
      <c r="J16" s="1">
        <f>VLOOKUP(Salesdta[[#This Row],[Product_ID]],Product_Data_1[],7,TRUE)</f>
        <v>166</v>
      </c>
      <c r="K16" s="1" t="s">
        <v>1797</v>
      </c>
      <c r="L16" s="1" t="str">
        <f>VLOOKUP(Salesdta[[#This Row],[Store_ID]],Store_Data_1[],3,TRUE)</f>
        <v>North</v>
      </c>
      <c r="M16" s="1">
        <v>4</v>
      </c>
      <c r="N16" s="1">
        <v>403</v>
      </c>
      <c r="O16" s="12">
        <v>0.28999999999999998</v>
      </c>
      <c r="P16" s="1" t="s">
        <v>1819</v>
      </c>
      <c r="Q16" s="1">
        <v>1146</v>
      </c>
      <c r="R16" s="1">
        <f>Salesdta[[#This Row],[Final Revenue]]-Salesdta[[#This Row],[Product cost]]</f>
        <v>980</v>
      </c>
      <c r="S16" s="1" t="str">
        <f>IF(Salesdta[[#This Row],[Final Revenue]]&gt;1000,"Selected","Not Selected")</f>
        <v>Selected</v>
      </c>
    </row>
    <row r="17" spans="1:19" x14ac:dyDescent="0.35">
      <c r="A17" s="6" t="s">
        <v>1834</v>
      </c>
      <c r="B17" s="20">
        <v>45636</v>
      </c>
      <c r="C17" s="1" t="str">
        <f>TEXT(Salesdta[[#This Row],[Order_Date]],"mmmm")</f>
        <v>December</v>
      </c>
      <c r="D17" s="1" t="s">
        <v>1345</v>
      </c>
      <c r="E17" s="1" t="str">
        <f>VLOOKUP(Salesdta[[#This Row],[Customer_ID]],Customer_Data_[],6,TRUE)</f>
        <v>Female</v>
      </c>
      <c r="F17" s="1" t="str">
        <f>VLOOKUP(Salesdta[[#This Row],[Customer_ID]],Customer_Data_[],8,TRUE)</f>
        <v>Idaho</v>
      </c>
      <c r="G17" s="1" t="s">
        <v>1616</v>
      </c>
      <c r="H17" s="1" t="str">
        <f>VLOOKUP(Salesdta[[#This Row],[Product_ID]],Product_Data_1[],2,TRUE)</f>
        <v>Women's Summer Dress</v>
      </c>
      <c r="I17" s="1" t="str">
        <f>VLOOKUP(Salesdta[[#This Row],[Product_ID]],Product_Data_1[],3,TRUE)</f>
        <v>Clothing</v>
      </c>
      <c r="J17" s="1">
        <f>VLOOKUP(Salesdta[[#This Row],[Product_ID]],Product_Data_1[],7,TRUE)</f>
        <v>223</v>
      </c>
      <c r="K17" s="1" t="s">
        <v>1782</v>
      </c>
      <c r="L17" s="1" t="str">
        <f>VLOOKUP(Salesdta[[#This Row],[Store_ID]],Store_Data_1[],3,TRUE)</f>
        <v>South</v>
      </c>
      <c r="M17" s="1">
        <v>2</v>
      </c>
      <c r="N17" s="1">
        <v>871</v>
      </c>
      <c r="O17" s="12">
        <v>0.04</v>
      </c>
      <c r="P17" s="1" t="s">
        <v>1822</v>
      </c>
      <c r="Q17" s="1">
        <v>2509</v>
      </c>
      <c r="R17" s="1">
        <f>Salesdta[[#This Row],[Final Revenue]]-Salesdta[[#This Row],[Product cost]]</f>
        <v>2286</v>
      </c>
      <c r="S17" s="1" t="str">
        <f>IF(Salesdta[[#This Row],[Final Revenue]]&gt;1000,"Selected","Not Selected")</f>
        <v>Selected</v>
      </c>
    </row>
    <row r="18" spans="1:19" x14ac:dyDescent="0.35">
      <c r="A18" s="6" t="s">
        <v>1835</v>
      </c>
      <c r="B18" s="20">
        <v>45913</v>
      </c>
      <c r="C18" s="1" t="str">
        <f>TEXT(Salesdta[[#This Row],[Order_Date]],"mmmm")</f>
        <v>September</v>
      </c>
      <c r="D18" s="1" t="s">
        <v>875</v>
      </c>
      <c r="E18" s="1" t="str">
        <f>VLOOKUP(Salesdta[[#This Row],[Customer_ID]],Customer_Data_[],6,TRUE)</f>
        <v>Male</v>
      </c>
      <c r="F18" s="1" t="str">
        <f>VLOOKUP(Salesdta[[#This Row],[Customer_ID]],Customer_Data_[],8,TRUE)</f>
        <v>Nevada</v>
      </c>
      <c r="G18" s="1" t="s">
        <v>1674</v>
      </c>
      <c r="H18" s="1" t="str">
        <f>VLOOKUP(Salesdta[[#This Row],[Product_ID]],Product_Data_1[],2,TRUE)</f>
        <v>Adjustable Dumbbells 20kg</v>
      </c>
      <c r="I18" s="1" t="str">
        <f>VLOOKUP(Salesdta[[#This Row],[Product_ID]],Product_Data_1[],3,TRUE)</f>
        <v>Sports</v>
      </c>
      <c r="J18" s="1">
        <f>VLOOKUP(Salesdta[[#This Row],[Product_ID]],Product_Data_1[],7,TRUE)</f>
        <v>241</v>
      </c>
      <c r="K18" s="1" t="s">
        <v>1809</v>
      </c>
      <c r="L18" s="1" t="str">
        <f>VLOOKUP(Salesdta[[#This Row],[Store_ID]],Store_Data_1[],3,TRUE)</f>
        <v>North</v>
      </c>
      <c r="M18" s="1">
        <v>2</v>
      </c>
      <c r="N18" s="1">
        <v>452</v>
      </c>
      <c r="O18" s="12">
        <v>0.25</v>
      </c>
      <c r="P18" s="1" t="s">
        <v>1817</v>
      </c>
      <c r="Q18" s="1">
        <v>678</v>
      </c>
      <c r="R18" s="1">
        <f>Salesdta[[#This Row],[Final Revenue]]-Salesdta[[#This Row],[Product cost]]</f>
        <v>437</v>
      </c>
      <c r="S18" s="1" t="str">
        <f>IF(Salesdta[[#This Row],[Final Revenue]]&gt;1000,"Selected","Not Selected")</f>
        <v>Not Selected</v>
      </c>
    </row>
    <row r="19" spans="1:19" x14ac:dyDescent="0.35">
      <c r="A19" s="6" t="s">
        <v>1836</v>
      </c>
      <c r="B19" s="20">
        <v>45637</v>
      </c>
      <c r="C19" s="1" t="str">
        <f>TEXT(Salesdta[[#This Row],[Order_Date]],"mmmm")</f>
        <v>December</v>
      </c>
      <c r="D19" s="1" t="s">
        <v>285</v>
      </c>
      <c r="E19" s="1" t="str">
        <f>VLOOKUP(Salesdta[[#This Row],[Customer_ID]],Customer_Data_[],6,TRUE)</f>
        <v>Female</v>
      </c>
      <c r="F19" s="1" t="str">
        <f>VLOOKUP(Salesdta[[#This Row],[Customer_ID]],Customer_Data_[],8,TRUE)</f>
        <v>Arkansas</v>
      </c>
      <c r="G19" s="1" t="s">
        <v>1598</v>
      </c>
      <c r="H19" s="1" t="str">
        <f>VLOOKUP(Salesdta[[#This Row],[Product_ID]],Product_Data_1[],2,TRUE)</f>
        <v>Decorative Floor Vase</v>
      </c>
      <c r="I19" s="1" t="str">
        <f>VLOOKUP(Salesdta[[#This Row],[Product_ID]],Product_Data_1[],3,TRUE)</f>
        <v>Home</v>
      </c>
      <c r="J19" s="1">
        <f>VLOOKUP(Salesdta[[#This Row],[Product_ID]],Product_Data_1[],7,TRUE)</f>
        <v>254</v>
      </c>
      <c r="K19" s="1" t="s">
        <v>1765</v>
      </c>
      <c r="L19" s="1" t="str">
        <f>VLOOKUP(Salesdta[[#This Row],[Store_ID]],Store_Data_1[],3,TRUE)</f>
        <v>South</v>
      </c>
      <c r="M19" s="1">
        <v>2</v>
      </c>
      <c r="N19" s="1">
        <v>503</v>
      </c>
      <c r="O19" s="12">
        <v>0.23</v>
      </c>
      <c r="P19" s="1" t="s">
        <v>1817</v>
      </c>
      <c r="Q19" s="1">
        <v>774</v>
      </c>
      <c r="R19" s="1">
        <f>Salesdta[[#This Row],[Final Revenue]]-Salesdta[[#This Row],[Product cost]]</f>
        <v>520</v>
      </c>
      <c r="S19" s="1" t="str">
        <f>IF(Salesdta[[#This Row],[Final Revenue]]&gt;1000,"Selected","Not Selected")</f>
        <v>Not Selected</v>
      </c>
    </row>
    <row r="20" spans="1:19" x14ac:dyDescent="0.35">
      <c r="A20" s="6" t="s">
        <v>1837</v>
      </c>
      <c r="B20" s="20">
        <v>45517</v>
      </c>
      <c r="C20" s="1" t="str">
        <f>TEXT(Salesdta[[#This Row],[Order_Date]],"mmmm")</f>
        <v>August</v>
      </c>
      <c r="D20" s="1" t="s">
        <v>335</v>
      </c>
      <c r="E20" s="1" t="str">
        <f>VLOOKUP(Salesdta[[#This Row],[Customer_ID]],Customer_Data_[],6,TRUE)</f>
        <v>Female</v>
      </c>
      <c r="F20" s="1" t="str">
        <f>VLOOKUP(Salesdta[[#This Row],[Customer_ID]],Customer_Data_[],8,TRUE)</f>
        <v>Nevada</v>
      </c>
      <c r="G20" s="1" t="s">
        <v>1622</v>
      </c>
      <c r="H20" s="1" t="str">
        <f>VLOOKUP(Salesdta[[#This Row],[Product_ID]],Product_Data_1[],2,TRUE)</f>
        <v>Portable Power Bank</v>
      </c>
      <c r="I20" s="1" t="str">
        <f>VLOOKUP(Salesdta[[#This Row],[Product_ID]],Product_Data_1[],3,TRUE)</f>
        <v>Electronics</v>
      </c>
      <c r="J20" s="1">
        <f>VLOOKUP(Salesdta[[#This Row],[Product_ID]],Product_Data_1[],7,TRUE)</f>
        <v>326</v>
      </c>
      <c r="K20" s="1" t="s">
        <v>1765</v>
      </c>
      <c r="L20" s="1" t="str">
        <f>VLOOKUP(Salesdta[[#This Row],[Store_ID]],Store_Data_1[],3,TRUE)</f>
        <v>South</v>
      </c>
      <c r="M20" s="1">
        <v>2</v>
      </c>
      <c r="N20" s="1">
        <v>559</v>
      </c>
      <c r="O20" s="12">
        <v>0.25</v>
      </c>
      <c r="P20" s="1" t="s">
        <v>1822</v>
      </c>
      <c r="Q20" s="1">
        <v>839</v>
      </c>
      <c r="R20" s="1">
        <f>Salesdta[[#This Row],[Final Revenue]]-Salesdta[[#This Row],[Product cost]]</f>
        <v>513</v>
      </c>
      <c r="S20" s="1" t="str">
        <f>IF(Salesdta[[#This Row],[Final Revenue]]&gt;1000,"Selected","Not Selected")</f>
        <v>Not Selected</v>
      </c>
    </row>
    <row r="21" spans="1:19" x14ac:dyDescent="0.35">
      <c r="A21" s="6" t="s">
        <v>1838</v>
      </c>
      <c r="B21" s="20">
        <v>45369</v>
      </c>
      <c r="C21" s="1" t="str">
        <f>TEXT(Salesdta[[#This Row],[Order_Date]],"mmmm")</f>
        <v>March</v>
      </c>
      <c r="D21" s="1" t="s">
        <v>764</v>
      </c>
      <c r="E21" s="1" t="str">
        <f>VLOOKUP(Salesdta[[#This Row],[Customer_ID]],Customer_Data_[],6,TRUE)</f>
        <v>Female</v>
      </c>
      <c r="F21" s="1" t="str">
        <f>VLOOKUP(Salesdta[[#This Row],[Customer_ID]],Customer_Data_[],8,TRUE)</f>
        <v>Nevada</v>
      </c>
      <c r="G21" s="1" t="s">
        <v>1664</v>
      </c>
      <c r="H21" s="1" t="str">
        <f>VLOOKUP(Salesdta[[#This Row],[Product_ID]],Product_Data_1[],2,TRUE)</f>
        <v>Luxury Perfume Spray</v>
      </c>
      <c r="I21" s="1" t="str">
        <f>VLOOKUP(Salesdta[[#This Row],[Product_ID]],Product_Data_1[],3,TRUE)</f>
        <v>Beauty</v>
      </c>
      <c r="J21" s="1">
        <f>VLOOKUP(Salesdta[[#This Row],[Product_ID]],Product_Data_1[],7,TRUE)</f>
        <v>483</v>
      </c>
      <c r="K21" s="1" t="s">
        <v>1793</v>
      </c>
      <c r="L21" s="1" t="str">
        <f>VLOOKUP(Salesdta[[#This Row],[Store_ID]],Store_Data_1[],3,TRUE)</f>
        <v>North</v>
      </c>
      <c r="M21" s="1">
        <v>4</v>
      </c>
      <c r="N21" s="1">
        <v>514</v>
      </c>
      <c r="O21" s="12">
        <v>0.04</v>
      </c>
      <c r="P21" s="1" t="s">
        <v>1822</v>
      </c>
      <c r="Q21" s="1">
        <v>1782</v>
      </c>
      <c r="R21" s="1">
        <f>Salesdta[[#This Row],[Final Revenue]]-Salesdta[[#This Row],[Product cost]]</f>
        <v>1299</v>
      </c>
      <c r="S21" s="1" t="str">
        <f>IF(Salesdta[[#This Row],[Final Revenue]]&gt;1000,"Selected","Not Selected")</f>
        <v>Selected</v>
      </c>
    </row>
    <row r="22" spans="1:19" x14ac:dyDescent="0.35">
      <c r="A22" s="6" t="s">
        <v>1839</v>
      </c>
      <c r="B22" s="20">
        <v>45843</v>
      </c>
      <c r="C22" s="1" t="str">
        <f>TEXT(Salesdta[[#This Row],[Order_Date]],"mmmm")</f>
        <v>July</v>
      </c>
      <c r="D22" s="1" t="s">
        <v>484</v>
      </c>
      <c r="E22" s="1" t="str">
        <f>VLOOKUP(Salesdta[[#This Row],[Customer_ID]],Customer_Data_[],6,TRUE)</f>
        <v>Female</v>
      </c>
      <c r="F22" s="1" t="str">
        <f>VLOOKUP(Salesdta[[#This Row],[Customer_ID]],Customer_Data_[],8,TRUE)</f>
        <v>Nevada</v>
      </c>
      <c r="G22" s="1" t="s">
        <v>1688</v>
      </c>
      <c r="H22" s="1" t="str">
        <f>VLOOKUP(Salesdta[[#This Row],[Product_ID]],Product_Data_1[],2,TRUE)</f>
        <v>Professional Jump Rope</v>
      </c>
      <c r="I22" s="1" t="str">
        <f>VLOOKUP(Salesdta[[#This Row],[Product_ID]],Product_Data_1[],3,TRUE)</f>
        <v>Sports</v>
      </c>
      <c r="J22" s="1">
        <f>VLOOKUP(Salesdta[[#This Row],[Product_ID]],Product_Data_1[],7,TRUE)</f>
        <v>478</v>
      </c>
      <c r="K22" s="1" t="s">
        <v>1803</v>
      </c>
      <c r="L22" s="1" t="str">
        <f>VLOOKUP(Salesdta[[#This Row],[Store_ID]],Store_Data_1[],3,TRUE)</f>
        <v>North</v>
      </c>
      <c r="M22" s="1">
        <v>3</v>
      </c>
      <c r="N22" s="1">
        <v>986</v>
      </c>
      <c r="O22" s="12">
        <v>0.27</v>
      </c>
      <c r="P22" s="1" t="s">
        <v>1822</v>
      </c>
      <c r="Q22" s="1">
        <v>2159</v>
      </c>
      <c r="R22" s="1">
        <f>Salesdta[[#This Row],[Final Revenue]]-Salesdta[[#This Row],[Product cost]]</f>
        <v>1681</v>
      </c>
      <c r="S22" s="1" t="str">
        <f>IF(Salesdta[[#This Row],[Final Revenue]]&gt;1000,"Selected","Not Selected")</f>
        <v>Selected</v>
      </c>
    </row>
    <row r="23" spans="1:19" x14ac:dyDescent="0.35">
      <c r="A23" s="6" t="s">
        <v>1840</v>
      </c>
      <c r="B23" s="20">
        <v>45447</v>
      </c>
      <c r="C23" s="1" t="str">
        <f>TEXT(Salesdta[[#This Row],[Order_Date]],"mmmm")</f>
        <v>June</v>
      </c>
      <c r="D23" s="1" t="s">
        <v>1231</v>
      </c>
      <c r="E23" s="1" t="str">
        <f>VLOOKUP(Salesdta[[#This Row],[Customer_ID]],Customer_Data_[],6,TRUE)</f>
        <v>Female</v>
      </c>
      <c r="F23" s="1" t="str">
        <f>VLOOKUP(Salesdta[[#This Row],[Customer_ID]],Customer_Data_[],8,TRUE)</f>
        <v>New York</v>
      </c>
      <c r="G23" s="1" t="s">
        <v>1630</v>
      </c>
      <c r="H23" s="1" t="str">
        <f>VLOOKUP(Salesdta[[#This Row],[Product_ID]],Product_Data_1[],2,TRUE)</f>
        <v>USB External Hard Drive</v>
      </c>
      <c r="I23" s="1" t="str">
        <f>VLOOKUP(Salesdta[[#This Row],[Product_ID]],Product_Data_1[],3,TRUE)</f>
        <v>Electronics</v>
      </c>
      <c r="J23" s="1">
        <f>VLOOKUP(Salesdta[[#This Row],[Product_ID]],Product_Data_1[],7,TRUE)</f>
        <v>253</v>
      </c>
      <c r="K23" s="1" t="s">
        <v>1806</v>
      </c>
      <c r="L23" s="1" t="str">
        <f>VLOOKUP(Salesdta[[#This Row],[Store_ID]],Store_Data_1[],3,TRUE)</f>
        <v>North</v>
      </c>
      <c r="M23" s="1">
        <v>1</v>
      </c>
      <c r="N23" s="1">
        <v>590</v>
      </c>
      <c r="O23" s="12">
        <v>0.22</v>
      </c>
      <c r="P23" s="1" t="s">
        <v>1817</v>
      </c>
      <c r="Q23" s="1">
        <v>460</v>
      </c>
      <c r="R23" s="1">
        <f>Salesdta[[#This Row],[Final Revenue]]-Salesdta[[#This Row],[Product cost]]</f>
        <v>207</v>
      </c>
      <c r="S23" s="1" t="str">
        <f>IF(Salesdta[[#This Row],[Final Revenue]]&gt;1000,"Selected","Not Selected")</f>
        <v>Not Selected</v>
      </c>
    </row>
    <row r="24" spans="1:19" x14ac:dyDescent="0.35">
      <c r="A24" s="6" t="s">
        <v>1841</v>
      </c>
      <c r="B24" s="20">
        <v>45394</v>
      </c>
      <c r="C24" s="1" t="str">
        <f>TEXT(Salesdta[[#This Row],[Order_Date]],"mmmm")</f>
        <v>April</v>
      </c>
      <c r="D24" s="1" t="s">
        <v>1462</v>
      </c>
      <c r="E24" s="1" t="str">
        <f>VLOOKUP(Salesdta[[#This Row],[Customer_ID]],Customer_Data_[],6,TRUE)</f>
        <v>Female</v>
      </c>
      <c r="F24" s="1" t="str">
        <f>VLOOKUP(Salesdta[[#This Row],[Customer_ID]],Customer_Data_[],8,TRUE)</f>
        <v>Oklahoma</v>
      </c>
      <c r="G24" s="1" t="s">
        <v>1682</v>
      </c>
      <c r="H24" s="1" t="str">
        <f>VLOOKUP(Salesdta[[#This Row],[Product_ID]],Product_Data_1[],2,TRUE)</f>
        <v>Men's Sports Shorts</v>
      </c>
      <c r="I24" s="1" t="str">
        <f>VLOOKUP(Salesdta[[#This Row],[Product_ID]],Product_Data_1[],3,TRUE)</f>
        <v>Clothing</v>
      </c>
      <c r="J24" s="1">
        <f>VLOOKUP(Salesdta[[#This Row],[Product_ID]],Product_Data_1[],7,TRUE)</f>
        <v>218</v>
      </c>
      <c r="K24" s="1" t="s">
        <v>1785</v>
      </c>
      <c r="L24" s="1" t="str">
        <f>VLOOKUP(Salesdta[[#This Row],[Store_ID]],Store_Data_1[],3,TRUE)</f>
        <v>North</v>
      </c>
      <c r="M24" s="1">
        <v>3</v>
      </c>
      <c r="N24" s="1">
        <v>979</v>
      </c>
      <c r="O24" s="12">
        <v>0.03</v>
      </c>
      <c r="P24" s="1" t="s">
        <v>1819</v>
      </c>
      <c r="Q24" s="1">
        <v>2850</v>
      </c>
      <c r="R24" s="1">
        <f>Salesdta[[#This Row],[Final Revenue]]-Salesdta[[#This Row],[Product cost]]</f>
        <v>2632</v>
      </c>
      <c r="S24" s="1" t="str">
        <f>IF(Salesdta[[#This Row],[Final Revenue]]&gt;1000,"Selected","Not Selected")</f>
        <v>Selected</v>
      </c>
    </row>
    <row r="25" spans="1:19" x14ac:dyDescent="0.35">
      <c r="A25" s="6" t="s">
        <v>1842</v>
      </c>
      <c r="B25" s="20">
        <v>45466</v>
      </c>
      <c r="C25" s="1" t="str">
        <f>TEXT(Salesdta[[#This Row],[Order_Date]],"mmmm")</f>
        <v>June</v>
      </c>
      <c r="D25" s="1" t="s">
        <v>1148</v>
      </c>
      <c r="E25" s="1" t="str">
        <f>VLOOKUP(Salesdta[[#This Row],[Customer_ID]],Customer_Data_[],6,TRUE)</f>
        <v>Female</v>
      </c>
      <c r="F25" s="1" t="str">
        <f>VLOOKUP(Salesdta[[#This Row],[Customer_ID]],Customer_Data_[],8,TRUE)</f>
        <v>New York</v>
      </c>
      <c r="G25" s="1" t="s">
        <v>1568</v>
      </c>
      <c r="H25" s="1" t="str">
        <f>VLOOKUP(Salesdta[[#This Row],[Product_ID]],Product_Data_1[],2,TRUE)</f>
        <v>Hair Strengthening Shampoo</v>
      </c>
      <c r="I25" s="1" t="str">
        <f>VLOOKUP(Salesdta[[#This Row],[Product_ID]],Product_Data_1[],3,TRUE)</f>
        <v>Beauty</v>
      </c>
      <c r="J25" s="1">
        <f>VLOOKUP(Salesdta[[#This Row],[Product_ID]],Product_Data_1[],7,TRUE)</f>
        <v>116</v>
      </c>
      <c r="K25" s="1" t="s">
        <v>1778</v>
      </c>
      <c r="L25" s="1" t="str">
        <f>VLOOKUP(Salesdta[[#This Row],[Store_ID]],Store_Data_1[],3,TRUE)</f>
        <v>West</v>
      </c>
      <c r="M25" s="1">
        <v>1</v>
      </c>
      <c r="N25" s="1">
        <v>719</v>
      </c>
      <c r="O25" s="12">
        <v>0.08</v>
      </c>
      <c r="P25" s="1" t="s">
        <v>1817</v>
      </c>
      <c r="Q25" s="1">
        <v>662</v>
      </c>
      <c r="R25" s="1">
        <f>Salesdta[[#This Row],[Final Revenue]]-Salesdta[[#This Row],[Product cost]]</f>
        <v>546</v>
      </c>
      <c r="S25" s="1" t="str">
        <f>IF(Salesdta[[#This Row],[Final Revenue]]&gt;1000,"Selected","Not Selected")</f>
        <v>Not Selected</v>
      </c>
    </row>
    <row r="26" spans="1:19" x14ac:dyDescent="0.35">
      <c r="A26" s="6" t="s">
        <v>1843</v>
      </c>
      <c r="B26" s="20">
        <v>45908</v>
      </c>
      <c r="C26" s="1" t="str">
        <f>TEXT(Salesdta[[#This Row],[Order_Date]],"mmmm")</f>
        <v>September</v>
      </c>
      <c r="D26" s="1" t="s">
        <v>610</v>
      </c>
      <c r="E26" s="1" t="str">
        <f>VLOOKUP(Salesdta[[#This Row],[Customer_ID]],Customer_Data_[],6,TRUE)</f>
        <v>Male</v>
      </c>
      <c r="F26" s="1" t="str">
        <f>VLOOKUP(Salesdta[[#This Row],[Customer_ID]],Customer_Data_[],8,TRUE)</f>
        <v>Missouri</v>
      </c>
      <c r="G26" s="1" t="s">
        <v>1678</v>
      </c>
      <c r="H26" s="1" t="str">
        <f>VLOOKUP(Salesdta[[#This Row],[Product_ID]],Product_Data_1[],2,TRUE)</f>
        <v>Smart LED Light Strip</v>
      </c>
      <c r="I26" s="1" t="str">
        <f>VLOOKUP(Salesdta[[#This Row],[Product_ID]],Product_Data_1[],3,TRUE)</f>
        <v>Electronics</v>
      </c>
      <c r="J26" s="1">
        <f>VLOOKUP(Salesdta[[#This Row],[Product_ID]],Product_Data_1[],7,TRUE)</f>
        <v>349</v>
      </c>
      <c r="K26" s="1" t="s">
        <v>1772</v>
      </c>
      <c r="L26" s="1" t="str">
        <f>VLOOKUP(Salesdta[[#This Row],[Store_ID]],Store_Data_1[],3,TRUE)</f>
        <v>East</v>
      </c>
      <c r="M26" s="1">
        <v>3</v>
      </c>
      <c r="N26" s="1">
        <v>78</v>
      </c>
      <c r="O26" s="12">
        <v>7.0000000000000007E-2</v>
      </c>
      <c r="P26" s="1" t="s">
        <v>1817</v>
      </c>
      <c r="Q26" s="1">
        <v>217</v>
      </c>
      <c r="R26" s="1">
        <f>Salesdta[[#This Row],[Final Revenue]]-Salesdta[[#This Row],[Product cost]]</f>
        <v>-132</v>
      </c>
      <c r="S26" s="1" t="str">
        <f>IF(Salesdta[[#This Row],[Final Revenue]]&gt;1000,"Selected","Not Selected")</f>
        <v>Not Selected</v>
      </c>
    </row>
    <row r="27" spans="1:19" x14ac:dyDescent="0.35">
      <c r="A27" s="6" t="s">
        <v>1844</v>
      </c>
      <c r="B27" s="20">
        <v>45552</v>
      </c>
      <c r="C27" s="1" t="str">
        <f>TEXT(Salesdta[[#This Row],[Order_Date]],"mmmm")</f>
        <v>September</v>
      </c>
      <c r="D27" s="1" t="s">
        <v>1186</v>
      </c>
      <c r="E27" s="1" t="str">
        <f>VLOOKUP(Salesdta[[#This Row],[Customer_ID]],Customer_Data_[],6,TRUE)</f>
        <v>Male</v>
      </c>
      <c r="F27" s="1" t="str">
        <f>VLOOKUP(Salesdta[[#This Row],[Customer_ID]],Customer_Data_[],8,TRUE)</f>
        <v>Alabama</v>
      </c>
      <c r="G27" s="1" t="s">
        <v>1551</v>
      </c>
      <c r="H27" s="1" t="str">
        <f>VLOOKUP(Salesdta[[#This Row],[Product_ID]],Product_Data_1[],2,TRUE)</f>
        <v>Men's Roll-On Perfume</v>
      </c>
      <c r="I27" s="1" t="str">
        <f>VLOOKUP(Salesdta[[#This Row],[Product_ID]],Product_Data_1[],3,TRUE)</f>
        <v>Beauty</v>
      </c>
      <c r="J27" s="1">
        <f>VLOOKUP(Salesdta[[#This Row],[Product_ID]],Product_Data_1[],7,TRUE)</f>
        <v>43</v>
      </c>
      <c r="K27" s="1" t="s">
        <v>1762</v>
      </c>
      <c r="L27" s="1" t="str">
        <f>VLOOKUP(Salesdta[[#This Row],[Store_ID]],Store_Data_1[],3,TRUE)</f>
        <v>North</v>
      </c>
      <c r="M27" s="1">
        <v>4</v>
      </c>
      <c r="N27" s="1">
        <v>853</v>
      </c>
      <c r="O27" s="12">
        <v>0.14000000000000001</v>
      </c>
      <c r="P27" s="1" t="s">
        <v>1819</v>
      </c>
      <c r="Q27" s="1">
        <v>2933</v>
      </c>
      <c r="R27" s="1">
        <f>Salesdta[[#This Row],[Final Revenue]]-Salesdta[[#This Row],[Product cost]]</f>
        <v>2890</v>
      </c>
      <c r="S27" s="1" t="str">
        <f>IF(Salesdta[[#This Row],[Final Revenue]]&gt;1000,"Selected","Not Selected")</f>
        <v>Selected</v>
      </c>
    </row>
    <row r="28" spans="1:19" x14ac:dyDescent="0.35">
      <c r="A28" s="6" t="s">
        <v>1845</v>
      </c>
      <c r="B28" s="20">
        <v>45294</v>
      </c>
      <c r="C28" s="1" t="str">
        <f>TEXT(Salesdta[[#This Row],[Order_Date]],"mmmm")</f>
        <v>January</v>
      </c>
      <c r="D28" s="1" t="s">
        <v>690</v>
      </c>
      <c r="E28" s="1" t="str">
        <f>VLOOKUP(Salesdta[[#This Row],[Customer_ID]],Customer_Data_[],6,TRUE)</f>
        <v>Female</v>
      </c>
      <c r="F28" s="1" t="str">
        <f>VLOOKUP(Salesdta[[#This Row],[Customer_ID]],Customer_Data_[],8,TRUE)</f>
        <v>North Dakota</v>
      </c>
      <c r="G28" s="1" t="s">
        <v>1740</v>
      </c>
      <c r="H28" s="1" t="str">
        <f>VLOOKUP(Salesdta[[#This Row],[Product_ID]],Product_Data_1[],2,TRUE)</f>
        <v>Portable Bluetooth Speaker</v>
      </c>
      <c r="I28" s="1" t="str">
        <f>VLOOKUP(Salesdta[[#This Row],[Product_ID]],Product_Data_1[],3,TRUE)</f>
        <v>Electronics</v>
      </c>
      <c r="J28" s="1">
        <f>VLOOKUP(Salesdta[[#This Row],[Product_ID]],Product_Data_1[],7,TRUE)</f>
        <v>432</v>
      </c>
      <c r="K28" s="1" t="s">
        <v>1778</v>
      </c>
      <c r="L28" s="1" t="str">
        <f>VLOOKUP(Salesdta[[#This Row],[Store_ID]],Store_Data_1[],3,TRUE)</f>
        <v>West</v>
      </c>
      <c r="M28" s="1">
        <v>4</v>
      </c>
      <c r="N28" s="1">
        <v>156</v>
      </c>
      <c r="O28" s="12">
        <v>0</v>
      </c>
      <c r="P28" s="1" t="s">
        <v>1817</v>
      </c>
      <c r="Q28" s="1">
        <v>600</v>
      </c>
      <c r="R28" s="1">
        <f>Salesdta[[#This Row],[Final Revenue]]-Salesdta[[#This Row],[Product cost]]</f>
        <v>168</v>
      </c>
      <c r="S28" s="1" t="str">
        <f>IF(Salesdta[[#This Row],[Final Revenue]]&gt;1000,"Selected","Not Selected")</f>
        <v>Not Selected</v>
      </c>
    </row>
    <row r="29" spans="1:19" x14ac:dyDescent="0.35">
      <c r="A29" s="6" t="s">
        <v>1846</v>
      </c>
      <c r="B29" s="20">
        <v>45710</v>
      </c>
      <c r="C29" s="1" t="str">
        <f>TEXT(Salesdta[[#This Row],[Order_Date]],"mmmm")</f>
        <v>February</v>
      </c>
      <c r="D29" s="1" t="s">
        <v>651</v>
      </c>
      <c r="E29" s="1" t="str">
        <f>VLOOKUP(Salesdta[[#This Row],[Customer_ID]],Customer_Data_[],6,TRUE)</f>
        <v>Male</v>
      </c>
      <c r="F29" s="1" t="str">
        <f>VLOOKUP(Salesdta[[#This Row],[Customer_ID]],Customer_Data_[],8,TRUE)</f>
        <v>Maine</v>
      </c>
      <c r="G29" s="1" t="s">
        <v>1698</v>
      </c>
      <c r="H29" s="1" t="str">
        <f>VLOOKUP(Salesdta[[#This Row],[Product_ID]],Product_Data_1[],2,TRUE)</f>
        <v>WiFi Mesh Router</v>
      </c>
      <c r="I29" s="1" t="str">
        <f>VLOOKUP(Salesdta[[#This Row],[Product_ID]],Product_Data_1[],3,TRUE)</f>
        <v>Electronics</v>
      </c>
      <c r="J29" s="1">
        <f>VLOOKUP(Salesdta[[#This Row],[Product_ID]],Product_Data_1[],7,TRUE)</f>
        <v>481</v>
      </c>
      <c r="K29" s="1" t="s">
        <v>1778</v>
      </c>
      <c r="L29" s="1" t="str">
        <f>VLOOKUP(Salesdta[[#This Row],[Store_ID]],Store_Data_1[],3,TRUE)</f>
        <v>West</v>
      </c>
      <c r="M29" s="1">
        <v>3</v>
      </c>
      <c r="N29" s="1">
        <v>815</v>
      </c>
      <c r="O29" s="12">
        <v>0.17</v>
      </c>
      <c r="P29" s="1" t="s">
        <v>1817</v>
      </c>
      <c r="Q29" s="1">
        <v>2031</v>
      </c>
      <c r="R29" s="1">
        <f>Salesdta[[#This Row],[Final Revenue]]-Salesdta[[#This Row],[Product cost]]</f>
        <v>1550</v>
      </c>
      <c r="S29" s="1" t="str">
        <f>IF(Salesdta[[#This Row],[Final Revenue]]&gt;1000,"Selected","Not Selected")</f>
        <v>Selected</v>
      </c>
    </row>
    <row r="30" spans="1:19" x14ac:dyDescent="0.35">
      <c r="A30" s="6" t="s">
        <v>1847</v>
      </c>
      <c r="B30" s="20">
        <v>45923</v>
      </c>
      <c r="C30" s="1" t="str">
        <f>TEXT(Salesdta[[#This Row],[Order_Date]],"mmmm")</f>
        <v>September</v>
      </c>
      <c r="D30" s="1" t="s">
        <v>496</v>
      </c>
      <c r="E30" s="1" t="str">
        <f>VLOOKUP(Salesdta[[#This Row],[Customer_ID]],Customer_Data_[],6,TRUE)</f>
        <v>Female</v>
      </c>
      <c r="F30" s="1" t="str">
        <f>VLOOKUP(Salesdta[[#This Row],[Customer_ID]],Customer_Data_[],8,TRUE)</f>
        <v>Wisconsin</v>
      </c>
      <c r="G30" s="1" t="s">
        <v>1570</v>
      </c>
      <c r="H30" s="1" t="str">
        <f>VLOOKUP(Salesdta[[#This Row],[Product_ID]],Product_Data_1[],2,TRUE)</f>
        <v>USB-C Fast Charger</v>
      </c>
      <c r="I30" s="1" t="str">
        <f>VLOOKUP(Salesdta[[#This Row],[Product_ID]],Product_Data_1[],3,TRUE)</f>
        <v>Electronics</v>
      </c>
      <c r="J30" s="1">
        <f>VLOOKUP(Salesdta[[#This Row],[Product_ID]],Product_Data_1[],7,TRUE)</f>
        <v>242</v>
      </c>
      <c r="K30" s="1" t="s">
        <v>1757</v>
      </c>
      <c r="L30" s="1" t="str">
        <f>VLOOKUP(Salesdta[[#This Row],[Store_ID]],Store_Data_1[],3,TRUE)</f>
        <v>South</v>
      </c>
      <c r="M30" s="1">
        <v>2</v>
      </c>
      <c r="N30" s="1">
        <v>74</v>
      </c>
      <c r="O30" s="12">
        <v>0.11</v>
      </c>
      <c r="P30" s="1" t="s">
        <v>1819</v>
      </c>
      <c r="Q30" s="1">
        <v>132</v>
      </c>
      <c r="R30" s="1">
        <f>Salesdta[[#This Row],[Final Revenue]]-Salesdta[[#This Row],[Product cost]]</f>
        <v>-110</v>
      </c>
      <c r="S30" s="1" t="str">
        <f>IF(Salesdta[[#This Row],[Final Revenue]]&gt;1000,"Selected","Not Selected")</f>
        <v>Not Selected</v>
      </c>
    </row>
    <row r="31" spans="1:19" x14ac:dyDescent="0.35">
      <c r="A31" s="6" t="s">
        <v>1848</v>
      </c>
      <c r="B31" s="20">
        <v>45217</v>
      </c>
      <c r="C31" s="1" t="str">
        <f>TEXT(Salesdta[[#This Row],[Order_Date]],"mmmm")</f>
        <v>October</v>
      </c>
      <c r="D31" s="1" t="s">
        <v>116</v>
      </c>
      <c r="E31" s="1" t="str">
        <f>VLOOKUP(Salesdta[[#This Row],[Customer_ID]],Customer_Data_[],6,TRUE)</f>
        <v>Female</v>
      </c>
      <c r="F31" s="1" t="str">
        <f>VLOOKUP(Salesdta[[#This Row],[Customer_ID]],Customer_Data_[],8,TRUE)</f>
        <v>New Jersey</v>
      </c>
      <c r="G31" s="1" t="s">
        <v>1551</v>
      </c>
      <c r="H31" s="1" t="str">
        <f>VLOOKUP(Salesdta[[#This Row],[Product_ID]],Product_Data_1[],2,TRUE)</f>
        <v>Men's Roll-On Perfume</v>
      </c>
      <c r="I31" s="1" t="str">
        <f>VLOOKUP(Salesdta[[#This Row],[Product_ID]],Product_Data_1[],3,TRUE)</f>
        <v>Beauty</v>
      </c>
      <c r="J31" s="1">
        <f>VLOOKUP(Salesdta[[#This Row],[Product_ID]],Product_Data_1[],7,TRUE)</f>
        <v>43</v>
      </c>
      <c r="K31" s="1" t="s">
        <v>1809</v>
      </c>
      <c r="L31" s="1" t="str">
        <f>VLOOKUP(Salesdta[[#This Row],[Store_ID]],Store_Data_1[],3,TRUE)</f>
        <v>North</v>
      </c>
      <c r="M31" s="1">
        <v>1</v>
      </c>
      <c r="N31" s="1">
        <v>429</v>
      </c>
      <c r="O31" s="12">
        <v>0.13</v>
      </c>
      <c r="P31" s="1" t="s">
        <v>1819</v>
      </c>
      <c r="Q31" s="1">
        <v>374</v>
      </c>
      <c r="R31" s="1">
        <f>Salesdta[[#This Row],[Final Revenue]]-Salesdta[[#This Row],[Product cost]]</f>
        <v>331</v>
      </c>
      <c r="S31" s="1" t="str">
        <f>IF(Salesdta[[#This Row],[Final Revenue]]&gt;1000,"Selected","Not Selected")</f>
        <v>Not Selected</v>
      </c>
    </row>
    <row r="32" spans="1:19" x14ac:dyDescent="0.35">
      <c r="A32" s="6" t="s">
        <v>1849</v>
      </c>
      <c r="B32" s="20">
        <v>45593</v>
      </c>
      <c r="C32" s="1" t="str">
        <f>TEXT(Salesdta[[#This Row],[Order_Date]],"mmmm")</f>
        <v>October</v>
      </c>
      <c r="D32" s="1" t="s">
        <v>1277</v>
      </c>
      <c r="E32" s="1" t="str">
        <f>VLOOKUP(Salesdta[[#This Row],[Customer_ID]],Customer_Data_[],6,TRUE)</f>
        <v>Female</v>
      </c>
      <c r="F32" s="1" t="str">
        <f>VLOOKUP(Salesdta[[#This Row],[Customer_ID]],Customer_Data_[],8,TRUE)</f>
        <v>Michigan</v>
      </c>
      <c r="G32" s="1" t="s">
        <v>1650</v>
      </c>
      <c r="H32" s="1" t="str">
        <f>VLOOKUP(Salesdta[[#This Row],[Product_ID]],Product_Data_1[],2,TRUE)</f>
        <v>Men's Track Pants</v>
      </c>
      <c r="I32" s="1" t="str">
        <f>VLOOKUP(Salesdta[[#This Row],[Product_ID]],Product_Data_1[],3,TRUE)</f>
        <v>Clothing</v>
      </c>
      <c r="J32" s="1">
        <f>VLOOKUP(Salesdta[[#This Row],[Product_ID]],Product_Data_1[],7,TRUE)</f>
        <v>387</v>
      </c>
      <c r="K32" s="1" t="s">
        <v>1790</v>
      </c>
      <c r="L32" s="1" t="str">
        <f>VLOOKUP(Salesdta[[#This Row],[Store_ID]],Store_Data_1[],3,TRUE)</f>
        <v>North</v>
      </c>
      <c r="M32" s="1">
        <v>2</v>
      </c>
      <c r="N32" s="1">
        <v>149</v>
      </c>
      <c r="O32" s="12">
        <v>0.03</v>
      </c>
      <c r="P32" s="1" t="s">
        <v>1822</v>
      </c>
      <c r="Q32" s="1">
        <v>289</v>
      </c>
      <c r="R32" s="1">
        <f>Salesdta[[#This Row],[Final Revenue]]-Salesdta[[#This Row],[Product cost]]</f>
        <v>-98</v>
      </c>
      <c r="S32" s="1" t="str">
        <f>IF(Salesdta[[#This Row],[Final Revenue]]&gt;1000,"Selected","Not Selected")</f>
        <v>Not Selected</v>
      </c>
    </row>
    <row r="33" spans="1:19" x14ac:dyDescent="0.35">
      <c r="A33" s="6" t="s">
        <v>1850</v>
      </c>
      <c r="B33" s="20">
        <v>45597</v>
      </c>
      <c r="C33" s="1" t="str">
        <f>TEXT(Salesdta[[#This Row],[Order_Date]],"mmmm")</f>
        <v>November</v>
      </c>
      <c r="D33" s="1" t="s">
        <v>1236</v>
      </c>
      <c r="E33" s="1" t="str">
        <f>VLOOKUP(Salesdta[[#This Row],[Customer_ID]],Customer_Data_[],6,TRUE)</f>
        <v>Male</v>
      </c>
      <c r="F33" s="1" t="str">
        <f>VLOOKUP(Salesdta[[#This Row],[Customer_ID]],Customer_Data_[],8,TRUE)</f>
        <v>New Hampshire</v>
      </c>
      <c r="G33" s="1" t="s">
        <v>1694</v>
      </c>
      <c r="H33" s="1" t="str">
        <f>VLOOKUP(Salesdta[[#This Row],[Product_ID]],Product_Data_1[],2,TRUE)</f>
        <v>Women's Ankle Boots</v>
      </c>
      <c r="I33" s="1" t="str">
        <f>VLOOKUP(Salesdta[[#This Row],[Product_ID]],Product_Data_1[],3,TRUE)</f>
        <v>Clothing</v>
      </c>
      <c r="J33" s="1">
        <f>VLOOKUP(Salesdta[[#This Row],[Product_ID]],Product_Data_1[],7,TRUE)</f>
        <v>158</v>
      </c>
      <c r="K33" s="1" t="s">
        <v>1778</v>
      </c>
      <c r="L33" s="1" t="str">
        <f>VLOOKUP(Salesdta[[#This Row],[Store_ID]],Store_Data_1[],3,TRUE)</f>
        <v>West</v>
      </c>
      <c r="M33" s="1">
        <v>4</v>
      </c>
      <c r="N33" s="1">
        <v>314</v>
      </c>
      <c r="O33" s="12">
        <v>0.08</v>
      </c>
      <c r="P33" s="1" t="s">
        <v>1817</v>
      </c>
      <c r="Q33" s="1">
        <v>1155</v>
      </c>
      <c r="R33" s="1">
        <f>Salesdta[[#This Row],[Final Revenue]]-Salesdta[[#This Row],[Product cost]]</f>
        <v>997</v>
      </c>
      <c r="S33" s="1" t="str">
        <f>IF(Salesdta[[#This Row],[Final Revenue]]&gt;1000,"Selected","Not Selected")</f>
        <v>Selected</v>
      </c>
    </row>
    <row r="34" spans="1:19" x14ac:dyDescent="0.35">
      <c r="A34" s="6" t="s">
        <v>1851</v>
      </c>
      <c r="B34" s="20">
        <v>45620</v>
      </c>
      <c r="C34" s="1" t="str">
        <f>TEXT(Salesdta[[#This Row],[Order_Date]],"mmmm")</f>
        <v>November</v>
      </c>
      <c r="D34" s="1" t="s">
        <v>1396</v>
      </c>
      <c r="E34" s="1" t="str">
        <f>VLOOKUP(Salesdta[[#This Row],[Customer_ID]],Customer_Data_[],6,TRUE)</f>
        <v>Female</v>
      </c>
      <c r="F34" s="1" t="str">
        <f>VLOOKUP(Salesdta[[#This Row],[Customer_ID]],Customer_Data_[],8,TRUE)</f>
        <v>Hawaii</v>
      </c>
      <c r="G34" s="1" t="s">
        <v>1568</v>
      </c>
      <c r="H34" s="1" t="str">
        <f>VLOOKUP(Salesdta[[#This Row],[Product_ID]],Product_Data_1[],2,TRUE)</f>
        <v>Hair Strengthening Shampoo</v>
      </c>
      <c r="I34" s="1" t="str">
        <f>VLOOKUP(Salesdta[[#This Row],[Product_ID]],Product_Data_1[],3,TRUE)</f>
        <v>Beauty</v>
      </c>
      <c r="J34" s="1">
        <f>VLOOKUP(Salesdta[[#This Row],[Product_ID]],Product_Data_1[],7,TRUE)</f>
        <v>116</v>
      </c>
      <c r="K34" s="1" t="s">
        <v>1772</v>
      </c>
      <c r="L34" s="1" t="str">
        <f>VLOOKUP(Salesdta[[#This Row],[Store_ID]],Store_Data_1[],3,TRUE)</f>
        <v>East</v>
      </c>
      <c r="M34" s="1">
        <v>2</v>
      </c>
      <c r="N34" s="1">
        <v>717</v>
      </c>
      <c r="O34" s="12">
        <v>0.15</v>
      </c>
      <c r="P34" s="1" t="s">
        <v>1817</v>
      </c>
      <c r="Q34" s="1">
        <v>1219</v>
      </c>
      <c r="R34" s="1">
        <f>Salesdta[[#This Row],[Final Revenue]]-Salesdta[[#This Row],[Product cost]]</f>
        <v>1103</v>
      </c>
      <c r="S34" s="1" t="str">
        <f>IF(Salesdta[[#This Row],[Final Revenue]]&gt;1000,"Selected","Not Selected")</f>
        <v>Selected</v>
      </c>
    </row>
    <row r="35" spans="1:19" x14ac:dyDescent="0.35">
      <c r="A35" s="6" t="s">
        <v>1852</v>
      </c>
      <c r="B35" s="20">
        <v>45215</v>
      </c>
      <c r="C35" s="1" t="str">
        <f>TEXT(Salesdta[[#This Row],[Order_Date]],"mmmm")</f>
        <v>October</v>
      </c>
      <c r="D35" s="1" t="s">
        <v>1077</v>
      </c>
      <c r="E35" s="1" t="str">
        <f>VLOOKUP(Salesdta[[#This Row],[Customer_ID]],Customer_Data_[],6,TRUE)</f>
        <v>Male</v>
      </c>
      <c r="F35" s="1" t="str">
        <f>VLOOKUP(Salesdta[[#This Row],[Customer_ID]],Customer_Data_[],8,TRUE)</f>
        <v>New Mexico</v>
      </c>
      <c r="G35" s="1" t="s">
        <v>1702</v>
      </c>
      <c r="H35" s="1" t="str">
        <f>VLOOKUP(Salesdta[[#This Row],[Product_ID]],Product_Data_1[],2,TRUE)</f>
        <v>Decorative Lamp Shade</v>
      </c>
      <c r="I35" s="1" t="str">
        <f>VLOOKUP(Salesdta[[#This Row],[Product_ID]],Product_Data_1[],3,TRUE)</f>
        <v>Home</v>
      </c>
      <c r="J35" s="1">
        <f>VLOOKUP(Salesdta[[#This Row],[Product_ID]],Product_Data_1[],7,TRUE)</f>
        <v>229</v>
      </c>
      <c r="K35" s="1" t="s">
        <v>1753</v>
      </c>
      <c r="L35" s="1" t="str">
        <f>VLOOKUP(Salesdta[[#This Row],[Store_ID]],Store_Data_1[],3,TRUE)</f>
        <v>North</v>
      </c>
      <c r="M35" s="1">
        <v>2</v>
      </c>
      <c r="N35" s="1">
        <v>873</v>
      </c>
      <c r="O35" s="12">
        <v>0.18</v>
      </c>
      <c r="P35" s="1" t="s">
        <v>1817</v>
      </c>
      <c r="Q35" s="1">
        <v>2148</v>
      </c>
      <c r="R35" s="1">
        <f>Salesdta[[#This Row],[Final Revenue]]-Salesdta[[#This Row],[Product cost]]</f>
        <v>1919</v>
      </c>
      <c r="S35" s="1" t="str">
        <f>IF(Salesdta[[#This Row],[Final Revenue]]&gt;1000,"Selected","Not Selected")</f>
        <v>Selected</v>
      </c>
    </row>
    <row r="36" spans="1:19" x14ac:dyDescent="0.35">
      <c r="A36" s="6" t="s">
        <v>1853</v>
      </c>
      <c r="B36" s="20">
        <v>45878</v>
      </c>
      <c r="C36" s="1" t="str">
        <f>TEXT(Salesdta[[#This Row],[Order_Date]],"mmmm")</f>
        <v>August</v>
      </c>
      <c r="D36" s="1" t="s">
        <v>705</v>
      </c>
      <c r="E36" s="1" t="str">
        <f>VLOOKUP(Salesdta[[#This Row],[Customer_ID]],Customer_Data_[],6,TRUE)</f>
        <v>Male</v>
      </c>
      <c r="F36" s="1" t="str">
        <f>VLOOKUP(Salesdta[[#This Row],[Customer_ID]],Customer_Data_[],8,TRUE)</f>
        <v>California</v>
      </c>
      <c r="G36" s="1" t="s">
        <v>1576</v>
      </c>
      <c r="H36" s="1" t="str">
        <f>VLOOKUP(Salesdta[[#This Row],[Product_ID]],Product_Data_1[],2,TRUE)</f>
        <v>Beard Grooming Kit</v>
      </c>
      <c r="I36" s="1" t="str">
        <f>VLOOKUP(Salesdta[[#This Row],[Product_ID]],Product_Data_1[],3,TRUE)</f>
        <v>Beauty</v>
      </c>
      <c r="J36" s="1">
        <f>VLOOKUP(Salesdta[[#This Row],[Product_ID]],Product_Data_1[],7,TRUE)</f>
        <v>337</v>
      </c>
      <c r="K36" s="1" t="s">
        <v>1762</v>
      </c>
      <c r="L36" s="1" t="str">
        <f>VLOOKUP(Salesdta[[#This Row],[Store_ID]],Store_Data_1[],3,TRUE)</f>
        <v>North</v>
      </c>
      <c r="M36" s="1">
        <v>4</v>
      </c>
      <c r="N36" s="1">
        <v>109</v>
      </c>
      <c r="O36" s="12">
        <v>0.19</v>
      </c>
      <c r="P36" s="1" t="s">
        <v>1822</v>
      </c>
      <c r="Q36" s="1">
        <v>354</v>
      </c>
      <c r="R36" s="1">
        <f>Salesdta[[#This Row],[Final Revenue]]-Salesdta[[#This Row],[Product cost]]</f>
        <v>17</v>
      </c>
      <c r="S36" s="1" t="str">
        <f>IF(Salesdta[[#This Row],[Final Revenue]]&gt;1000,"Selected","Not Selected")</f>
        <v>Not Selected</v>
      </c>
    </row>
    <row r="37" spans="1:19" x14ac:dyDescent="0.35">
      <c r="A37" s="6" t="s">
        <v>1854</v>
      </c>
      <c r="B37" s="20">
        <v>45635</v>
      </c>
      <c r="C37" s="1" t="str">
        <f>TEXT(Salesdta[[#This Row],[Order_Date]],"mmmm")</f>
        <v>December</v>
      </c>
      <c r="D37" s="1" t="s">
        <v>307</v>
      </c>
      <c r="E37" s="1" t="str">
        <f>VLOOKUP(Salesdta[[#This Row],[Customer_ID]],Customer_Data_[],6,TRUE)</f>
        <v>Female</v>
      </c>
      <c r="F37" s="1" t="str">
        <f>VLOOKUP(Salesdta[[#This Row],[Customer_ID]],Customer_Data_[],8,TRUE)</f>
        <v>Mississippi</v>
      </c>
      <c r="G37" s="1" t="s">
        <v>1551</v>
      </c>
      <c r="H37" s="1" t="str">
        <f>VLOOKUP(Salesdta[[#This Row],[Product_ID]],Product_Data_1[],2,TRUE)</f>
        <v>Men's Roll-On Perfume</v>
      </c>
      <c r="I37" s="1" t="str">
        <f>VLOOKUP(Salesdta[[#This Row],[Product_ID]],Product_Data_1[],3,TRUE)</f>
        <v>Beauty</v>
      </c>
      <c r="J37" s="1">
        <f>VLOOKUP(Salesdta[[#This Row],[Product_ID]],Product_Data_1[],7,TRUE)</f>
        <v>43</v>
      </c>
      <c r="K37" s="1" t="s">
        <v>1775</v>
      </c>
      <c r="L37" s="1" t="str">
        <f>VLOOKUP(Salesdta[[#This Row],[Store_ID]],Store_Data_1[],3,TRUE)</f>
        <v>South</v>
      </c>
      <c r="M37" s="1">
        <v>3</v>
      </c>
      <c r="N37" s="1">
        <v>560</v>
      </c>
      <c r="O37" s="12">
        <v>0.16</v>
      </c>
      <c r="P37" s="1" t="s">
        <v>1819</v>
      </c>
      <c r="Q37" s="1">
        <v>1410</v>
      </c>
      <c r="R37" s="1">
        <f>Salesdta[[#This Row],[Final Revenue]]-Salesdta[[#This Row],[Product cost]]</f>
        <v>1367</v>
      </c>
      <c r="S37" s="1" t="str">
        <f>IF(Salesdta[[#This Row],[Final Revenue]]&gt;1000,"Selected","Not Selected")</f>
        <v>Selected</v>
      </c>
    </row>
    <row r="38" spans="1:19" x14ac:dyDescent="0.35">
      <c r="A38" s="6" t="s">
        <v>1855</v>
      </c>
      <c r="B38" s="20">
        <v>45329</v>
      </c>
      <c r="C38" s="1" t="str">
        <f>TEXT(Salesdta[[#This Row],[Order_Date]],"mmmm")</f>
        <v>February</v>
      </c>
      <c r="D38" s="1" t="s">
        <v>1509</v>
      </c>
      <c r="E38" s="1" t="str">
        <f>VLOOKUP(Salesdta[[#This Row],[Customer_ID]],Customer_Data_[],6,TRUE)</f>
        <v>Female</v>
      </c>
      <c r="F38" s="1" t="str">
        <f>VLOOKUP(Salesdta[[#This Row],[Customer_ID]],Customer_Data_[],8,TRUE)</f>
        <v>Florida</v>
      </c>
      <c r="G38" s="1" t="s">
        <v>1564</v>
      </c>
      <c r="H38" s="1" t="str">
        <f>VLOOKUP(Salesdta[[#This Row],[Product_ID]],Product_Data_1[],2,TRUE)</f>
        <v>Men's Graphic T-Shirt</v>
      </c>
      <c r="I38" s="1" t="str">
        <f>VLOOKUP(Salesdta[[#This Row],[Product_ID]],Product_Data_1[],3,TRUE)</f>
        <v>Clothing</v>
      </c>
      <c r="J38" s="1">
        <f>VLOOKUP(Salesdta[[#This Row],[Product_ID]],Product_Data_1[],7,TRUE)</f>
        <v>343</v>
      </c>
      <c r="K38" s="1" t="s">
        <v>1803</v>
      </c>
      <c r="L38" s="1" t="str">
        <f>VLOOKUP(Salesdta[[#This Row],[Store_ID]],Store_Data_1[],3,TRUE)</f>
        <v>North</v>
      </c>
      <c r="M38" s="1">
        <v>3</v>
      </c>
      <c r="N38" s="1">
        <v>122</v>
      </c>
      <c r="O38" s="12">
        <v>0.27</v>
      </c>
      <c r="P38" s="1" t="s">
        <v>1819</v>
      </c>
      <c r="Q38" s="1">
        <v>267</v>
      </c>
      <c r="R38" s="1">
        <f>Salesdta[[#This Row],[Final Revenue]]-Salesdta[[#This Row],[Product cost]]</f>
        <v>-76</v>
      </c>
      <c r="S38" s="1" t="str">
        <f>IF(Salesdta[[#This Row],[Final Revenue]]&gt;1000,"Selected","Not Selected")</f>
        <v>Not Selected</v>
      </c>
    </row>
    <row r="39" spans="1:19" x14ac:dyDescent="0.35">
      <c r="A39" s="6" t="s">
        <v>1856</v>
      </c>
      <c r="B39" s="20">
        <v>45378</v>
      </c>
      <c r="C39" s="1" t="str">
        <f>TEXT(Salesdta[[#This Row],[Order_Date]],"mmmm")</f>
        <v>March</v>
      </c>
      <c r="D39" s="1" t="s">
        <v>619</v>
      </c>
      <c r="E39" s="1" t="str">
        <f>VLOOKUP(Salesdta[[#This Row],[Customer_ID]],Customer_Data_[],6,TRUE)</f>
        <v>Male</v>
      </c>
      <c r="F39" s="1" t="str">
        <f>VLOOKUP(Salesdta[[#This Row],[Customer_ID]],Customer_Data_[],8,TRUE)</f>
        <v>Kentucky</v>
      </c>
      <c r="G39" s="1" t="s">
        <v>1610</v>
      </c>
      <c r="H39" s="1" t="str">
        <f>VLOOKUP(Salesdta[[#This Row],[Product_ID]],Product_Data_1[],2,TRUE)</f>
        <v>Modern Wall Clock</v>
      </c>
      <c r="I39" s="1" t="str">
        <f>VLOOKUP(Salesdta[[#This Row],[Product_ID]],Product_Data_1[],3,TRUE)</f>
        <v>Home</v>
      </c>
      <c r="J39" s="1">
        <f>VLOOKUP(Salesdta[[#This Row],[Product_ID]],Product_Data_1[],7,TRUE)</f>
        <v>180</v>
      </c>
      <c r="K39" s="1" t="s">
        <v>1793</v>
      </c>
      <c r="L39" s="1" t="str">
        <f>VLOOKUP(Salesdta[[#This Row],[Store_ID]],Store_Data_1[],3,TRUE)</f>
        <v>North</v>
      </c>
      <c r="M39" s="1">
        <v>4</v>
      </c>
      <c r="N39" s="1">
        <v>735</v>
      </c>
      <c r="O39" s="12">
        <v>0.06</v>
      </c>
      <c r="P39" s="1" t="s">
        <v>1822</v>
      </c>
      <c r="Q39" s="1">
        <v>2765</v>
      </c>
      <c r="R39" s="1">
        <f>Salesdta[[#This Row],[Final Revenue]]-Salesdta[[#This Row],[Product cost]]</f>
        <v>2585</v>
      </c>
      <c r="S39" s="1" t="str">
        <f>IF(Salesdta[[#This Row],[Final Revenue]]&gt;1000,"Selected","Not Selected")</f>
        <v>Selected</v>
      </c>
    </row>
    <row r="40" spans="1:19" x14ac:dyDescent="0.35">
      <c r="A40" s="6" t="s">
        <v>1857</v>
      </c>
      <c r="B40" s="20">
        <v>45264</v>
      </c>
      <c r="C40" s="1" t="str">
        <f>TEXT(Salesdta[[#This Row],[Order_Date]],"mmmm")</f>
        <v>December</v>
      </c>
      <c r="D40" s="1" t="s">
        <v>1333</v>
      </c>
      <c r="E40" s="1" t="str">
        <f>VLOOKUP(Salesdta[[#This Row],[Customer_ID]],Customer_Data_[],6,TRUE)</f>
        <v>Male</v>
      </c>
      <c r="F40" s="1" t="str">
        <f>VLOOKUP(Salesdta[[#This Row],[Customer_ID]],Customer_Data_[],8,TRUE)</f>
        <v>California</v>
      </c>
      <c r="G40" s="1" t="s">
        <v>1732</v>
      </c>
      <c r="H40" s="1" t="str">
        <f>VLOOKUP(Salesdta[[#This Row],[Product_ID]],Product_Data_1[],2,TRUE)</f>
        <v>Vitamin E Body Lotion</v>
      </c>
      <c r="I40" s="1" t="str">
        <f>VLOOKUP(Salesdta[[#This Row],[Product_ID]],Product_Data_1[],3,TRUE)</f>
        <v>Beauty</v>
      </c>
      <c r="J40" s="1">
        <f>VLOOKUP(Salesdta[[#This Row],[Product_ID]],Product_Data_1[],7,TRUE)</f>
        <v>358</v>
      </c>
      <c r="K40" s="1" t="s">
        <v>1762</v>
      </c>
      <c r="L40" s="1" t="str">
        <f>VLOOKUP(Salesdta[[#This Row],[Store_ID]],Store_Data_1[],3,TRUE)</f>
        <v>North</v>
      </c>
      <c r="M40" s="1">
        <v>2</v>
      </c>
      <c r="N40" s="1">
        <v>601</v>
      </c>
      <c r="O40" s="12">
        <v>0.08</v>
      </c>
      <c r="P40" s="1" t="s">
        <v>1817</v>
      </c>
      <c r="Q40" s="1">
        <v>1105</v>
      </c>
      <c r="R40" s="1">
        <f>Salesdta[[#This Row],[Final Revenue]]-Salesdta[[#This Row],[Product cost]]</f>
        <v>747</v>
      </c>
      <c r="S40" s="1" t="str">
        <f>IF(Salesdta[[#This Row],[Final Revenue]]&gt;1000,"Selected","Not Selected")</f>
        <v>Selected</v>
      </c>
    </row>
    <row r="41" spans="1:19" x14ac:dyDescent="0.35">
      <c r="A41" s="6" t="s">
        <v>1858</v>
      </c>
      <c r="B41" s="20">
        <v>45486</v>
      </c>
      <c r="C41" s="1" t="str">
        <f>TEXT(Salesdta[[#This Row],[Order_Date]],"mmmm")</f>
        <v>July</v>
      </c>
      <c r="D41" s="1" t="s">
        <v>261</v>
      </c>
      <c r="E41" s="1" t="str">
        <f>VLOOKUP(Salesdta[[#This Row],[Customer_ID]],Customer_Data_[],6,TRUE)</f>
        <v>Female</v>
      </c>
      <c r="F41" s="1" t="str">
        <f>VLOOKUP(Salesdta[[#This Row],[Customer_ID]],Customer_Data_[],8,TRUE)</f>
        <v>Iowa</v>
      </c>
      <c r="G41" s="1" t="s">
        <v>1596</v>
      </c>
      <c r="H41" s="1" t="str">
        <f>VLOOKUP(Salesdta[[#This Row],[Product_ID]],Product_Data_1[],2,TRUE)</f>
        <v>Wireless Bluetooth Speaker</v>
      </c>
      <c r="I41" s="1" t="str">
        <f>VLOOKUP(Salesdta[[#This Row],[Product_ID]],Product_Data_1[],3,TRUE)</f>
        <v>Electronics</v>
      </c>
      <c r="J41" s="1">
        <f>VLOOKUP(Salesdta[[#This Row],[Product_ID]],Product_Data_1[],7,TRUE)</f>
        <v>322</v>
      </c>
      <c r="K41" s="1" t="s">
        <v>1809</v>
      </c>
      <c r="L41" s="1" t="str">
        <f>VLOOKUP(Salesdta[[#This Row],[Store_ID]],Store_Data_1[],3,TRUE)</f>
        <v>North</v>
      </c>
      <c r="M41" s="1">
        <v>2</v>
      </c>
      <c r="N41" s="1">
        <v>874</v>
      </c>
      <c r="O41" s="12">
        <v>7.0000000000000007E-2</v>
      </c>
      <c r="P41" s="1" t="s">
        <v>1822</v>
      </c>
      <c r="Q41" s="1">
        <v>1625</v>
      </c>
      <c r="R41" s="1">
        <f>Salesdta[[#This Row],[Final Revenue]]-Salesdta[[#This Row],[Product cost]]</f>
        <v>1303</v>
      </c>
      <c r="S41" s="1" t="str">
        <f>IF(Salesdta[[#This Row],[Final Revenue]]&gt;1000,"Selected","Not Selected")</f>
        <v>Selected</v>
      </c>
    </row>
    <row r="42" spans="1:19" x14ac:dyDescent="0.35">
      <c r="A42" s="6" t="s">
        <v>1859</v>
      </c>
      <c r="B42" s="20">
        <v>45241</v>
      </c>
      <c r="C42" s="1" t="str">
        <f>TEXT(Salesdta[[#This Row],[Order_Date]],"mmmm")</f>
        <v>November</v>
      </c>
      <c r="D42" s="1" t="s">
        <v>951</v>
      </c>
      <c r="E42" s="1" t="str">
        <f>VLOOKUP(Salesdta[[#This Row],[Customer_ID]],Customer_Data_[],6,TRUE)</f>
        <v>Male</v>
      </c>
      <c r="F42" s="1" t="str">
        <f>VLOOKUP(Salesdta[[#This Row],[Customer_ID]],Customer_Data_[],8,TRUE)</f>
        <v>Arizona</v>
      </c>
      <c r="G42" s="1" t="s">
        <v>1590</v>
      </c>
      <c r="H42" s="1" t="str">
        <f>VLOOKUP(Salesdta[[#This Row],[Product_ID]],Product_Data_1[],2,TRUE)</f>
        <v>Men's Formal Shirt</v>
      </c>
      <c r="I42" s="1" t="str">
        <f>VLOOKUP(Salesdta[[#This Row],[Product_ID]],Product_Data_1[],3,TRUE)</f>
        <v>Clothing</v>
      </c>
      <c r="J42" s="1">
        <f>VLOOKUP(Salesdta[[#This Row],[Product_ID]],Product_Data_1[],7,TRUE)</f>
        <v>254</v>
      </c>
      <c r="K42" s="1" t="s">
        <v>1778</v>
      </c>
      <c r="L42" s="1" t="str">
        <f>VLOOKUP(Salesdta[[#This Row],[Store_ID]],Store_Data_1[],3,TRUE)</f>
        <v>West</v>
      </c>
      <c r="M42" s="1">
        <v>3</v>
      </c>
      <c r="N42" s="1">
        <v>342</v>
      </c>
      <c r="O42" s="12">
        <v>0.08</v>
      </c>
      <c r="P42" s="1" t="s">
        <v>1819</v>
      </c>
      <c r="Q42" s="1">
        <v>945</v>
      </c>
      <c r="R42" s="1">
        <f>Salesdta[[#This Row],[Final Revenue]]-Salesdta[[#This Row],[Product cost]]</f>
        <v>691</v>
      </c>
      <c r="S42" s="1" t="str">
        <f>IF(Salesdta[[#This Row],[Final Revenue]]&gt;1000,"Selected","Not Selected")</f>
        <v>Not Selected</v>
      </c>
    </row>
    <row r="43" spans="1:19" x14ac:dyDescent="0.35">
      <c r="A43" s="6" t="s">
        <v>1860</v>
      </c>
      <c r="B43" s="20">
        <v>45649</v>
      </c>
      <c r="C43" s="1" t="str">
        <f>TEXT(Salesdta[[#This Row],[Order_Date]],"mmmm")</f>
        <v>December</v>
      </c>
      <c r="D43" s="1" t="s">
        <v>1050</v>
      </c>
      <c r="E43" s="1" t="str">
        <f>VLOOKUP(Salesdta[[#This Row],[Customer_ID]],Customer_Data_[],6,TRUE)</f>
        <v>Male</v>
      </c>
      <c r="F43" s="1" t="str">
        <f>VLOOKUP(Salesdta[[#This Row],[Customer_ID]],Customer_Data_[],8,TRUE)</f>
        <v>North Carolina</v>
      </c>
      <c r="G43" s="1" t="s">
        <v>1602</v>
      </c>
      <c r="H43" s="1" t="str">
        <f>VLOOKUP(Salesdta[[#This Row],[Product_ID]],Product_Data_1[],2,TRUE)</f>
        <v>Fabric Sofa Throw Blanket</v>
      </c>
      <c r="I43" s="1" t="str">
        <f>VLOOKUP(Salesdta[[#This Row],[Product_ID]],Product_Data_1[],3,TRUE)</f>
        <v>Home</v>
      </c>
      <c r="J43" s="1">
        <f>VLOOKUP(Salesdta[[#This Row],[Product_ID]],Product_Data_1[],7,TRUE)</f>
        <v>218</v>
      </c>
      <c r="K43" s="1" t="s">
        <v>1782</v>
      </c>
      <c r="L43" s="1" t="str">
        <f>VLOOKUP(Salesdta[[#This Row],[Store_ID]],Store_Data_1[],3,TRUE)</f>
        <v>South</v>
      </c>
      <c r="M43" s="1">
        <v>2</v>
      </c>
      <c r="N43" s="1">
        <v>915</v>
      </c>
      <c r="O43" s="12">
        <v>0.16</v>
      </c>
      <c r="P43" s="1" t="s">
        <v>1819</v>
      </c>
      <c r="Q43" s="1">
        <v>1537</v>
      </c>
      <c r="R43" s="1">
        <f>Salesdta[[#This Row],[Final Revenue]]-Salesdta[[#This Row],[Product cost]]</f>
        <v>1319</v>
      </c>
      <c r="S43" s="1" t="str">
        <f>IF(Salesdta[[#This Row],[Final Revenue]]&gt;1000,"Selected","Not Selected")</f>
        <v>Selected</v>
      </c>
    </row>
    <row r="44" spans="1:19" x14ac:dyDescent="0.35">
      <c r="A44" s="6" t="s">
        <v>1861</v>
      </c>
      <c r="B44" s="20">
        <v>45677</v>
      </c>
      <c r="C44" s="1" t="str">
        <f>TEXT(Salesdta[[#This Row],[Order_Date]],"mmmm")</f>
        <v>January</v>
      </c>
      <c r="D44" s="1" t="s">
        <v>301</v>
      </c>
      <c r="E44" s="1" t="str">
        <f>VLOOKUP(Salesdta[[#This Row],[Customer_ID]],Customer_Data_[],6,TRUE)</f>
        <v>Female</v>
      </c>
      <c r="F44" s="1" t="str">
        <f>VLOOKUP(Salesdta[[#This Row],[Customer_ID]],Customer_Data_[],8,TRUE)</f>
        <v>Indiana</v>
      </c>
      <c r="G44" s="1" t="s">
        <v>1610</v>
      </c>
      <c r="H44" s="1" t="str">
        <f>VLOOKUP(Salesdta[[#This Row],[Product_ID]],Product_Data_1[],2,TRUE)</f>
        <v>Modern Wall Clock</v>
      </c>
      <c r="I44" s="1" t="str">
        <f>VLOOKUP(Salesdta[[#This Row],[Product_ID]],Product_Data_1[],3,TRUE)</f>
        <v>Home</v>
      </c>
      <c r="J44" s="1">
        <f>VLOOKUP(Salesdta[[#This Row],[Product_ID]],Product_Data_1[],7,TRUE)</f>
        <v>180</v>
      </c>
      <c r="K44" s="1" t="s">
        <v>1803</v>
      </c>
      <c r="L44" s="1" t="str">
        <f>VLOOKUP(Salesdta[[#This Row],[Store_ID]],Store_Data_1[],3,TRUE)</f>
        <v>North</v>
      </c>
      <c r="M44" s="1">
        <v>2</v>
      </c>
      <c r="N44" s="1">
        <v>863</v>
      </c>
      <c r="O44" s="12">
        <v>0.28000000000000003</v>
      </c>
      <c r="P44" s="1" t="s">
        <v>1819</v>
      </c>
      <c r="Q44" s="1">
        <v>1864</v>
      </c>
      <c r="R44" s="1">
        <f>Salesdta[[#This Row],[Final Revenue]]-Salesdta[[#This Row],[Product cost]]</f>
        <v>1684</v>
      </c>
      <c r="S44" s="1" t="str">
        <f>IF(Salesdta[[#This Row],[Final Revenue]]&gt;1000,"Selected","Not Selected")</f>
        <v>Selected</v>
      </c>
    </row>
    <row r="45" spans="1:19" x14ac:dyDescent="0.35">
      <c r="A45" s="6" t="s">
        <v>1862</v>
      </c>
      <c r="B45" s="20">
        <v>45538</v>
      </c>
      <c r="C45" s="1" t="str">
        <f>TEXT(Salesdta[[#This Row],[Order_Date]],"mmmm")</f>
        <v>September</v>
      </c>
      <c r="D45" s="1" t="s">
        <v>660</v>
      </c>
      <c r="E45" s="1" t="str">
        <f>VLOOKUP(Salesdta[[#This Row],[Customer_ID]],Customer_Data_[],6,TRUE)</f>
        <v>Male</v>
      </c>
      <c r="F45" s="1" t="str">
        <f>VLOOKUP(Salesdta[[#This Row],[Customer_ID]],Customer_Data_[],8,TRUE)</f>
        <v>Iowa</v>
      </c>
      <c r="G45" s="1" t="s">
        <v>1630</v>
      </c>
      <c r="H45" s="1" t="str">
        <f>VLOOKUP(Salesdta[[#This Row],[Product_ID]],Product_Data_1[],2,TRUE)</f>
        <v>USB External Hard Drive</v>
      </c>
      <c r="I45" s="1" t="str">
        <f>VLOOKUP(Salesdta[[#This Row],[Product_ID]],Product_Data_1[],3,TRUE)</f>
        <v>Electronics</v>
      </c>
      <c r="J45" s="1">
        <f>VLOOKUP(Salesdta[[#This Row],[Product_ID]],Product_Data_1[],7,TRUE)</f>
        <v>253</v>
      </c>
      <c r="K45" s="1" t="s">
        <v>1790</v>
      </c>
      <c r="L45" s="1" t="str">
        <f>VLOOKUP(Salesdta[[#This Row],[Store_ID]],Store_Data_1[],3,TRUE)</f>
        <v>North</v>
      </c>
      <c r="M45" s="1">
        <v>2</v>
      </c>
      <c r="N45" s="1">
        <v>209</v>
      </c>
      <c r="O45" s="12">
        <v>0.23</v>
      </c>
      <c r="P45" s="1" t="s">
        <v>1822</v>
      </c>
      <c r="Q45" s="1">
        <v>322</v>
      </c>
      <c r="R45" s="1">
        <f>Salesdta[[#This Row],[Final Revenue]]-Salesdta[[#This Row],[Product cost]]</f>
        <v>69</v>
      </c>
      <c r="S45" s="1" t="str">
        <f>IF(Salesdta[[#This Row],[Final Revenue]]&gt;1000,"Selected","Not Selected")</f>
        <v>Not Selected</v>
      </c>
    </row>
    <row r="46" spans="1:19" x14ac:dyDescent="0.35">
      <c r="A46" s="6" t="s">
        <v>1863</v>
      </c>
      <c r="B46" s="20">
        <v>45606</v>
      </c>
      <c r="C46" s="1" t="str">
        <f>TEXT(Salesdta[[#This Row],[Order_Date]],"mmmm")</f>
        <v>November</v>
      </c>
      <c r="D46" s="1" t="s">
        <v>1445</v>
      </c>
      <c r="E46" s="1" t="str">
        <f>VLOOKUP(Salesdta[[#This Row],[Customer_ID]],Customer_Data_[],6,TRUE)</f>
        <v>Female</v>
      </c>
      <c r="F46" s="1" t="str">
        <f>VLOOKUP(Salesdta[[#This Row],[Customer_ID]],Customer_Data_[],8,TRUE)</f>
        <v>New Hampshire</v>
      </c>
      <c r="G46" s="1" t="s">
        <v>1662</v>
      </c>
      <c r="H46" s="1" t="str">
        <f>VLOOKUP(Salesdta[[#This Row],[Product_ID]],Product_Data_1[],2,TRUE)</f>
        <v>Men's Hair Styling Gel</v>
      </c>
      <c r="I46" s="1" t="str">
        <f>VLOOKUP(Salesdta[[#This Row],[Product_ID]],Product_Data_1[],3,TRUE)</f>
        <v>Beauty</v>
      </c>
      <c r="J46" s="1">
        <f>VLOOKUP(Salesdta[[#This Row],[Product_ID]],Product_Data_1[],7,TRUE)</f>
        <v>17</v>
      </c>
      <c r="K46" s="1" t="s">
        <v>1778</v>
      </c>
      <c r="L46" s="1" t="str">
        <f>VLOOKUP(Salesdta[[#This Row],[Store_ID]],Store_Data_1[],3,TRUE)</f>
        <v>West</v>
      </c>
      <c r="M46" s="1">
        <v>4</v>
      </c>
      <c r="N46" s="1">
        <v>289</v>
      </c>
      <c r="O46" s="12">
        <v>0.09</v>
      </c>
      <c r="P46" s="1" t="s">
        <v>1819</v>
      </c>
      <c r="Q46" s="1">
        <v>1051</v>
      </c>
      <c r="R46" s="1">
        <f>Salesdta[[#This Row],[Final Revenue]]-Salesdta[[#This Row],[Product cost]]</f>
        <v>1034</v>
      </c>
      <c r="S46" s="1" t="str">
        <f>IF(Salesdta[[#This Row],[Final Revenue]]&gt;1000,"Selected","Not Selected")</f>
        <v>Selected</v>
      </c>
    </row>
    <row r="47" spans="1:19" x14ac:dyDescent="0.35">
      <c r="A47" s="6" t="s">
        <v>1864</v>
      </c>
      <c r="B47" s="20">
        <v>45570</v>
      </c>
      <c r="C47" s="1" t="str">
        <f>TEXT(Salesdta[[#This Row],[Order_Date]],"mmmm")</f>
        <v>October</v>
      </c>
      <c r="D47" s="1" t="s">
        <v>255</v>
      </c>
      <c r="E47" s="1" t="str">
        <f>VLOOKUP(Salesdta[[#This Row],[Customer_ID]],Customer_Data_[],6,TRUE)</f>
        <v>Female</v>
      </c>
      <c r="F47" s="1" t="str">
        <f>VLOOKUP(Salesdta[[#This Row],[Customer_ID]],Customer_Data_[],8,TRUE)</f>
        <v>New Mexico</v>
      </c>
      <c r="G47" s="1" t="s">
        <v>1700</v>
      </c>
      <c r="H47" s="1" t="str">
        <f>VLOOKUP(Salesdta[[#This Row],[Product_ID]],Product_Data_1[],2,TRUE)</f>
        <v>Essential Oil Diffuser</v>
      </c>
      <c r="I47" s="1" t="str">
        <f>VLOOKUP(Salesdta[[#This Row],[Product_ID]],Product_Data_1[],3,TRUE)</f>
        <v>Home</v>
      </c>
      <c r="J47" s="1">
        <f>VLOOKUP(Salesdta[[#This Row],[Product_ID]],Product_Data_1[],7,TRUE)</f>
        <v>325</v>
      </c>
      <c r="K47" s="1" t="s">
        <v>1800</v>
      </c>
      <c r="L47" s="1" t="str">
        <f>VLOOKUP(Salesdta[[#This Row],[Store_ID]],Store_Data_1[],3,TRUE)</f>
        <v>North</v>
      </c>
      <c r="M47" s="1">
        <v>1</v>
      </c>
      <c r="N47" s="1">
        <v>419</v>
      </c>
      <c r="O47" s="12">
        <v>0.06</v>
      </c>
      <c r="P47" s="1" t="s">
        <v>1819</v>
      </c>
      <c r="Q47" s="1">
        <v>394</v>
      </c>
      <c r="R47" s="1">
        <f>Salesdta[[#This Row],[Final Revenue]]-Salesdta[[#This Row],[Product cost]]</f>
        <v>69</v>
      </c>
      <c r="S47" s="1" t="str">
        <f>IF(Salesdta[[#This Row],[Final Revenue]]&gt;1000,"Selected","Not Selected")</f>
        <v>Not Selected</v>
      </c>
    </row>
    <row r="48" spans="1:19" x14ac:dyDescent="0.35">
      <c r="A48" s="6" t="s">
        <v>1865</v>
      </c>
      <c r="B48" s="20">
        <v>45466</v>
      </c>
      <c r="C48" s="1" t="str">
        <f>TEXT(Salesdta[[#This Row],[Order_Date]],"mmmm")</f>
        <v>June</v>
      </c>
      <c r="D48" s="1" t="s">
        <v>42</v>
      </c>
      <c r="E48" s="1" t="str">
        <f>VLOOKUP(Salesdta[[#This Row],[Customer_ID]],Customer_Data_[],6,TRUE)</f>
        <v>Female</v>
      </c>
      <c r="F48" s="1" t="str">
        <f>VLOOKUP(Salesdta[[#This Row],[Customer_ID]],Customer_Data_[],8,TRUE)</f>
        <v>New Hampshire</v>
      </c>
      <c r="G48" s="1" t="s">
        <v>1604</v>
      </c>
      <c r="H48" s="1" t="str">
        <f>VLOOKUP(Salesdta[[#This Row],[Product_ID]],Product_Data_1[],2,TRUE)</f>
        <v>Stainless Steel Cutlery Set</v>
      </c>
      <c r="I48" s="1" t="str">
        <f>VLOOKUP(Salesdta[[#This Row],[Product_ID]],Product_Data_1[],3,TRUE)</f>
        <v>Home</v>
      </c>
      <c r="J48" s="1">
        <f>VLOOKUP(Salesdta[[#This Row],[Product_ID]],Product_Data_1[],7,TRUE)</f>
        <v>20</v>
      </c>
      <c r="K48" s="1" t="s">
        <v>1788</v>
      </c>
      <c r="L48" s="1" t="str">
        <f>VLOOKUP(Salesdta[[#This Row],[Store_ID]],Store_Data_1[],3,TRUE)</f>
        <v>North</v>
      </c>
      <c r="M48" s="1">
        <v>1</v>
      </c>
      <c r="N48" s="1">
        <v>136</v>
      </c>
      <c r="O48" s="12">
        <v>0.14000000000000001</v>
      </c>
      <c r="P48" s="1" t="s">
        <v>1819</v>
      </c>
      <c r="Q48" s="1">
        <v>117</v>
      </c>
      <c r="R48" s="1">
        <f>Salesdta[[#This Row],[Final Revenue]]-Salesdta[[#This Row],[Product cost]]</f>
        <v>97</v>
      </c>
      <c r="S48" s="1" t="str">
        <f>IF(Salesdta[[#This Row],[Final Revenue]]&gt;1000,"Selected","Not Selected")</f>
        <v>Not Selected</v>
      </c>
    </row>
    <row r="49" spans="1:19" x14ac:dyDescent="0.35">
      <c r="A49" s="6" t="s">
        <v>1866</v>
      </c>
      <c r="B49" s="20">
        <v>45607</v>
      </c>
      <c r="C49" s="1" t="str">
        <f>TEXT(Salesdta[[#This Row],[Order_Date]],"mmmm")</f>
        <v>November</v>
      </c>
      <c r="D49" s="1" t="s">
        <v>1300</v>
      </c>
      <c r="E49" s="1" t="str">
        <f>VLOOKUP(Salesdta[[#This Row],[Customer_ID]],Customer_Data_[],6,TRUE)</f>
        <v>Male</v>
      </c>
      <c r="F49" s="1" t="str">
        <f>VLOOKUP(Salesdta[[#This Row],[Customer_ID]],Customer_Data_[],8,TRUE)</f>
        <v>North Carolina</v>
      </c>
      <c r="G49" s="1" t="s">
        <v>1586</v>
      </c>
      <c r="H49" s="1" t="str">
        <f>VLOOKUP(Salesdta[[#This Row],[Product_ID]],Product_Data_1[],2,TRUE)</f>
        <v>Multi-Purpose Storage Box</v>
      </c>
      <c r="I49" s="1" t="str">
        <f>VLOOKUP(Salesdta[[#This Row],[Product_ID]],Product_Data_1[],3,TRUE)</f>
        <v>Home</v>
      </c>
      <c r="J49" s="1">
        <f>VLOOKUP(Salesdta[[#This Row],[Product_ID]],Product_Data_1[],7,TRUE)</f>
        <v>123</v>
      </c>
      <c r="K49" s="1" t="s">
        <v>1800</v>
      </c>
      <c r="L49" s="1" t="str">
        <f>VLOOKUP(Salesdta[[#This Row],[Store_ID]],Store_Data_1[],3,TRUE)</f>
        <v>North</v>
      </c>
      <c r="M49" s="1">
        <v>2</v>
      </c>
      <c r="N49" s="1">
        <v>385</v>
      </c>
      <c r="O49" s="12">
        <v>0.08</v>
      </c>
      <c r="P49" s="1" t="s">
        <v>1822</v>
      </c>
      <c r="Q49" s="1">
        <v>708</v>
      </c>
      <c r="R49" s="1">
        <f>Salesdta[[#This Row],[Final Revenue]]-Salesdta[[#This Row],[Product cost]]</f>
        <v>585</v>
      </c>
      <c r="S49" s="1" t="str">
        <f>IF(Salesdta[[#This Row],[Final Revenue]]&gt;1000,"Selected","Not Selected")</f>
        <v>Not Selected</v>
      </c>
    </row>
    <row r="50" spans="1:19" x14ac:dyDescent="0.35">
      <c r="A50" s="6" t="s">
        <v>1867</v>
      </c>
      <c r="B50" s="20">
        <v>45689</v>
      </c>
      <c r="C50" s="1" t="str">
        <f>TEXT(Salesdta[[#This Row],[Order_Date]],"mmmm")</f>
        <v>February</v>
      </c>
      <c r="D50" s="1" t="s">
        <v>478</v>
      </c>
      <c r="E50" s="1" t="str">
        <f>VLOOKUP(Salesdta[[#This Row],[Customer_ID]],Customer_Data_[],6,TRUE)</f>
        <v>Male</v>
      </c>
      <c r="F50" s="1" t="str">
        <f>VLOOKUP(Salesdta[[#This Row],[Customer_ID]],Customer_Data_[],8,TRUE)</f>
        <v>Montana</v>
      </c>
      <c r="G50" s="1" t="s">
        <v>1682</v>
      </c>
      <c r="H50" s="1" t="str">
        <f>VLOOKUP(Salesdta[[#This Row],[Product_ID]],Product_Data_1[],2,TRUE)</f>
        <v>Men's Sports Shorts</v>
      </c>
      <c r="I50" s="1" t="str">
        <f>VLOOKUP(Salesdta[[#This Row],[Product_ID]],Product_Data_1[],3,TRUE)</f>
        <v>Clothing</v>
      </c>
      <c r="J50" s="1">
        <f>VLOOKUP(Salesdta[[#This Row],[Product_ID]],Product_Data_1[],7,TRUE)</f>
        <v>218</v>
      </c>
      <c r="K50" s="1" t="s">
        <v>1775</v>
      </c>
      <c r="L50" s="1" t="str">
        <f>VLOOKUP(Salesdta[[#This Row],[Store_ID]],Store_Data_1[],3,TRUE)</f>
        <v>South</v>
      </c>
      <c r="M50" s="1">
        <v>3</v>
      </c>
      <c r="N50" s="1">
        <v>77</v>
      </c>
      <c r="O50" s="12">
        <v>0.26</v>
      </c>
      <c r="P50" s="1" t="s">
        <v>1817</v>
      </c>
      <c r="Q50" s="1">
        <v>170</v>
      </c>
      <c r="R50" s="1">
        <f>Salesdta[[#This Row],[Final Revenue]]-Salesdta[[#This Row],[Product cost]]</f>
        <v>-48</v>
      </c>
      <c r="S50" s="1" t="str">
        <f>IF(Salesdta[[#This Row],[Final Revenue]]&gt;1000,"Selected","Not Selected")</f>
        <v>Not Selected</v>
      </c>
    </row>
    <row r="51" spans="1:19" x14ac:dyDescent="0.35">
      <c r="A51" s="6" t="s">
        <v>1868</v>
      </c>
      <c r="B51" s="20">
        <v>45677</v>
      </c>
      <c r="C51" s="1" t="str">
        <f>TEXT(Salesdta[[#This Row],[Order_Date]],"mmmm")</f>
        <v>January</v>
      </c>
      <c r="D51" s="1" t="s">
        <v>1017</v>
      </c>
      <c r="E51" s="1" t="str">
        <f>VLOOKUP(Salesdta[[#This Row],[Customer_ID]],Customer_Data_[],6,TRUE)</f>
        <v>Male</v>
      </c>
      <c r="F51" s="1" t="str">
        <f>VLOOKUP(Salesdta[[#This Row],[Customer_ID]],Customer_Data_[],8,TRUE)</f>
        <v>Oklahoma</v>
      </c>
      <c r="G51" s="1" t="s">
        <v>1584</v>
      </c>
      <c r="H51" s="1" t="str">
        <f>VLOOKUP(Salesdta[[#This Row],[Product_ID]],Product_Data_1[],2,TRUE)</f>
        <v>Outdoor Sports Water Bottle</v>
      </c>
      <c r="I51" s="1" t="str">
        <f>VLOOKUP(Salesdta[[#This Row],[Product_ID]],Product_Data_1[],3,TRUE)</f>
        <v>Sports</v>
      </c>
      <c r="J51" s="1">
        <f>VLOOKUP(Salesdta[[#This Row],[Product_ID]],Product_Data_1[],7,TRUE)</f>
        <v>132</v>
      </c>
      <c r="K51" s="1" t="s">
        <v>1778</v>
      </c>
      <c r="L51" s="1" t="str">
        <f>VLOOKUP(Salesdta[[#This Row],[Store_ID]],Store_Data_1[],3,TRUE)</f>
        <v>West</v>
      </c>
      <c r="M51" s="1">
        <v>1</v>
      </c>
      <c r="N51" s="1">
        <v>900</v>
      </c>
      <c r="O51" s="12">
        <v>0.13</v>
      </c>
      <c r="P51" s="1" t="s">
        <v>1822</v>
      </c>
      <c r="Q51" s="1">
        <v>783</v>
      </c>
      <c r="R51" s="1">
        <f>Salesdta[[#This Row],[Final Revenue]]-Salesdta[[#This Row],[Product cost]]</f>
        <v>651</v>
      </c>
      <c r="S51" s="1" t="str">
        <f>IF(Salesdta[[#This Row],[Final Revenue]]&gt;1000,"Selected","Not Selected")</f>
        <v>Not Selected</v>
      </c>
    </row>
    <row r="52" spans="1:19" x14ac:dyDescent="0.35">
      <c r="A52" s="6" t="s">
        <v>1869</v>
      </c>
      <c r="B52" s="20">
        <v>45706</v>
      </c>
      <c r="C52" s="1" t="str">
        <f>TEXT(Salesdta[[#This Row],[Order_Date]],"mmmm")</f>
        <v>February</v>
      </c>
      <c r="D52" s="1" t="s">
        <v>338</v>
      </c>
      <c r="E52" s="1" t="str">
        <f>VLOOKUP(Salesdta[[#This Row],[Customer_ID]],Customer_Data_[],6,TRUE)</f>
        <v>Female</v>
      </c>
      <c r="F52" s="1" t="str">
        <f>VLOOKUP(Salesdta[[#This Row],[Customer_ID]],Customer_Data_[],8,TRUE)</f>
        <v>New York</v>
      </c>
      <c r="G52" s="1" t="s">
        <v>1624</v>
      </c>
      <c r="H52" s="1" t="str">
        <f>VLOOKUP(Salesdta[[#This Row],[Product_ID]],Product_Data_1[],2,TRUE)</f>
        <v>Noise-Canceling Headphones</v>
      </c>
      <c r="I52" s="1" t="str">
        <f>VLOOKUP(Salesdta[[#This Row],[Product_ID]],Product_Data_1[],3,TRUE)</f>
        <v>Electronics</v>
      </c>
      <c r="J52" s="1">
        <f>VLOOKUP(Salesdta[[#This Row],[Product_ID]],Product_Data_1[],7,TRUE)</f>
        <v>39</v>
      </c>
      <c r="K52" s="1" t="s">
        <v>1785</v>
      </c>
      <c r="L52" s="1" t="str">
        <f>VLOOKUP(Salesdta[[#This Row],[Store_ID]],Store_Data_1[],3,TRUE)</f>
        <v>North</v>
      </c>
      <c r="M52" s="1">
        <v>4</v>
      </c>
      <c r="N52" s="1">
        <v>428</v>
      </c>
      <c r="O52" s="12">
        <v>7.0000000000000007E-2</v>
      </c>
      <c r="P52" s="1" t="s">
        <v>1817</v>
      </c>
      <c r="Q52" s="1">
        <v>1592</v>
      </c>
      <c r="R52" s="1">
        <f>Salesdta[[#This Row],[Final Revenue]]-Salesdta[[#This Row],[Product cost]]</f>
        <v>1553</v>
      </c>
      <c r="S52" s="1" t="str">
        <f>IF(Salesdta[[#This Row],[Final Revenue]]&gt;1000,"Selected","Not Selected")</f>
        <v>Selected</v>
      </c>
    </row>
    <row r="53" spans="1:19" x14ac:dyDescent="0.35">
      <c r="A53" s="6" t="s">
        <v>1870</v>
      </c>
      <c r="B53" s="20">
        <v>45589</v>
      </c>
      <c r="C53" s="1" t="str">
        <f>TEXT(Salesdta[[#This Row],[Order_Date]],"mmmm")</f>
        <v>October</v>
      </c>
      <c r="D53" s="1" t="s">
        <v>1288</v>
      </c>
      <c r="E53" s="1" t="str">
        <f>VLOOKUP(Salesdta[[#This Row],[Customer_ID]],Customer_Data_[],6,TRUE)</f>
        <v>Male</v>
      </c>
      <c r="F53" s="1" t="str">
        <f>VLOOKUP(Salesdta[[#This Row],[Customer_ID]],Customer_Data_[],8,TRUE)</f>
        <v>Wisconsin</v>
      </c>
      <c r="G53" s="1" t="s">
        <v>1642</v>
      </c>
      <c r="H53" s="1" t="str">
        <f>VLOOKUP(Salesdta[[#This Row],[Product_ID]],Product_Data_1[],2,TRUE)</f>
        <v>Men's Roll-On Perfume</v>
      </c>
      <c r="I53" s="1" t="str">
        <f>VLOOKUP(Salesdta[[#This Row],[Product_ID]],Product_Data_1[],3,TRUE)</f>
        <v>Beauty</v>
      </c>
      <c r="J53" s="1">
        <f>VLOOKUP(Salesdta[[#This Row],[Product_ID]],Product_Data_1[],7,TRUE)</f>
        <v>43</v>
      </c>
      <c r="K53" s="1" t="s">
        <v>1788</v>
      </c>
      <c r="L53" s="1" t="str">
        <f>VLOOKUP(Salesdta[[#This Row],[Store_ID]],Store_Data_1[],3,TRUE)</f>
        <v>North</v>
      </c>
      <c r="M53" s="1">
        <v>2</v>
      </c>
      <c r="N53" s="1">
        <v>560</v>
      </c>
      <c r="O53" s="12">
        <v>0.3</v>
      </c>
      <c r="P53" s="1" t="s">
        <v>1822</v>
      </c>
      <c r="Q53" s="1">
        <v>784</v>
      </c>
      <c r="R53" s="1">
        <f>Salesdta[[#This Row],[Final Revenue]]-Salesdta[[#This Row],[Product cost]]</f>
        <v>741</v>
      </c>
      <c r="S53" s="1" t="str">
        <f>IF(Salesdta[[#This Row],[Final Revenue]]&gt;1000,"Selected","Not Selected")</f>
        <v>Not Selected</v>
      </c>
    </row>
    <row r="54" spans="1:19" x14ac:dyDescent="0.35">
      <c r="A54" s="6" t="s">
        <v>1871</v>
      </c>
      <c r="B54" s="20">
        <v>45282</v>
      </c>
      <c r="C54" s="1" t="str">
        <f>TEXT(Salesdta[[#This Row],[Order_Date]],"mmmm")</f>
        <v>December</v>
      </c>
      <c r="D54" s="1" t="s">
        <v>289</v>
      </c>
      <c r="E54" s="1" t="str">
        <f>VLOOKUP(Salesdta[[#This Row],[Customer_ID]],Customer_Data_[],6,TRUE)</f>
        <v>Female</v>
      </c>
      <c r="F54" s="1" t="str">
        <f>VLOOKUP(Salesdta[[#This Row],[Customer_ID]],Customer_Data_[],8,TRUE)</f>
        <v>New Mexico</v>
      </c>
      <c r="G54" s="1" t="s">
        <v>1612</v>
      </c>
      <c r="H54" s="1" t="str">
        <f>VLOOKUP(Salesdta[[#This Row],[Product_ID]],Product_Data_1[],2,TRUE)</f>
        <v>Gaming Mechanical Keyboard</v>
      </c>
      <c r="I54" s="1" t="str">
        <f>VLOOKUP(Salesdta[[#This Row],[Product_ID]],Product_Data_1[],3,TRUE)</f>
        <v>Electronics</v>
      </c>
      <c r="J54" s="1">
        <f>VLOOKUP(Salesdta[[#This Row],[Product_ID]],Product_Data_1[],7,TRUE)</f>
        <v>419</v>
      </c>
      <c r="K54" s="1" t="s">
        <v>1772</v>
      </c>
      <c r="L54" s="1" t="str">
        <f>VLOOKUP(Salesdta[[#This Row],[Store_ID]],Store_Data_1[],3,TRUE)</f>
        <v>East</v>
      </c>
      <c r="M54" s="1">
        <v>2</v>
      </c>
      <c r="N54" s="1">
        <v>834</v>
      </c>
      <c r="O54" s="12">
        <v>0.06</v>
      </c>
      <c r="P54" s="1" t="s">
        <v>1819</v>
      </c>
      <c r="Q54" s="1">
        <v>1567</v>
      </c>
      <c r="R54" s="1">
        <f>Salesdta[[#This Row],[Final Revenue]]-Salesdta[[#This Row],[Product cost]]</f>
        <v>1148</v>
      </c>
      <c r="S54" s="1" t="str">
        <f>IF(Salesdta[[#This Row],[Final Revenue]]&gt;1000,"Selected","Not Selected")</f>
        <v>Selected</v>
      </c>
    </row>
    <row r="55" spans="1:19" x14ac:dyDescent="0.35">
      <c r="A55" s="6" t="s">
        <v>1872</v>
      </c>
      <c r="B55" s="20">
        <v>45633</v>
      </c>
      <c r="C55" s="1" t="str">
        <f>TEXT(Salesdta[[#This Row],[Order_Date]],"mmmm")</f>
        <v>December</v>
      </c>
      <c r="D55" s="1" t="s">
        <v>1253</v>
      </c>
      <c r="E55" s="1" t="str">
        <f>VLOOKUP(Salesdta[[#This Row],[Customer_ID]],Customer_Data_[],6,TRUE)</f>
        <v>Female</v>
      </c>
      <c r="F55" s="1" t="str">
        <f>VLOOKUP(Salesdta[[#This Row],[Customer_ID]],Customer_Data_[],8,TRUE)</f>
        <v>Arkansas</v>
      </c>
      <c r="G55" s="1" t="s">
        <v>1574</v>
      </c>
      <c r="H55" s="1" t="str">
        <f>VLOOKUP(Salesdta[[#This Row],[Product_ID]],Product_Data_1[],2,TRUE)</f>
        <v>4K Home Projector</v>
      </c>
      <c r="I55" s="1" t="str">
        <f>VLOOKUP(Salesdta[[#This Row],[Product_ID]],Product_Data_1[],3,TRUE)</f>
        <v>Electronics</v>
      </c>
      <c r="J55" s="1">
        <f>VLOOKUP(Salesdta[[#This Row],[Product_ID]],Product_Data_1[],7,TRUE)</f>
        <v>465</v>
      </c>
      <c r="K55" s="1" t="s">
        <v>1775</v>
      </c>
      <c r="L55" s="1" t="str">
        <f>VLOOKUP(Salesdta[[#This Row],[Store_ID]],Store_Data_1[],3,TRUE)</f>
        <v>South</v>
      </c>
      <c r="M55" s="1">
        <v>4</v>
      </c>
      <c r="N55" s="1">
        <v>733</v>
      </c>
      <c r="O55" s="12">
        <v>0</v>
      </c>
      <c r="P55" s="1" t="s">
        <v>1819</v>
      </c>
      <c r="Q55" s="1">
        <v>2552</v>
      </c>
      <c r="R55" s="1">
        <f>Salesdta[[#This Row],[Final Revenue]]-Salesdta[[#This Row],[Product cost]]</f>
        <v>2087</v>
      </c>
      <c r="S55" s="1" t="str">
        <f>IF(Salesdta[[#This Row],[Final Revenue]]&gt;1000,"Selected","Not Selected")</f>
        <v>Selected</v>
      </c>
    </row>
    <row r="56" spans="1:19" x14ac:dyDescent="0.35">
      <c r="A56" s="6" t="s">
        <v>1873</v>
      </c>
      <c r="B56" s="20">
        <v>45257</v>
      </c>
      <c r="C56" s="1" t="str">
        <f>TEXT(Salesdta[[#This Row],[Order_Date]],"mmmm")</f>
        <v>November</v>
      </c>
      <c r="D56" s="1" t="s">
        <v>1145</v>
      </c>
      <c r="E56" s="1" t="str">
        <f>VLOOKUP(Salesdta[[#This Row],[Customer_ID]],Customer_Data_[],6,TRUE)</f>
        <v>Male</v>
      </c>
      <c r="F56" s="1" t="str">
        <f>VLOOKUP(Salesdta[[#This Row],[Customer_ID]],Customer_Data_[],8,TRUE)</f>
        <v>Ohio</v>
      </c>
      <c r="G56" s="1" t="s">
        <v>1722</v>
      </c>
      <c r="H56" s="1" t="str">
        <f>VLOOKUP(Salesdta[[#This Row],[Product_ID]],Product_Data_1[],2,TRUE)</f>
        <v>Face Foundation Kit</v>
      </c>
      <c r="I56" s="1" t="str">
        <f>VLOOKUP(Salesdta[[#This Row],[Product_ID]],Product_Data_1[],3,TRUE)</f>
        <v>Beauty</v>
      </c>
      <c r="J56" s="1">
        <f>VLOOKUP(Salesdta[[#This Row],[Product_ID]],Product_Data_1[],7,TRUE)</f>
        <v>183</v>
      </c>
      <c r="K56" s="1" t="s">
        <v>1788</v>
      </c>
      <c r="L56" s="1" t="str">
        <f>VLOOKUP(Salesdta[[#This Row],[Store_ID]],Store_Data_1[],3,TRUE)</f>
        <v>North</v>
      </c>
      <c r="M56" s="1">
        <v>1</v>
      </c>
      <c r="N56" s="1">
        <v>996</v>
      </c>
      <c r="O56" s="12">
        <v>0.23</v>
      </c>
      <c r="P56" s="1" t="s">
        <v>1819</v>
      </c>
      <c r="Q56" s="1">
        <v>767</v>
      </c>
      <c r="R56" s="1">
        <f>Salesdta[[#This Row],[Final Revenue]]-Salesdta[[#This Row],[Product cost]]</f>
        <v>584</v>
      </c>
      <c r="S56" s="1" t="str">
        <f>IF(Salesdta[[#This Row],[Final Revenue]]&gt;1000,"Selected","Not Selected")</f>
        <v>Not Selected</v>
      </c>
    </row>
    <row r="57" spans="1:19" x14ac:dyDescent="0.35">
      <c r="A57" s="6" t="s">
        <v>1874</v>
      </c>
      <c r="B57" s="20">
        <v>45854</v>
      </c>
      <c r="C57" s="1" t="str">
        <f>TEXT(Salesdta[[#This Row],[Order_Date]],"mmmm")</f>
        <v>July</v>
      </c>
      <c r="D57" s="1" t="s">
        <v>1265</v>
      </c>
      <c r="E57" s="1" t="str">
        <f>VLOOKUP(Salesdta[[#This Row],[Customer_ID]],Customer_Data_[],6,TRUE)</f>
        <v>Male</v>
      </c>
      <c r="F57" s="1" t="str">
        <f>VLOOKUP(Salesdta[[#This Row],[Customer_ID]],Customer_Data_[],8,TRUE)</f>
        <v>New Jersey</v>
      </c>
      <c r="G57" s="1" t="s">
        <v>1606</v>
      </c>
      <c r="H57" s="1" t="str">
        <f>VLOOKUP(Salesdta[[#This Row],[Product_ID]],Product_Data_1[],2,TRUE)</f>
        <v>Basketball</v>
      </c>
      <c r="I57" s="1" t="str">
        <f>VLOOKUP(Salesdta[[#This Row],[Product_ID]],Product_Data_1[],3,TRUE)</f>
        <v>Sports</v>
      </c>
      <c r="J57" s="1">
        <f>VLOOKUP(Salesdta[[#This Row],[Product_ID]],Product_Data_1[],7,TRUE)</f>
        <v>204</v>
      </c>
      <c r="K57" s="1" t="s">
        <v>1785</v>
      </c>
      <c r="L57" s="1" t="str">
        <f>VLOOKUP(Salesdta[[#This Row],[Store_ID]],Store_Data_1[],3,TRUE)</f>
        <v>North</v>
      </c>
      <c r="M57" s="1">
        <v>1</v>
      </c>
      <c r="N57" s="1">
        <v>199</v>
      </c>
      <c r="O57" s="12">
        <v>0.09</v>
      </c>
      <c r="P57" s="1" t="s">
        <v>1822</v>
      </c>
      <c r="Q57" s="1">
        <v>181</v>
      </c>
      <c r="R57" s="1">
        <f>Salesdta[[#This Row],[Final Revenue]]-Salesdta[[#This Row],[Product cost]]</f>
        <v>-23</v>
      </c>
      <c r="S57" s="1" t="str">
        <f>IF(Salesdta[[#This Row],[Final Revenue]]&gt;1000,"Selected","Not Selected")</f>
        <v>Not Selected</v>
      </c>
    </row>
    <row r="58" spans="1:19" x14ac:dyDescent="0.35">
      <c r="A58" s="6" t="s">
        <v>1875</v>
      </c>
      <c r="B58" s="20">
        <v>45927</v>
      </c>
      <c r="C58" s="1" t="str">
        <f>TEXT(Salesdta[[#This Row],[Order_Date]],"mmmm")</f>
        <v>September</v>
      </c>
      <c r="D58" s="1" t="s">
        <v>432</v>
      </c>
      <c r="E58" s="1" t="str">
        <f>VLOOKUP(Salesdta[[#This Row],[Customer_ID]],Customer_Data_[],6,TRUE)</f>
        <v>Female</v>
      </c>
      <c r="F58" s="1" t="str">
        <f>VLOOKUP(Salesdta[[#This Row],[Customer_ID]],Customer_Data_[],8,TRUE)</f>
        <v>Arizona</v>
      </c>
      <c r="G58" s="1" t="s">
        <v>1722</v>
      </c>
      <c r="H58" s="1" t="str">
        <f>VLOOKUP(Salesdta[[#This Row],[Product_ID]],Product_Data_1[],2,TRUE)</f>
        <v>Face Foundation Kit</v>
      </c>
      <c r="I58" s="1" t="str">
        <f>VLOOKUP(Salesdta[[#This Row],[Product_ID]],Product_Data_1[],3,TRUE)</f>
        <v>Beauty</v>
      </c>
      <c r="J58" s="1">
        <f>VLOOKUP(Salesdta[[#This Row],[Product_ID]],Product_Data_1[],7,TRUE)</f>
        <v>183</v>
      </c>
      <c r="K58" s="1" t="s">
        <v>1790</v>
      </c>
      <c r="L58" s="1" t="str">
        <f>VLOOKUP(Salesdta[[#This Row],[Store_ID]],Store_Data_1[],3,TRUE)</f>
        <v>North</v>
      </c>
      <c r="M58" s="1">
        <v>2</v>
      </c>
      <c r="N58" s="1">
        <v>121</v>
      </c>
      <c r="O58" s="12">
        <v>0.05</v>
      </c>
      <c r="P58" s="1" t="s">
        <v>1817</v>
      </c>
      <c r="Q58" s="1">
        <v>231</v>
      </c>
      <c r="R58" s="1">
        <f>Salesdta[[#This Row],[Final Revenue]]-Salesdta[[#This Row],[Product cost]]</f>
        <v>48</v>
      </c>
      <c r="S58" s="1" t="str">
        <f>IF(Salesdta[[#This Row],[Final Revenue]]&gt;1000,"Selected","Not Selected")</f>
        <v>Not Selected</v>
      </c>
    </row>
    <row r="59" spans="1:19" x14ac:dyDescent="0.35">
      <c r="A59" s="6" t="s">
        <v>1876</v>
      </c>
      <c r="B59" s="20">
        <v>45914</v>
      </c>
      <c r="C59" s="1" t="str">
        <f>TEXT(Salesdta[[#This Row],[Order_Date]],"mmmm")</f>
        <v>September</v>
      </c>
      <c r="D59" s="1" t="s">
        <v>812</v>
      </c>
      <c r="E59" s="1" t="str">
        <f>VLOOKUP(Salesdta[[#This Row],[Customer_ID]],Customer_Data_[],6,TRUE)</f>
        <v>Male</v>
      </c>
      <c r="F59" s="1" t="str">
        <f>VLOOKUP(Salesdta[[#This Row],[Customer_ID]],Customer_Data_[],8,TRUE)</f>
        <v>Ohio</v>
      </c>
      <c r="G59" s="1" t="s">
        <v>1650</v>
      </c>
      <c r="H59" s="1" t="str">
        <f>VLOOKUP(Salesdta[[#This Row],[Product_ID]],Product_Data_1[],2,TRUE)</f>
        <v>Men's Track Pants</v>
      </c>
      <c r="I59" s="1" t="str">
        <f>VLOOKUP(Salesdta[[#This Row],[Product_ID]],Product_Data_1[],3,TRUE)</f>
        <v>Clothing</v>
      </c>
      <c r="J59" s="1">
        <f>VLOOKUP(Salesdta[[#This Row],[Product_ID]],Product_Data_1[],7,TRUE)</f>
        <v>387</v>
      </c>
      <c r="K59" s="1" t="s">
        <v>1785</v>
      </c>
      <c r="L59" s="1" t="str">
        <f>VLOOKUP(Salesdta[[#This Row],[Store_ID]],Store_Data_1[],3,TRUE)</f>
        <v>North</v>
      </c>
      <c r="M59" s="1">
        <v>3</v>
      </c>
      <c r="N59" s="1">
        <v>480</v>
      </c>
      <c r="O59" s="12">
        <v>0.01</v>
      </c>
      <c r="P59" s="1" t="s">
        <v>1817</v>
      </c>
      <c r="Q59" s="1">
        <v>1088</v>
      </c>
      <c r="R59" s="1">
        <f>Salesdta[[#This Row],[Final Revenue]]-Salesdta[[#This Row],[Product cost]]</f>
        <v>701</v>
      </c>
      <c r="S59" s="1" t="str">
        <f>IF(Salesdta[[#This Row],[Final Revenue]]&gt;1000,"Selected","Not Selected")</f>
        <v>Selected</v>
      </c>
    </row>
    <row r="60" spans="1:19" x14ac:dyDescent="0.35">
      <c r="A60" s="6" t="s">
        <v>1877</v>
      </c>
      <c r="B60" s="20">
        <v>45290</v>
      </c>
      <c r="C60" s="1" t="str">
        <f>TEXT(Salesdta[[#This Row],[Order_Date]],"mmmm")</f>
        <v>December</v>
      </c>
      <c r="D60" s="1" t="s">
        <v>538</v>
      </c>
      <c r="E60" s="1" t="str">
        <f>VLOOKUP(Salesdta[[#This Row],[Customer_ID]],Customer_Data_[],6,TRUE)</f>
        <v>Male</v>
      </c>
      <c r="F60" s="1" t="str">
        <f>VLOOKUP(Salesdta[[#This Row],[Customer_ID]],Customer_Data_[],8,TRUE)</f>
        <v>Tennessee</v>
      </c>
      <c r="G60" s="1" t="s">
        <v>1742</v>
      </c>
      <c r="H60" s="1" t="str">
        <f>VLOOKUP(Salesdta[[#This Row],[Product_ID]],Product_Data_1[],2,TRUE)</f>
        <v>Stainless Steel Cookware Set</v>
      </c>
      <c r="I60" s="1" t="str">
        <f>VLOOKUP(Salesdta[[#This Row],[Product_ID]],Product_Data_1[],3,TRUE)</f>
        <v>Home</v>
      </c>
      <c r="J60" s="1">
        <f>VLOOKUP(Salesdta[[#This Row],[Product_ID]],Product_Data_1[],7,TRUE)</f>
        <v>201</v>
      </c>
      <c r="K60" s="1" t="s">
        <v>1803</v>
      </c>
      <c r="L60" s="1" t="str">
        <f>VLOOKUP(Salesdta[[#This Row],[Store_ID]],Store_Data_1[],3,TRUE)</f>
        <v>North</v>
      </c>
      <c r="M60" s="1">
        <v>2</v>
      </c>
      <c r="N60" s="1">
        <v>857</v>
      </c>
      <c r="O60" s="12">
        <v>0.24</v>
      </c>
      <c r="P60" s="1" t="s">
        <v>1817</v>
      </c>
      <c r="Q60" s="1">
        <v>1302</v>
      </c>
      <c r="R60" s="1">
        <f>Salesdta[[#This Row],[Final Revenue]]-Salesdta[[#This Row],[Product cost]]</f>
        <v>1101</v>
      </c>
      <c r="S60" s="1" t="str">
        <f>IF(Salesdta[[#This Row],[Final Revenue]]&gt;1000,"Selected","Not Selected")</f>
        <v>Selected</v>
      </c>
    </row>
    <row r="61" spans="1:19" x14ac:dyDescent="0.35">
      <c r="A61" s="6" t="s">
        <v>1878</v>
      </c>
      <c r="B61" s="20">
        <v>45213</v>
      </c>
      <c r="C61" s="1" t="str">
        <f>TEXT(Salesdta[[#This Row],[Order_Date]],"mmmm")</f>
        <v>October</v>
      </c>
      <c r="D61" s="1" t="s">
        <v>854</v>
      </c>
      <c r="E61" s="1" t="str">
        <f>VLOOKUP(Salesdta[[#This Row],[Customer_ID]],Customer_Data_[],6,TRUE)</f>
        <v>Female</v>
      </c>
      <c r="F61" s="1" t="str">
        <f>VLOOKUP(Salesdta[[#This Row],[Customer_ID]],Customer_Data_[],8,TRUE)</f>
        <v>California</v>
      </c>
      <c r="G61" s="1" t="s">
        <v>1698</v>
      </c>
      <c r="H61" s="1" t="str">
        <f>VLOOKUP(Salesdta[[#This Row],[Product_ID]],Product_Data_1[],2,TRUE)</f>
        <v>WiFi Mesh Router</v>
      </c>
      <c r="I61" s="1" t="str">
        <f>VLOOKUP(Salesdta[[#This Row],[Product_ID]],Product_Data_1[],3,TRUE)</f>
        <v>Electronics</v>
      </c>
      <c r="J61" s="1">
        <f>VLOOKUP(Salesdta[[#This Row],[Product_ID]],Product_Data_1[],7,TRUE)</f>
        <v>481</v>
      </c>
      <c r="K61" s="1" t="s">
        <v>1757</v>
      </c>
      <c r="L61" s="1" t="str">
        <f>VLOOKUP(Salesdta[[#This Row],[Store_ID]],Store_Data_1[],3,TRUE)</f>
        <v>South</v>
      </c>
      <c r="M61" s="1">
        <v>4</v>
      </c>
      <c r="N61" s="1">
        <v>814</v>
      </c>
      <c r="O61" s="12">
        <v>0.18</v>
      </c>
      <c r="P61" s="1" t="s">
        <v>1817</v>
      </c>
      <c r="Q61" s="1">
        <v>2671</v>
      </c>
      <c r="R61" s="1">
        <f>Salesdta[[#This Row],[Final Revenue]]-Salesdta[[#This Row],[Product cost]]</f>
        <v>2190</v>
      </c>
      <c r="S61" s="1" t="str">
        <f>IF(Salesdta[[#This Row],[Final Revenue]]&gt;1000,"Selected","Not Selected")</f>
        <v>Selected</v>
      </c>
    </row>
    <row r="62" spans="1:19" x14ac:dyDescent="0.35">
      <c r="A62" s="6" t="s">
        <v>1879</v>
      </c>
      <c r="B62" s="20">
        <v>45255</v>
      </c>
      <c r="C62" s="1" t="str">
        <f>TEXT(Salesdta[[#This Row],[Order_Date]],"mmmm")</f>
        <v>November</v>
      </c>
      <c r="D62" s="1" t="s">
        <v>1483</v>
      </c>
      <c r="E62" s="1" t="str">
        <f>VLOOKUP(Salesdta[[#This Row],[Customer_ID]],Customer_Data_[],6,TRUE)</f>
        <v>Male</v>
      </c>
      <c r="F62" s="1" t="str">
        <f>VLOOKUP(Salesdta[[#This Row],[Customer_ID]],Customer_Data_[],8,TRUE)</f>
        <v>Nevada</v>
      </c>
      <c r="G62" s="1" t="s">
        <v>1568</v>
      </c>
      <c r="H62" s="1" t="str">
        <f>VLOOKUP(Salesdta[[#This Row],[Product_ID]],Product_Data_1[],2,TRUE)</f>
        <v>Hair Strengthening Shampoo</v>
      </c>
      <c r="I62" s="1" t="str">
        <f>VLOOKUP(Salesdta[[#This Row],[Product_ID]],Product_Data_1[],3,TRUE)</f>
        <v>Beauty</v>
      </c>
      <c r="J62" s="1">
        <f>VLOOKUP(Salesdta[[#This Row],[Product_ID]],Product_Data_1[],7,TRUE)</f>
        <v>116</v>
      </c>
      <c r="K62" s="1" t="s">
        <v>1757</v>
      </c>
      <c r="L62" s="1" t="str">
        <f>VLOOKUP(Salesdta[[#This Row],[Store_ID]],Store_Data_1[],3,TRUE)</f>
        <v>South</v>
      </c>
      <c r="M62" s="1">
        <v>1</v>
      </c>
      <c r="N62" s="1">
        <v>989</v>
      </c>
      <c r="O62" s="12">
        <v>0.2</v>
      </c>
      <c r="P62" s="1" t="s">
        <v>1819</v>
      </c>
      <c r="Q62" s="1">
        <v>791</v>
      </c>
      <c r="R62" s="1">
        <f>Salesdta[[#This Row],[Final Revenue]]-Salesdta[[#This Row],[Product cost]]</f>
        <v>675</v>
      </c>
      <c r="S62" s="1" t="str">
        <f>IF(Salesdta[[#This Row],[Final Revenue]]&gt;1000,"Selected","Not Selected")</f>
        <v>Not Selected</v>
      </c>
    </row>
    <row r="63" spans="1:19" x14ac:dyDescent="0.35">
      <c r="A63" s="6" t="s">
        <v>1880</v>
      </c>
      <c r="B63" s="20">
        <v>45270</v>
      </c>
      <c r="C63" s="1" t="str">
        <f>TEXT(Salesdta[[#This Row],[Order_Date]],"mmmm")</f>
        <v>December</v>
      </c>
      <c r="D63" s="1" t="s">
        <v>1159</v>
      </c>
      <c r="E63" s="1" t="str">
        <f>VLOOKUP(Salesdta[[#This Row],[Customer_ID]],Customer_Data_[],6,TRUE)</f>
        <v>Male</v>
      </c>
      <c r="F63" s="1" t="str">
        <f>VLOOKUP(Salesdta[[#This Row],[Customer_ID]],Customer_Data_[],8,TRUE)</f>
        <v>Ohio</v>
      </c>
      <c r="G63" s="1" t="s">
        <v>1688</v>
      </c>
      <c r="H63" s="1" t="str">
        <f>VLOOKUP(Salesdta[[#This Row],[Product_ID]],Product_Data_1[],2,TRUE)</f>
        <v>Professional Jump Rope</v>
      </c>
      <c r="I63" s="1" t="str">
        <f>VLOOKUP(Salesdta[[#This Row],[Product_ID]],Product_Data_1[],3,TRUE)</f>
        <v>Sports</v>
      </c>
      <c r="J63" s="1">
        <f>VLOOKUP(Salesdta[[#This Row],[Product_ID]],Product_Data_1[],7,TRUE)</f>
        <v>478</v>
      </c>
      <c r="K63" s="1" t="s">
        <v>1785</v>
      </c>
      <c r="L63" s="1" t="str">
        <f>VLOOKUP(Salesdta[[#This Row],[Store_ID]],Store_Data_1[],3,TRUE)</f>
        <v>North</v>
      </c>
      <c r="M63" s="1">
        <v>4</v>
      </c>
      <c r="N63" s="1">
        <v>62</v>
      </c>
      <c r="O63" s="12">
        <v>0.18</v>
      </c>
      <c r="P63" s="1" t="s">
        <v>1817</v>
      </c>
      <c r="Q63" s="1">
        <v>205</v>
      </c>
      <c r="R63" s="1">
        <f>Salesdta[[#This Row],[Final Revenue]]-Salesdta[[#This Row],[Product cost]]</f>
        <v>-273</v>
      </c>
      <c r="S63" s="1" t="str">
        <f>IF(Salesdta[[#This Row],[Final Revenue]]&gt;1000,"Selected","Not Selected")</f>
        <v>Not Selected</v>
      </c>
    </row>
    <row r="64" spans="1:19" x14ac:dyDescent="0.35">
      <c r="A64" s="6" t="s">
        <v>1881</v>
      </c>
      <c r="B64" s="20">
        <v>45897</v>
      </c>
      <c r="C64" s="1" t="str">
        <f>TEXT(Salesdta[[#This Row],[Order_Date]],"mmmm")</f>
        <v>August</v>
      </c>
      <c r="D64" s="1" t="s">
        <v>1309</v>
      </c>
      <c r="E64" s="1" t="str">
        <f>VLOOKUP(Salesdta[[#This Row],[Customer_ID]],Customer_Data_[],6,TRUE)</f>
        <v>Male</v>
      </c>
      <c r="F64" s="1" t="str">
        <f>VLOOKUP(Salesdta[[#This Row],[Customer_ID]],Customer_Data_[],8,TRUE)</f>
        <v>Kansas</v>
      </c>
      <c r="G64" s="1" t="s">
        <v>1570</v>
      </c>
      <c r="H64" s="1" t="str">
        <f>VLOOKUP(Salesdta[[#This Row],[Product_ID]],Product_Data_1[],2,TRUE)</f>
        <v>USB-C Fast Charger</v>
      </c>
      <c r="I64" s="1" t="str">
        <f>VLOOKUP(Salesdta[[#This Row],[Product_ID]],Product_Data_1[],3,TRUE)</f>
        <v>Electronics</v>
      </c>
      <c r="J64" s="1">
        <f>VLOOKUP(Salesdta[[#This Row],[Product_ID]],Product_Data_1[],7,TRUE)</f>
        <v>242</v>
      </c>
      <c r="K64" s="1" t="s">
        <v>1800</v>
      </c>
      <c r="L64" s="1" t="str">
        <f>VLOOKUP(Salesdta[[#This Row],[Store_ID]],Store_Data_1[],3,TRUE)</f>
        <v>North</v>
      </c>
      <c r="M64" s="1">
        <v>4</v>
      </c>
      <c r="N64" s="1">
        <v>561</v>
      </c>
      <c r="O64" s="12">
        <v>0.24</v>
      </c>
      <c r="P64" s="1" t="s">
        <v>1817</v>
      </c>
      <c r="Q64" s="1">
        <v>1706</v>
      </c>
      <c r="R64" s="1">
        <f>Salesdta[[#This Row],[Final Revenue]]-Salesdta[[#This Row],[Product cost]]</f>
        <v>1464</v>
      </c>
      <c r="S64" s="1" t="str">
        <f>IF(Salesdta[[#This Row],[Final Revenue]]&gt;1000,"Selected","Not Selected")</f>
        <v>Selected</v>
      </c>
    </row>
    <row r="65" spans="1:19" x14ac:dyDescent="0.35">
      <c r="A65" s="6" t="s">
        <v>1882</v>
      </c>
      <c r="B65" s="20">
        <v>45849</v>
      </c>
      <c r="C65" s="1" t="str">
        <f>TEXT(Salesdta[[#This Row],[Order_Date]],"mmmm")</f>
        <v>July</v>
      </c>
      <c r="D65" s="1" t="s">
        <v>215</v>
      </c>
      <c r="E65" s="1" t="str">
        <f>VLOOKUP(Salesdta[[#This Row],[Customer_ID]],Customer_Data_[],6,TRUE)</f>
        <v>Male</v>
      </c>
      <c r="F65" s="1" t="str">
        <f>VLOOKUP(Salesdta[[#This Row],[Customer_ID]],Customer_Data_[],8,TRUE)</f>
        <v>Maryland</v>
      </c>
      <c r="G65" s="1" t="s">
        <v>1664</v>
      </c>
      <c r="H65" s="1" t="str">
        <f>VLOOKUP(Salesdta[[#This Row],[Product_ID]],Product_Data_1[],2,TRUE)</f>
        <v>Luxury Perfume Spray</v>
      </c>
      <c r="I65" s="1" t="str">
        <f>VLOOKUP(Salesdta[[#This Row],[Product_ID]],Product_Data_1[],3,TRUE)</f>
        <v>Beauty</v>
      </c>
      <c r="J65" s="1">
        <f>VLOOKUP(Salesdta[[#This Row],[Product_ID]],Product_Data_1[],7,TRUE)</f>
        <v>483</v>
      </c>
      <c r="K65" s="1" t="s">
        <v>1769</v>
      </c>
      <c r="L65" s="1" t="str">
        <f>VLOOKUP(Salesdta[[#This Row],[Store_ID]],Store_Data_1[],3,TRUE)</f>
        <v>North</v>
      </c>
      <c r="M65" s="1">
        <v>3</v>
      </c>
      <c r="N65" s="1">
        <v>92</v>
      </c>
      <c r="O65" s="12">
        <v>0.28000000000000003</v>
      </c>
      <c r="P65" s="1" t="s">
        <v>1822</v>
      </c>
      <c r="Q65" s="1">
        <v>1088</v>
      </c>
      <c r="R65" s="1">
        <f>Salesdta[[#This Row],[Final Revenue]]-Salesdta[[#This Row],[Product cost]]</f>
        <v>605</v>
      </c>
      <c r="S65" s="1" t="str">
        <f>IF(Salesdta[[#This Row],[Final Revenue]]&gt;1000,"Selected","Not Selected")</f>
        <v>Selected</v>
      </c>
    </row>
    <row r="66" spans="1:19" x14ac:dyDescent="0.35">
      <c r="A66" s="6" t="s">
        <v>1883</v>
      </c>
      <c r="B66" s="20">
        <v>45889</v>
      </c>
      <c r="C66" s="1" t="str">
        <f>TEXT(Salesdta[[#This Row],[Order_Date]],"mmmm")</f>
        <v>August</v>
      </c>
      <c r="D66" s="1" t="s">
        <v>556</v>
      </c>
      <c r="E66" s="1" t="str">
        <f>VLOOKUP(Salesdta[[#This Row],[Customer_ID]],Customer_Data_[],6,TRUE)</f>
        <v>Female</v>
      </c>
      <c r="F66" s="1" t="str">
        <f>VLOOKUP(Salesdta[[#This Row],[Customer_ID]],Customer_Data_[],8,TRUE)</f>
        <v>Florida</v>
      </c>
      <c r="G66" s="1" t="s">
        <v>1688</v>
      </c>
      <c r="H66" s="1" t="str">
        <f>VLOOKUP(Salesdta[[#This Row],[Product_ID]],Product_Data_1[],2,TRUE)</f>
        <v>Professional Jump Rope</v>
      </c>
      <c r="I66" s="1" t="str">
        <f>VLOOKUP(Salesdta[[#This Row],[Product_ID]],Product_Data_1[],3,TRUE)</f>
        <v>Sports</v>
      </c>
      <c r="J66" s="1">
        <f>VLOOKUP(Salesdta[[#This Row],[Product_ID]],Product_Data_1[],7,TRUE)</f>
        <v>478</v>
      </c>
      <c r="K66" s="1" t="s">
        <v>1753</v>
      </c>
      <c r="L66" s="1" t="str">
        <f>VLOOKUP(Salesdta[[#This Row],[Store_ID]],Store_Data_1[],3,TRUE)</f>
        <v>North</v>
      </c>
      <c r="M66" s="1">
        <v>2</v>
      </c>
      <c r="N66" s="1">
        <v>668</v>
      </c>
      <c r="O66" s="12">
        <v>7.0000000000000007E-2</v>
      </c>
      <c r="P66" s="1" t="s">
        <v>1817</v>
      </c>
      <c r="Q66" s="1">
        <v>1243</v>
      </c>
      <c r="R66" s="1">
        <f>Salesdta[[#This Row],[Final Revenue]]-Salesdta[[#This Row],[Product cost]]</f>
        <v>765</v>
      </c>
      <c r="S66" s="1" t="str">
        <f>IF(Salesdta[[#This Row],[Final Revenue]]&gt;1000,"Selected","Not Selected")</f>
        <v>Selected</v>
      </c>
    </row>
    <row r="67" spans="1:19" x14ac:dyDescent="0.35">
      <c r="A67" s="6" t="s">
        <v>1884</v>
      </c>
      <c r="B67" s="20">
        <v>45626</v>
      </c>
      <c r="C67" s="1" t="str">
        <f>TEXT(Salesdta[[#This Row],[Order_Date]],"mmmm")</f>
        <v>November</v>
      </c>
      <c r="D67" s="1" t="s">
        <v>145</v>
      </c>
      <c r="E67" s="1" t="str">
        <f>VLOOKUP(Salesdta[[#This Row],[Customer_ID]],Customer_Data_[],6,TRUE)</f>
        <v>Female</v>
      </c>
      <c r="F67" s="1" t="str">
        <f>VLOOKUP(Salesdta[[#This Row],[Customer_ID]],Customer_Data_[],8,TRUE)</f>
        <v>South Dakota</v>
      </c>
      <c r="G67" s="1" t="s">
        <v>1634</v>
      </c>
      <c r="H67" s="1" t="str">
        <f>VLOOKUP(Salesdta[[#This Row],[Product_ID]],Product_Data_1[],2,TRUE)</f>
        <v>High-Grip Football</v>
      </c>
      <c r="I67" s="1" t="str">
        <f>VLOOKUP(Salesdta[[#This Row],[Product_ID]],Product_Data_1[],3,TRUE)</f>
        <v>Sports</v>
      </c>
      <c r="J67" s="1">
        <f>VLOOKUP(Salesdta[[#This Row],[Product_ID]],Product_Data_1[],7,TRUE)</f>
        <v>319</v>
      </c>
      <c r="K67" s="1" t="s">
        <v>1788</v>
      </c>
      <c r="L67" s="1" t="str">
        <f>VLOOKUP(Salesdta[[#This Row],[Store_ID]],Store_Data_1[],3,TRUE)</f>
        <v>North</v>
      </c>
      <c r="M67" s="1">
        <v>2</v>
      </c>
      <c r="N67" s="1">
        <v>556</v>
      </c>
      <c r="O67" s="12">
        <v>0.13</v>
      </c>
      <c r="P67" s="1" t="s">
        <v>1817</v>
      </c>
      <c r="Q67" s="1">
        <v>968</v>
      </c>
      <c r="R67" s="1">
        <f>Salesdta[[#This Row],[Final Revenue]]-Salesdta[[#This Row],[Product cost]]</f>
        <v>649</v>
      </c>
      <c r="S67" s="1" t="str">
        <f>IF(Salesdta[[#This Row],[Final Revenue]]&gt;1000,"Selected","Not Selected")</f>
        <v>Not Selected</v>
      </c>
    </row>
    <row r="68" spans="1:19" x14ac:dyDescent="0.35">
      <c r="A68" s="6" t="s">
        <v>1885</v>
      </c>
      <c r="B68" s="20">
        <v>45942</v>
      </c>
      <c r="C68" s="1" t="str">
        <f>TEXT(Salesdta[[#This Row],[Order_Date]],"mmmm")</f>
        <v>October</v>
      </c>
      <c r="D68" s="1" t="s">
        <v>866</v>
      </c>
      <c r="E68" s="1" t="str">
        <f>VLOOKUP(Salesdta[[#This Row],[Customer_ID]],Customer_Data_[],6,TRUE)</f>
        <v>Male</v>
      </c>
      <c r="F68" s="1" t="str">
        <f>VLOOKUP(Salesdta[[#This Row],[Customer_ID]],Customer_Data_[],8,TRUE)</f>
        <v>Mississippi</v>
      </c>
      <c r="G68" s="1" t="s">
        <v>1584</v>
      </c>
      <c r="H68" s="1" t="str">
        <f>VLOOKUP(Salesdta[[#This Row],[Product_ID]],Product_Data_1[],2,TRUE)</f>
        <v>Outdoor Sports Water Bottle</v>
      </c>
      <c r="I68" s="1" t="str">
        <f>VLOOKUP(Salesdta[[#This Row],[Product_ID]],Product_Data_1[],3,TRUE)</f>
        <v>Sports</v>
      </c>
      <c r="J68" s="1">
        <f>VLOOKUP(Salesdta[[#This Row],[Product_ID]],Product_Data_1[],7,TRUE)</f>
        <v>132</v>
      </c>
      <c r="K68" s="1" t="s">
        <v>1778</v>
      </c>
      <c r="L68" s="1" t="str">
        <f>VLOOKUP(Salesdta[[#This Row],[Store_ID]],Store_Data_1[],3,TRUE)</f>
        <v>West</v>
      </c>
      <c r="M68" s="1">
        <v>1</v>
      </c>
      <c r="N68" s="1">
        <v>185</v>
      </c>
      <c r="O68" s="12">
        <v>0.1</v>
      </c>
      <c r="P68" s="1" t="s">
        <v>1822</v>
      </c>
      <c r="Q68" s="1">
        <v>166</v>
      </c>
      <c r="R68" s="1">
        <f>Salesdta[[#This Row],[Final Revenue]]-Salesdta[[#This Row],[Product cost]]</f>
        <v>34</v>
      </c>
      <c r="S68" s="1" t="str">
        <f>IF(Salesdta[[#This Row],[Final Revenue]]&gt;1000,"Selected","Not Selected")</f>
        <v>Not Selected</v>
      </c>
    </row>
    <row r="69" spans="1:19" x14ac:dyDescent="0.35">
      <c r="A69" s="6" t="s">
        <v>1886</v>
      </c>
      <c r="B69" s="20">
        <v>45500</v>
      </c>
      <c r="C69" s="1" t="str">
        <f>TEXT(Salesdta[[#This Row],[Order_Date]],"mmmm")</f>
        <v>July</v>
      </c>
      <c r="D69" s="1" t="s">
        <v>139</v>
      </c>
      <c r="E69" s="1" t="str">
        <f>VLOOKUP(Salesdta[[#This Row],[Customer_ID]],Customer_Data_[],6,TRUE)</f>
        <v>Male</v>
      </c>
      <c r="F69" s="1" t="str">
        <f>VLOOKUP(Salesdta[[#This Row],[Customer_ID]],Customer_Data_[],8,TRUE)</f>
        <v>North Dakota</v>
      </c>
      <c r="G69" s="1" t="s">
        <v>1738</v>
      </c>
      <c r="H69" s="1" t="str">
        <f>VLOOKUP(Salesdta[[#This Row],[Product_ID]],Product_Data_1[],2,TRUE)</f>
        <v>Cricket Bat</v>
      </c>
      <c r="I69" s="1" t="str">
        <f>VLOOKUP(Salesdta[[#This Row],[Product_ID]],Product_Data_1[],3,TRUE)</f>
        <v>Sports</v>
      </c>
      <c r="J69" s="1">
        <f>VLOOKUP(Salesdta[[#This Row],[Product_ID]],Product_Data_1[],7,TRUE)</f>
        <v>246</v>
      </c>
      <c r="K69" s="1" t="s">
        <v>1790</v>
      </c>
      <c r="L69" s="1" t="str">
        <f>VLOOKUP(Salesdta[[#This Row],[Store_ID]],Store_Data_1[],3,TRUE)</f>
        <v>North</v>
      </c>
      <c r="M69" s="1">
        <v>4</v>
      </c>
      <c r="N69" s="1">
        <v>700</v>
      </c>
      <c r="O69" s="12">
        <v>0.23</v>
      </c>
      <c r="P69" s="1" t="s">
        <v>1817</v>
      </c>
      <c r="Q69" s="1">
        <v>2157</v>
      </c>
      <c r="R69" s="1">
        <f>Salesdta[[#This Row],[Final Revenue]]-Salesdta[[#This Row],[Product cost]]</f>
        <v>1911</v>
      </c>
      <c r="S69" s="1" t="str">
        <f>IF(Salesdta[[#This Row],[Final Revenue]]&gt;1000,"Selected","Not Selected")</f>
        <v>Selected</v>
      </c>
    </row>
    <row r="70" spans="1:19" x14ac:dyDescent="0.35">
      <c r="A70" s="6" t="s">
        <v>1887</v>
      </c>
      <c r="B70" s="20">
        <v>45285</v>
      </c>
      <c r="C70" s="1" t="str">
        <f>TEXT(Salesdta[[#This Row],[Order_Date]],"mmmm")</f>
        <v>December</v>
      </c>
      <c r="D70" s="1" t="s">
        <v>83</v>
      </c>
      <c r="E70" s="1" t="str">
        <f>VLOOKUP(Salesdta[[#This Row],[Customer_ID]],Customer_Data_[],6,TRUE)</f>
        <v>Female</v>
      </c>
      <c r="F70" s="1" t="str">
        <f>VLOOKUP(Salesdta[[#This Row],[Customer_ID]],Customer_Data_[],8,TRUE)</f>
        <v>New Jersey</v>
      </c>
      <c r="G70" s="1" t="s">
        <v>1696</v>
      </c>
      <c r="H70" s="1" t="str">
        <f>VLOOKUP(Salesdta[[#This Row],[Product_ID]],Product_Data_1[],2,TRUE)</f>
        <v>Wireless Mouse</v>
      </c>
      <c r="I70" s="1" t="str">
        <f>VLOOKUP(Salesdta[[#This Row],[Product_ID]],Product_Data_1[],3,TRUE)</f>
        <v>Electronics</v>
      </c>
      <c r="J70" s="1">
        <f>VLOOKUP(Salesdta[[#This Row],[Product_ID]],Product_Data_1[],7,TRUE)</f>
        <v>393</v>
      </c>
      <c r="K70" s="1" t="s">
        <v>1785</v>
      </c>
      <c r="L70" s="1" t="str">
        <f>VLOOKUP(Salesdta[[#This Row],[Store_ID]],Store_Data_1[],3,TRUE)</f>
        <v>North</v>
      </c>
      <c r="M70" s="1">
        <v>2</v>
      </c>
      <c r="N70" s="1">
        <v>686</v>
      </c>
      <c r="O70" s="12">
        <v>0.25</v>
      </c>
      <c r="P70" s="1" t="s">
        <v>1817</v>
      </c>
      <c r="Q70" s="1">
        <v>1029</v>
      </c>
      <c r="R70" s="1">
        <f>Salesdta[[#This Row],[Final Revenue]]-Salesdta[[#This Row],[Product cost]]</f>
        <v>636</v>
      </c>
      <c r="S70" s="1" t="str">
        <f>IF(Salesdta[[#This Row],[Final Revenue]]&gt;1000,"Selected","Not Selected")</f>
        <v>Selected</v>
      </c>
    </row>
    <row r="71" spans="1:19" x14ac:dyDescent="0.35">
      <c r="A71" s="6" t="s">
        <v>1888</v>
      </c>
      <c r="B71" s="20">
        <v>45800</v>
      </c>
      <c r="C71" s="1" t="str">
        <f>TEXT(Salesdta[[#This Row],[Order_Date]],"mmmm")</f>
        <v>May</v>
      </c>
      <c r="D71" s="1" t="s">
        <v>38</v>
      </c>
      <c r="E71" s="1" t="str">
        <f>VLOOKUP(Salesdta[[#This Row],[Customer_ID]],Customer_Data_[],6,TRUE)</f>
        <v>Female</v>
      </c>
      <c r="F71" s="1" t="str">
        <f>VLOOKUP(Salesdta[[#This Row],[Customer_ID]],Customer_Data_[],8,TRUE)</f>
        <v>West Virginia</v>
      </c>
      <c r="G71" s="1" t="s">
        <v>1678</v>
      </c>
      <c r="H71" s="1" t="str">
        <f>VLOOKUP(Salesdta[[#This Row],[Product_ID]],Product_Data_1[],2,TRUE)</f>
        <v>Smart LED Light Strip</v>
      </c>
      <c r="I71" s="1" t="str">
        <f>VLOOKUP(Salesdta[[#This Row],[Product_ID]],Product_Data_1[],3,TRUE)</f>
        <v>Electronics</v>
      </c>
      <c r="J71" s="1">
        <f>VLOOKUP(Salesdta[[#This Row],[Product_ID]],Product_Data_1[],7,TRUE)</f>
        <v>349</v>
      </c>
      <c r="K71" s="1" t="s">
        <v>1797</v>
      </c>
      <c r="L71" s="1" t="str">
        <f>VLOOKUP(Salesdta[[#This Row],[Store_ID]],Store_Data_1[],3,TRUE)</f>
        <v>North</v>
      </c>
      <c r="M71" s="1">
        <v>1</v>
      </c>
      <c r="N71" s="1">
        <v>688</v>
      </c>
      <c r="O71" s="12">
        <v>0.27</v>
      </c>
      <c r="P71" s="1" t="s">
        <v>1822</v>
      </c>
      <c r="Q71" s="1">
        <v>502</v>
      </c>
      <c r="R71" s="1">
        <f>Salesdta[[#This Row],[Final Revenue]]-Salesdta[[#This Row],[Product cost]]</f>
        <v>153</v>
      </c>
      <c r="S71" s="1" t="str">
        <f>IF(Salesdta[[#This Row],[Final Revenue]]&gt;1000,"Selected","Not Selected")</f>
        <v>Not Selected</v>
      </c>
    </row>
    <row r="72" spans="1:19" x14ac:dyDescent="0.35">
      <c r="A72" s="6" t="s">
        <v>1889</v>
      </c>
      <c r="B72" s="20">
        <v>45609</v>
      </c>
      <c r="C72" s="1" t="str">
        <f>TEXT(Salesdta[[#This Row],[Order_Date]],"mmmm")</f>
        <v>November</v>
      </c>
      <c r="D72" s="1" t="s">
        <v>713</v>
      </c>
      <c r="E72" s="1" t="str">
        <f>VLOOKUP(Salesdta[[#This Row],[Customer_ID]],Customer_Data_[],6,TRUE)</f>
        <v>Male</v>
      </c>
      <c r="F72" s="1" t="str">
        <f>VLOOKUP(Salesdta[[#This Row],[Customer_ID]],Customer_Data_[],8,TRUE)</f>
        <v>Georgia</v>
      </c>
      <c r="G72" s="1" t="s">
        <v>1710</v>
      </c>
      <c r="H72" s="1" t="str">
        <f>VLOOKUP(Salesdta[[#This Row],[Product_ID]],Product_Data_1[],2,TRUE)</f>
        <v>Hydrating Face Cleanser</v>
      </c>
      <c r="I72" s="1" t="str">
        <f>VLOOKUP(Salesdta[[#This Row],[Product_ID]],Product_Data_1[],3,TRUE)</f>
        <v>Beauty</v>
      </c>
      <c r="J72" s="1">
        <f>VLOOKUP(Salesdta[[#This Row],[Product_ID]],Product_Data_1[],7,TRUE)</f>
        <v>254</v>
      </c>
      <c r="K72" s="1" t="s">
        <v>1778</v>
      </c>
      <c r="L72" s="1" t="str">
        <f>VLOOKUP(Salesdta[[#This Row],[Store_ID]],Store_Data_1[],3,TRUE)</f>
        <v>West</v>
      </c>
      <c r="M72" s="1">
        <v>2</v>
      </c>
      <c r="N72" s="1">
        <v>901</v>
      </c>
      <c r="O72" s="12">
        <v>0.16</v>
      </c>
      <c r="P72" s="1" t="s">
        <v>1817</v>
      </c>
      <c r="Q72" s="1">
        <v>1513</v>
      </c>
      <c r="R72" s="1">
        <f>Salesdta[[#This Row],[Final Revenue]]-Salesdta[[#This Row],[Product cost]]</f>
        <v>1259</v>
      </c>
      <c r="S72" s="1" t="str">
        <f>IF(Salesdta[[#This Row],[Final Revenue]]&gt;1000,"Selected","Not Selected")</f>
        <v>Selected</v>
      </c>
    </row>
    <row r="73" spans="1:19" x14ac:dyDescent="0.35">
      <c r="A73" s="6" t="s">
        <v>1890</v>
      </c>
      <c r="B73" s="20">
        <v>45268</v>
      </c>
      <c r="C73" s="1" t="str">
        <f>TEXT(Salesdta[[#This Row],[Order_Date]],"mmmm")</f>
        <v>December</v>
      </c>
      <c r="D73" s="1" t="s">
        <v>399</v>
      </c>
      <c r="E73" s="1" t="str">
        <f>VLOOKUP(Salesdta[[#This Row],[Customer_ID]],Customer_Data_[],6,TRUE)</f>
        <v>Female</v>
      </c>
      <c r="F73" s="1" t="str">
        <f>VLOOKUP(Salesdta[[#This Row],[Customer_ID]],Customer_Data_[],8,TRUE)</f>
        <v>North Dakota</v>
      </c>
      <c r="G73" s="1" t="s">
        <v>1586</v>
      </c>
      <c r="H73" s="1" t="str">
        <f>VLOOKUP(Salesdta[[#This Row],[Product_ID]],Product_Data_1[],2,TRUE)</f>
        <v>Multi-Purpose Storage Box</v>
      </c>
      <c r="I73" s="1" t="str">
        <f>VLOOKUP(Salesdta[[#This Row],[Product_ID]],Product_Data_1[],3,TRUE)</f>
        <v>Home</v>
      </c>
      <c r="J73" s="1">
        <f>VLOOKUP(Salesdta[[#This Row],[Product_ID]],Product_Data_1[],7,TRUE)</f>
        <v>123</v>
      </c>
      <c r="K73" s="1" t="s">
        <v>1757</v>
      </c>
      <c r="L73" s="1" t="str">
        <f>VLOOKUP(Salesdta[[#This Row],[Store_ID]],Store_Data_1[],3,TRUE)</f>
        <v>South</v>
      </c>
      <c r="M73" s="1">
        <v>1</v>
      </c>
      <c r="N73" s="1">
        <v>341</v>
      </c>
      <c r="O73" s="12">
        <v>0.15</v>
      </c>
      <c r="P73" s="1" t="s">
        <v>1817</v>
      </c>
      <c r="Q73" s="1">
        <v>290</v>
      </c>
      <c r="R73" s="1">
        <f>Salesdta[[#This Row],[Final Revenue]]-Salesdta[[#This Row],[Product cost]]</f>
        <v>167</v>
      </c>
      <c r="S73" s="1" t="str">
        <f>IF(Salesdta[[#This Row],[Final Revenue]]&gt;1000,"Selected","Not Selected")</f>
        <v>Not Selected</v>
      </c>
    </row>
    <row r="74" spans="1:19" x14ac:dyDescent="0.35">
      <c r="A74" s="6" t="s">
        <v>1891</v>
      </c>
      <c r="B74" s="20">
        <v>45885</v>
      </c>
      <c r="C74" s="1" t="str">
        <f>TEXT(Salesdta[[#This Row],[Order_Date]],"mmmm")</f>
        <v>August</v>
      </c>
      <c r="D74" s="1" t="s">
        <v>579</v>
      </c>
      <c r="E74" s="1" t="str">
        <f>VLOOKUP(Salesdta[[#This Row],[Customer_ID]],Customer_Data_[],6,TRUE)</f>
        <v>Male</v>
      </c>
      <c r="F74" s="1" t="str">
        <f>VLOOKUP(Salesdta[[#This Row],[Customer_ID]],Customer_Data_[],8,TRUE)</f>
        <v>Vermont</v>
      </c>
      <c r="G74" s="1" t="s">
        <v>1648</v>
      </c>
      <c r="H74" s="1" t="str">
        <f>VLOOKUP(Salesdta[[#This Row],[Product_ID]],Product_Data_1[],2,TRUE)</f>
        <v>Rugby Ball</v>
      </c>
      <c r="I74" s="1" t="str">
        <f>VLOOKUP(Salesdta[[#This Row],[Product_ID]],Product_Data_1[],3,TRUE)</f>
        <v>Sports</v>
      </c>
      <c r="J74" s="1">
        <f>VLOOKUP(Salesdta[[#This Row],[Product_ID]],Product_Data_1[],7,TRUE)</f>
        <v>212</v>
      </c>
      <c r="K74" s="1" t="s">
        <v>1778</v>
      </c>
      <c r="L74" s="1" t="str">
        <f>VLOOKUP(Salesdta[[#This Row],[Store_ID]],Store_Data_1[],3,TRUE)</f>
        <v>West</v>
      </c>
      <c r="M74" s="1">
        <v>1</v>
      </c>
      <c r="N74" s="1">
        <v>442</v>
      </c>
      <c r="O74" s="12">
        <v>0.06</v>
      </c>
      <c r="P74" s="1" t="s">
        <v>1822</v>
      </c>
      <c r="Q74" s="1">
        <v>416</v>
      </c>
      <c r="R74" s="1">
        <f>Salesdta[[#This Row],[Final Revenue]]-Salesdta[[#This Row],[Product cost]]</f>
        <v>204</v>
      </c>
      <c r="S74" s="1" t="str">
        <f>IF(Salesdta[[#This Row],[Final Revenue]]&gt;1000,"Selected","Not Selected")</f>
        <v>Not Selected</v>
      </c>
    </row>
    <row r="75" spans="1:19" x14ac:dyDescent="0.35">
      <c r="A75" s="6" t="s">
        <v>1892</v>
      </c>
      <c r="B75" s="20">
        <v>45616</v>
      </c>
      <c r="C75" s="1" t="str">
        <f>TEXT(Salesdta[[#This Row],[Order_Date]],"mmmm")</f>
        <v>November</v>
      </c>
      <c r="D75" s="1" t="s">
        <v>806</v>
      </c>
      <c r="E75" s="1" t="str">
        <f>VLOOKUP(Salesdta[[#This Row],[Customer_ID]],Customer_Data_[],6,TRUE)</f>
        <v>Male</v>
      </c>
      <c r="F75" s="1" t="str">
        <f>VLOOKUP(Salesdta[[#This Row],[Customer_ID]],Customer_Data_[],8,TRUE)</f>
        <v>Wisconsin</v>
      </c>
      <c r="G75" s="1" t="s">
        <v>1686</v>
      </c>
      <c r="H75" s="1" t="str">
        <f>VLOOKUP(Salesdta[[#This Row],[Product_ID]],Product_Data_1[],2,TRUE)</f>
        <v>Hair Repair Oil Treatment</v>
      </c>
      <c r="I75" s="1" t="str">
        <f>VLOOKUP(Salesdta[[#This Row],[Product_ID]],Product_Data_1[],3,TRUE)</f>
        <v>Beauty</v>
      </c>
      <c r="J75" s="1">
        <f>VLOOKUP(Salesdta[[#This Row],[Product_ID]],Product_Data_1[],7,TRUE)</f>
        <v>214</v>
      </c>
      <c r="K75" s="1" t="s">
        <v>1782</v>
      </c>
      <c r="L75" s="1" t="str">
        <f>VLOOKUP(Salesdta[[#This Row],[Store_ID]],Store_Data_1[],3,TRUE)</f>
        <v>South</v>
      </c>
      <c r="M75" s="1">
        <v>1</v>
      </c>
      <c r="N75" s="1">
        <v>364</v>
      </c>
      <c r="O75" s="12">
        <v>0.25</v>
      </c>
      <c r="P75" s="1" t="s">
        <v>1819</v>
      </c>
      <c r="Q75" s="1">
        <v>273</v>
      </c>
      <c r="R75" s="1">
        <f>Salesdta[[#This Row],[Final Revenue]]-Salesdta[[#This Row],[Product cost]]</f>
        <v>59</v>
      </c>
      <c r="S75" s="1" t="str">
        <f>IF(Salesdta[[#This Row],[Final Revenue]]&gt;1000,"Selected","Not Selected")</f>
        <v>Not Selected</v>
      </c>
    </row>
    <row r="76" spans="1:19" x14ac:dyDescent="0.35">
      <c r="A76" s="6" t="s">
        <v>1893</v>
      </c>
      <c r="B76" s="20">
        <v>45518</v>
      </c>
      <c r="C76" s="1" t="str">
        <f>TEXT(Salesdta[[#This Row],[Order_Date]],"mmmm")</f>
        <v>August</v>
      </c>
      <c r="D76" s="1" t="s">
        <v>1177</v>
      </c>
      <c r="E76" s="1" t="str">
        <f>VLOOKUP(Salesdta[[#This Row],[Customer_ID]],Customer_Data_[],6,TRUE)</f>
        <v>Female</v>
      </c>
      <c r="F76" s="1" t="str">
        <f>VLOOKUP(Salesdta[[#This Row],[Customer_ID]],Customer_Data_[],8,TRUE)</f>
        <v>Delaware</v>
      </c>
      <c r="G76" s="1" t="s">
        <v>1726</v>
      </c>
      <c r="H76" s="1" t="str">
        <f>VLOOKUP(Salesdta[[#This Row],[Product_ID]],Product_Data_1[],2,TRUE)</f>
        <v>Women's High Heels</v>
      </c>
      <c r="I76" s="1" t="str">
        <f>VLOOKUP(Salesdta[[#This Row],[Product_ID]],Product_Data_1[],3,TRUE)</f>
        <v>Clothing</v>
      </c>
      <c r="J76" s="1">
        <f>VLOOKUP(Salesdta[[#This Row],[Product_ID]],Product_Data_1[],7,TRUE)</f>
        <v>438</v>
      </c>
      <c r="K76" s="1" t="s">
        <v>1803</v>
      </c>
      <c r="L76" s="1" t="str">
        <f>VLOOKUP(Salesdta[[#This Row],[Store_ID]],Store_Data_1[],3,TRUE)</f>
        <v>North</v>
      </c>
      <c r="M76" s="1">
        <v>2</v>
      </c>
      <c r="N76" s="1">
        <v>601</v>
      </c>
      <c r="O76" s="12">
        <v>0.16</v>
      </c>
      <c r="P76" s="1" t="s">
        <v>1819</v>
      </c>
      <c r="Q76" s="1">
        <v>1010</v>
      </c>
      <c r="R76" s="1">
        <f>Salesdta[[#This Row],[Final Revenue]]-Salesdta[[#This Row],[Product cost]]</f>
        <v>572</v>
      </c>
      <c r="S76" s="1" t="str">
        <f>IF(Salesdta[[#This Row],[Final Revenue]]&gt;1000,"Selected","Not Selected")</f>
        <v>Selected</v>
      </c>
    </row>
    <row r="77" spans="1:19" x14ac:dyDescent="0.35">
      <c r="A77" s="6" t="s">
        <v>1894</v>
      </c>
      <c r="B77" s="20">
        <v>45427</v>
      </c>
      <c r="C77" s="1" t="str">
        <f>TEXT(Salesdta[[#This Row],[Order_Date]],"mmmm")</f>
        <v>May</v>
      </c>
      <c r="D77" s="1" t="s">
        <v>1250</v>
      </c>
      <c r="E77" s="1" t="str">
        <f>VLOOKUP(Salesdta[[#This Row],[Customer_ID]],Customer_Data_[],6,TRUE)</f>
        <v>Male</v>
      </c>
      <c r="F77" s="1" t="str">
        <f>VLOOKUP(Salesdta[[#This Row],[Customer_ID]],Customer_Data_[],8,TRUE)</f>
        <v>Louisiana</v>
      </c>
      <c r="G77" s="1" t="s">
        <v>1578</v>
      </c>
      <c r="H77" s="1" t="str">
        <f>VLOOKUP(Salesdta[[#This Row],[Product_ID]],Product_Data_1[],2,TRUE)</f>
        <v>Soccer Training Cone Set</v>
      </c>
      <c r="I77" s="1" t="str">
        <f>VLOOKUP(Salesdta[[#This Row],[Product_ID]],Product_Data_1[],3,TRUE)</f>
        <v>Sports</v>
      </c>
      <c r="J77" s="1">
        <f>VLOOKUP(Salesdta[[#This Row],[Product_ID]],Product_Data_1[],7,TRUE)</f>
        <v>145</v>
      </c>
      <c r="K77" s="1" t="s">
        <v>1806</v>
      </c>
      <c r="L77" s="1" t="str">
        <f>VLOOKUP(Salesdta[[#This Row],[Store_ID]],Store_Data_1[],3,TRUE)</f>
        <v>North</v>
      </c>
      <c r="M77" s="1">
        <v>4</v>
      </c>
      <c r="N77" s="1">
        <v>34</v>
      </c>
      <c r="O77" s="12">
        <v>0.03</v>
      </c>
      <c r="P77" s="1" t="s">
        <v>1819</v>
      </c>
      <c r="Q77" s="1">
        <v>133</v>
      </c>
      <c r="R77" s="1">
        <f>Salesdta[[#This Row],[Final Revenue]]-Salesdta[[#This Row],[Product cost]]</f>
        <v>-12</v>
      </c>
      <c r="S77" s="1" t="str">
        <f>IF(Salesdta[[#This Row],[Final Revenue]]&gt;1000,"Selected","Not Selected")</f>
        <v>Not Selected</v>
      </c>
    </row>
    <row r="78" spans="1:19" x14ac:dyDescent="0.35">
      <c r="A78" s="6" t="s">
        <v>1895</v>
      </c>
      <c r="B78" s="20">
        <v>45282</v>
      </c>
      <c r="C78" s="1" t="str">
        <f>TEXT(Salesdta[[#This Row],[Order_Date]],"mmmm")</f>
        <v>December</v>
      </c>
      <c r="D78" s="1" t="s">
        <v>202</v>
      </c>
      <c r="E78" s="1" t="str">
        <f>VLOOKUP(Salesdta[[#This Row],[Customer_ID]],Customer_Data_[],6,TRUE)</f>
        <v>Male</v>
      </c>
      <c r="F78" s="1" t="str">
        <f>VLOOKUP(Salesdta[[#This Row],[Customer_ID]],Customer_Data_[],8,TRUE)</f>
        <v>Oklahoma</v>
      </c>
      <c r="G78" s="1" t="s">
        <v>1720</v>
      </c>
      <c r="H78" s="1" t="str">
        <f>VLOOKUP(Salesdta[[#This Row],[Product_ID]],Product_Data_1[],2,TRUE)</f>
        <v>Sports Wrist Sweatbands</v>
      </c>
      <c r="I78" s="1" t="str">
        <f>VLOOKUP(Salesdta[[#This Row],[Product_ID]],Product_Data_1[],3,TRUE)</f>
        <v>Sports</v>
      </c>
      <c r="J78" s="1">
        <f>VLOOKUP(Salesdta[[#This Row],[Product_ID]],Product_Data_1[],7,TRUE)</f>
        <v>131</v>
      </c>
      <c r="K78" s="1" t="s">
        <v>1775</v>
      </c>
      <c r="L78" s="1" t="str">
        <f>VLOOKUP(Salesdta[[#This Row],[Store_ID]],Store_Data_1[],3,TRUE)</f>
        <v>South</v>
      </c>
      <c r="M78" s="1">
        <v>4</v>
      </c>
      <c r="N78" s="1">
        <v>127</v>
      </c>
      <c r="O78" s="12">
        <v>0.24</v>
      </c>
      <c r="P78" s="1" t="s">
        <v>1822</v>
      </c>
      <c r="Q78" s="1">
        <v>386</v>
      </c>
      <c r="R78" s="1">
        <f>Salesdta[[#This Row],[Final Revenue]]-Salesdta[[#This Row],[Product cost]]</f>
        <v>255</v>
      </c>
      <c r="S78" s="1" t="str">
        <f>IF(Salesdta[[#This Row],[Final Revenue]]&gt;1000,"Selected","Not Selected")</f>
        <v>Not Selected</v>
      </c>
    </row>
    <row r="79" spans="1:19" x14ac:dyDescent="0.35">
      <c r="A79" s="6" t="s">
        <v>1896</v>
      </c>
      <c r="B79" s="20">
        <v>45545</v>
      </c>
      <c r="C79" s="1" t="str">
        <f>TEXT(Salesdta[[#This Row],[Order_Date]],"mmmm")</f>
        <v>September</v>
      </c>
      <c r="D79" s="1" t="s">
        <v>954</v>
      </c>
      <c r="E79" s="1" t="str">
        <f>VLOOKUP(Salesdta[[#This Row],[Customer_ID]],Customer_Data_[],6,TRUE)</f>
        <v>Female</v>
      </c>
      <c r="F79" s="1" t="str">
        <f>VLOOKUP(Salesdta[[#This Row],[Customer_ID]],Customer_Data_[],8,TRUE)</f>
        <v>Delaware</v>
      </c>
      <c r="G79" s="1" t="s">
        <v>1584</v>
      </c>
      <c r="H79" s="1" t="str">
        <f>VLOOKUP(Salesdta[[#This Row],[Product_ID]],Product_Data_1[],2,TRUE)</f>
        <v>Outdoor Sports Water Bottle</v>
      </c>
      <c r="I79" s="1" t="str">
        <f>VLOOKUP(Salesdta[[#This Row],[Product_ID]],Product_Data_1[],3,TRUE)</f>
        <v>Sports</v>
      </c>
      <c r="J79" s="1">
        <f>VLOOKUP(Salesdta[[#This Row],[Product_ID]],Product_Data_1[],7,TRUE)</f>
        <v>132</v>
      </c>
      <c r="K79" s="1" t="s">
        <v>1762</v>
      </c>
      <c r="L79" s="1" t="str">
        <f>VLOOKUP(Salesdta[[#This Row],[Store_ID]],Store_Data_1[],3,TRUE)</f>
        <v>North</v>
      </c>
      <c r="M79" s="1">
        <v>3</v>
      </c>
      <c r="N79" s="1">
        <v>900</v>
      </c>
      <c r="O79" s="12">
        <v>0.28000000000000003</v>
      </c>
      <c r="P79" s="1" t="s">
        <v>1819</v>
      </c>
      <c r="Q79" s="1">
        <v>1943</v>
      </c>
      <c r="R79" s="1">
        <f>Salesdta[[#This Row],[Final Revenue]]-Salesdta[[#This Row],[Product cost]]</f>
        <v>1811</v>
      </c>
      <c r="S79" s="1" t="str">
        <f>IF(Salesdta[[#This Row],[Final Revenue]]&gt;1000,"Selected","Not Selected")</f>
        <v>Selected</v>
      </c>
    </row>
    <row r="80" spans="1:19" x14ac:dyDescent="0.35">
      <c r="A80" s="6" t="s">
        <v>1897</v>
      </c>
      <c r="B80" s="20">
        <v>45755</v>
      </c>
      <c r="C80" s="1" t="str">
        <f>TEXT(Salesdta[[#This Row],[Order_Date]],"mmmm")</f>
        <v>April</v>
      </c>
      <c r="D80" s="1" t="s">
        <v>1026</v>
      </c>
      <c r="E80" s="1" t="str">
        <f>VLOOKUP(Salesdta[[#This Row],[Customer_ID]],Customer_Data_[],6,TRUE)</f>
        <v>Female</v>
      </c>
      <c r="F80" s="1" t="str">
        <f>VLOOKUP(Salesdta[[#This Row],[Customer_ID]],Customer_Data_[],8,TRUE)</f>
        <v>New York</v>
      </c>
      <c r="G80" s="1" t="s">
        <v>1542</v>
      </c>
      <c r="H80" s="1" t="str">
        <f>VLOOKUP(Salesdta[[#This Row],[Product_ID]],Product_Data_1[],2,TRUE)</f>
        <v>Men's Graphic T-Shirt</v>
      </c>
      <c r="I80" s="1" t="str">
        <f>VLOOKUP(Salesdta[[#This Row],[Product_ID]],Product_Data_1[],3,TRUE)</f>
        <v>Clothing</v>
      </c>
      <c r="J80" s="1">
        <f>VLOOKUP(Salesdta[[#This Row],[Product_ID]],Product_Data_1[],7,TRUE)</f>
        <v>343</v>
      </c>
      <c r="K80" s="1" t="s">
        <v>1785</v>
      </c>
      <c r="L80" s="1" t="str">
        <f>VLOOKUP(Salesdta[[#This Row],[Store_ID]],Store_Data_1[],3,TRUE)</f>
        <v>North</v>
      </c>
      <c r="M80" s="1">
        <v>3</v>
      </c>
      <c r="N80" s="1">
        <v>964</v>
      </c>
      <c r="O80" s="12">
        <v>0.04</v>
      </c>
      <c r="P80" s="1" t="s">
        <v>1817</v>
      </c>
      <c r="Q80" s="1">
        <v>2777</v>
      </c>
      <c r="R80" s="1">
        <f>Salesdta[[#This Row],[Final Revenue]]-Salesdta[[#This Row],[Product cost]]</f>
        <v>2434</v>
      </c>
      <c r="S80" s="1" t="str">
        <f>IF(Salesdta[[#This Row],[Final Revenue]]&gt;1000,"Selected","Not Selected")</f>
        <v>Selected</v>
      </c>
    </row>
    <row r="81" spans="1:19" x14ac:dyDescent="0.35">
      <c r="A81" s="6" t="s">
        <v>1898</v>
      </c>
      <c r="B81" s="20">
        <v>45588</v>
      </c>
      <c r="C81" s="1" t="str">
        <f>TEXT(Salesdta[[#This Row],[Order_Date]],"mmmm")</f>
        <v>October</v>
      </c>
      <c r="D81" s="1" t="s">
        <v>601</v>
      </c>
      <c r="E81" s="1" t="str">
        <f>VLOOKUP(Salesdta[[#This Row],[Customer_ID]],Customer_Data_[],6,TRUE)</f>
        <v>Male</v>
      </c>
      <c r="F81" s="1" t="str">
        <f>VLOOKUP(Salesdta[[#This Row],[Customer_ID]],Customer_Data_[],8,TRUE)</f>
        <v>New York</v>
      </c>
      <c r="G81" s="1" t="s">
        <v>1620</v>
      </c>
      <c r="H81" s="1" t="str">
        <f>VLOOKUP(Salesdta[[#This Row],[Product_ID]],Product_Data_1[],2,TRUE)</f>
        <v>Sports Water Hydration Pack</v>
      </c>
      <c r="I81" s="1" t="str">
        <f>VLOOKUP(Salesdta[[#This Row],[Product_ID]],Product_Data_1[],3,TRUE)</f>
        <v>Sports</v>
      </c>
      <c r="J81" s="1">
        <f>VLOOKUP(Salesdta[[#This Row],[Product_ID]],Product_Data_1[],7,TRUE)</f>
        <v>136</v>
      </c>
      <c r="K81" s="1" t="s">
        <v>1748</v>
      </c>
      <c r="L81" s="1" t="str">
        <f>VLOOKUP(Salesdta[[#This Row],[Store_ID]],Store_Data_1[],3,TRUE)</f>
        <v>East</v>
      </c>
      <c r="M81" s="1">
        <v>2</v>
      </c>
      <c r="N81" s="1">
        <v>218</v>
      </c>
      <c r="O81" s="12">
        <v>0.14000000000000001</v>
      </c>
      <c r="P81" s="1" t="s">
        <v>1819</v>
      </c>
      <c r="Q81" s="1">
        <v>375</v>
      </c>
      <c r="R81" s="1">
        <f>Salesdta[[#This Row],[Final Revenue]]-Salesdta[[#This Row],[Product cost]]</f>
        <v>239</v>
      </c>
      <c r="S81" s="1" t="str">
        <f>IF(Salesdta[[#This Row],[Final Revenue]]&gt;1000,"Selected","Not Selected")</f>
        <v>Not Selected</v>
      </c>
    </row>
    <row r="82" spans="1:19" x14ac:dyDescent="0.35">
      <c r="A82" s="6" t="s">
        <v>1899</v>
      </c>
      <c r="B82" s="20">
        <v>45848</v>
      </c>
      <c r="C82" s="1" t="str">
        <f>TEXT(Salesdta[[#This Row],[Order_Date]],"mmmm")</f>
        <v>July</v>
      </c>
      <c r="D82" s="1" t="s">
        <v>481</v>
      </c>
      <c r="E82" s="1" t="str">
        <f>VLOOKUP(Salesdta[[#This Row],[Customer_ID]],Customer_Data_[],6,TRUE)</f>
        <v>Male</v>
      </c>
      <c r="F82" s="1" t="str">
        <f>VLOOKUP(Salesdta[[#This Row],[Customer_ID]],Customer_Data_[],8,TRUE)</f>
        <v>Alabama</v>
      </c>
      <c r="G82" s="1" t="s">
        <v>1578</v>
      </c>
      <c r="H82" s="1" t="str">
        <f>VLOOKUP(Salesdta[[#This Row],[Product_ID]],Product_Data_1[],2,TRUE)</f>
        <v>Soccer Training Cone Set</v>
      </c>
      <c r="I82" s="1" t="str">
        <f>VLOOKUP(Salesdta[[#This Row],[Product_ID]],Product_Data_1[],3,TRUE)</f>
        <v>Sports</v>
      </c>
      <c r="J82" s="1">
        <f>VLOOKUP(Salesdta[[#This Row],[Product_ID]],Product_Data_1[],7,TRUE)</f>
        <v>145</v>
      </c>
      <c r="K82" s="1" t="s">
        <v>1753</v>
      </c>
      <c r="L82" s="1" t="str">
        <f>VLOOKUP(Salesdta[[#This Row],[Store_ID]],Store_Data_1[],3,TRUE)</f>
        <v>North</v>
      </c>
      <c r="M82" s="1">
        <v>4</v>
      </c>
      <c r="N82" s="1">
        <v>188</v>
      </c>
      <c r="O82" s="12">
        <v>0.06</v>
      </c>
      <c r="P82" s="1" t="s">
        <v>1822</v>
      </c>
      <c r="Q82" s="1">
        <v>706</v>
      </c>
      <c r="R82" s="1">
        <f>Salesdta[[#This Row],[Final Revenue]]-Salesdta[[#This Row],[Product cost]]</f>
        <v>561</v>
      </c>
      <c r="S82" s="1" t="str">
        <f>IF(Salesdta[[#This Row],[Final Revenue]]&gt;1000,"Selected","Not Selected")</f>
        <v>Not Selected</v>
      </c>
    </row>
    <row r="83" spans="1:19" x14ac:dyDescent="0.35">
      <c r="A83" s="6" t="s">
        <v>1900</v>
      </c>
      <c r="B83" s="20">
        <v>45577</v>
      </c>
      <c r="C83" s="1" t="str">
        <f>TEXT(Salesdta[[#This Row],[Order_Date]],"mmmm")</f>
        <v>October</v>
      </c>
      <c r="D83" s="1" t="s">
        <v>50</v>
      </c>
      <c r="E83" s="1" t="str">
        <f>VLOOKUP(Salesdta[[#This Row],[Customer_ID]],Customer_Data_[],6,TRUE)</f>
        <v>Male</v>
      </c>
      <c r="F83" s="1" t="str">
        <f>VLOOKUP(Salesdta[[#This Row],[Customer_ID]],Customer_Data_[],8,TRUE)</f>
        <v>Pennsylvania</v>
      </c>
      <c r="G83" s="1" t="s">
        <v>1610</v>
      </c>
      <c r="H83" s="1" t="str">
        <f>VLOOKUP(Salesdta[[#This Row],[Product_ID]],Product_Data_1[],2,TRUE)</f>
        <v>Modern Wall Clock</v>
      </c>
      <c r="I83" s="1" t="str">
        <f>VLOOKUP(Salesdta[[#This Row],[Product_ID]],Product_Data_1[],3,TRUE)</f>
        <v>Home</v>
      </c>
      <c r="J83" s="1">
        <f>VLOOKUP(Salesdta[[#This Row],[Product_ID]],Product_Data_1[],7,TRUE)</f>
        <v>180</v>
      </c>
      <c r="K83" s="1" t="s">
        <v>1806</v>
      </c>
      <c r="L83" s="1" t="str">
        <f>VLOOKUP(Salesdta[[#This Row],[Store_ID]],Store_Data_1[],3,TRUE)</f>
        <v>North</v>
      </c>
      <c r="M83" s="1">
        <v>2</v>
      </c>
      <c r="N83" s="1">
        <v>350</v>
      </c>
      <c r="O83" s="12">
        <v>0.12</v>
      </c>
      <c r="P83" s="1" t="s">
        <v>1822</v>
      </c>
      <c r="Q83" s="1">
        <v>616</v>
      </c>
      <c r="R83" s="1">
        <f>Salesdta[[#This Row],[Final Revenue]]-Salesdta[[#This Row],[Product cost]]</f>
        <v>436</v>
      </c>
      <c r="S83" s="1" t="str">
        <f>IF(Salesdta[[#This Row],[Final Revenue]]&gt;1000,"Selected","Not Selected")</f>
        <v>Not Selected</v>
      </c>
    </row>
    <row r="84" spans="1:19" x14ac:dyDescent="0.35">
      <c r="A84" s="6" t="s">
        <v>1901</v>
      </c>
      <c r="B84" s="20">
        <v>45312</v>
      </c>
      <c r="C84" s="1" t="str">
        <f>TEXT(Salesdta[[#This Row],[Order_Date]],"mmmm")</f>
        <v>January</v>
      </c>
      <c r="D84" s="1" t="s">
        <v>1259</v>
      </c>
      <c r="E84" s="1" t="str">
        <f>VLOOKUP(Salesdta[[#This Row],[Customer_ID]],Customer_Data_[],6,TRUE)</f>
        <v>Female</v>
      </c>
      <c r="F84" s="1" t="str">
        <f>VLOOKUP(Salesdta[[#This Row],[Customer_ID]],Customer_Data_[],8,TRUE)</f>
        <v>Wisconsin</v>
      </c>
      <c r="G84" s="1" t="s">
        <v>1576</v>
      </c>
      <c r="H84" s="1" t="str">
        <f>VLOOKUP(Salesdta[[#This Row],[Product_ID]],Product_Data_1[],2,TRUE)</f>
        <v>Beard Grooming Kit</v>
      </c>
      <c r="I84" s="1" t="str">
        <f>VLOOKUP(Salesdta[[#This Row],[Product_ID]],Product_Data_1[],3,TRUE)</f>
        <v>Beauty</v>
      </c>
      <c r="J84" s="1">
        <f>VLOOKUP(Salesdta[[#This Row],[Product_ID]],Product_Data_1[],7,TRUE)</f>
        <v>337</v>
      </c>
      <c r="K84" s="1" t="s">
        <v>1753</v>
      </c>
      <c r="L84" s="1" t="str">
        <f>VLOOKUP(Salesdta[[#This Row],[Store_ID]],Store_Data_1[],3,TRUE)</f>
        <v>North</v>
      </c>
      <c r="M84" s="1">
        <v>4</v>
      </c>
      <c r="N84" s="1">
        <v>102</v>
      </c>
      <c r="O84" s="12">
        <v>0.17</v>
      </c>
      <c r="P84" s="1" t="s">
        <v>1819</v>
      </c>
      <c r="Q84" s="1">
        <v>339</v>
      </c>
      <c r="R84" s="1">
        <f>Salesdta[[#This Row],[Final Revenue]]-Salesdta[[#This Row],[Product cost]]</f>
        <v>2</v>
      </c>
      <c r="S84" s="1" t="str">
        <f>IF(Salesdta[[#This Row],[Final Revenue]]&gt;1000,"Selected","Not Selected")</f>
        <v>Not Selected</v>
      </c>
    </row>
    <row r="85" spans="1:19" x14ac:dyDescent="0.35">
      <c r="A85" s="6" t="s">
        <v>1902</v>
      </c>
      <c r="B85" s="20">
        <v>45530</v>
      </c>
      <c r="C85" s="1" t="str">
        <f>TEXT(Salesdta[[#This Row],[Order_Date]],"mmmm")</f>
        <v>August</v>
      </c>
      <c r="D85" s="1" t="s">
        <v>939</v>
      </c>
      <c r="E85" s="1" t="str">
        <f>VLOOKUP(Salesdta[[#This Row],[Customer_ID]],Customer_Data_[],6,TRUE)</f>
        <v>Male</v>
      </c>
      <c r="F85" s="1" t="str">
        <f>VLOOKUP(Salesdta[[#This Row],[Customer_ID]],Customer_Data_[],8,TRUE)</f>
        <v>Maine</v>
      </c>
      <c r="G85" s="1" t="s">
        <v>1738</v>
      </c>
      <c r="H85" s="1" t="str">
        <f>VLOOKUP(Salesdta[[#This Row],[Product_ID]],Product_Data_1[],2,TRUE)</f>
        <v>Cricket Bat</v>
      </c>
      <c r="I85" s="1" t="str">
        <f>VLOOKUP(Salesdta[[#This Row],[Product_ID]],Product_Data_1[],3,TRUE)</f>
        <v>Sports</v>
      </c>
      <c r="J85" s="1">
        <f>VLOOKUP(Salesdta[[#This Row],[Product_ID]],Product_Data_1[],7,TRUE)</f>
        <v>246</v>
      </c>
      <c r="K85" s="1" t="s">
        <v>1809</v>
      </c>
      <c r="L85" s="1" t="str">
        <f>VLOOKUP(Salesdta[[#This Row],[Store_ID]],Store_Data_1[],3,TRUE)</f>
        <v>North</v>
      </c>
      <c r="M85" s="1">
        <v>2</v>
      </c>
      <c r="N85" s="1">
        <v>569</v>
      </c>
      <c r="O85" s="12">
        <v>0.01</v>
      </c>
      <c r="P85" s="1" t="s">
        <v>1819</v>
      </c>
      <c r="Q85" s="1">
        <v>1088</v>
      </c>
      <c r="R85" s="1">
        <f>Salesdta[[#This Row],[Final Revenue]]-Salesdta[[#This Row],[Product cost]]</f>
        <v>842</v>
      </c>
      <c r="S85" s="1" t="str">
        <f>IF(Salesdta[[#This Row],[Final Revenue]]&gt;1000,"Selected","Not Selected")</f>
        <v>Selected</v>
      </c>
    </row>
    <row r="86" spans="1:19" x14ac:dyDescent="0.35">
      <c r="A86" s="6" t="s">
        <v>1903</v>
      </c>
      <c r="B86" s="20">
        <v>45556</v>
      </c>
      <c r="C86" s="1" t="str">
        <f>TEXT(Salesdta[[#This Row],[Order_Date]],"mmmm")</f>
        <v>September</v>
      </c>
      <c r="D86" s="1" t="s">
        <v>1008</v>
      </c>
      <c r="E86" s="1" t="str">
        <f>VLOOKUP(Salesdta[[#This Row],[Customer_ID]],Customer_Data_[],6,TRUE)</f>
        <v>Female</v>
      </c>
      <c r="F86" s="1" t="str">
        <f>VLOOKUP(Salesdta[[#This Row],[Customer_ID]],Customer_Data_[],8,TRUE)</f>
        <v>Tennessee</v>
      </c>
      <c r="G86" s="1" t="s">
        <v>1742</v>
      </c>
      <c r="H86" s="1" t="str">
        <f>VLOOKUP(Salesdta[[#This Row],[Product_ID]],Product_Data_1[],2,TRUE)</f>
        <v>Stainless Steel Cookware Set</v>
      </c>
      <c r="I86" s="1" t="str">
        <f>VLOOKUP(Salesdta[[#This Row],[Product_ID]],Product_Data_1[],3,TRUE)</f>
        <v>Home</v>
      </c>
      <c r="J86" s="1">
        <f>VLOOKUP(Salesdta[[#This Row],[Product_ID]],Product_Data_1[],7,TRUE)</f>
        <v>201</v>
      </c>
      <c r="K86" s="1" t="s">
        <v>1772</v>
      </c>
      <c r="L86" s="1" t="str">
        <f>VLOOKUP(Salesdta[[#This Row],[Store_ID]],Store_Data_1[],3,TRUE)</f>
        <v>East</v>
      </c>
      <c r="M86" s="1">
        <v>2</v>
      </c>
      <c r="N86" s="1">
        <v>68</v>
      </c>
      <c r="O86" s="12">
        <v>0.14000000000000001</v>
      </c>
      <c r="P86" s="1" t="s">
        <v>1822</v>
      </c>
      <c r="Q86" s="1">
        <v>117</v>
      </c>
      <c r="R86" s="1">
        <f>Salesdta[[#This Row],[Final Revenue]]-Salesdta[[#This Row],[Product cost]]</f>
        <v>-84</v>
      </c>
      <c r="S86" s="1" t="str">
        <f>IF(Salesdta[[#This Row],[Final Revenue]]&gt;1000,"Selected","Not Selected")</f>
        <v>Not Selected</v>
      </c>
    </row>
    <row r="87" spans="1:19" x14ac:dyDescent="0.35">
      <c r="A87" s="6" t="s">
        <v>1904</v>
      </c>
      <c r="B87" s="20">
        <v>45523</v>
      </c>
      <c r="C87" s="1" t="str">
        <f>TEXT(Salesdta[[#This Row],[Order_Date]],"mmmm")</f>
        <v>August</v>
      </c>
      <c r="D87" s="1" t="s">
        <v>779</v>
      </c>
      <c r="E87" s="1" t="str">
        <f>VLOOKUP(Salesdta[[#This Row],[Customer_ID]],Customer_Data_[],6,TRUE)</f>
        <v>Male</v>
      </c>
      <c r="F87" s="1" t="str">
        <f>VLOOKUP(Salesdta[[#This Row],[Customer_ID]],Customer_Data_[],8,TRUE)</f>
        <v>Utah</v>
      </c>
      <c r="G87" s="1" t="s">
        <v>1644</v>
      </c>
      <c r="H87" s="1" t="str">
        <f>VLOOKUP(Salesdta[[#This Row],[Product_ID]],Product_Data_1[],2,TRUE)</f>
        <v>Boxing Hand Wraps</v>
      </c>
      <c r="I87" s="1" t="str">
        <f>VLOOKUP(Salesdta[[#This Row],[Product_ID]],Product_Data_1[],3,TRUE)</f>
        <v>Sports</v>
      </c>
      <c r="J87" s="1">
        <f>VLOOKUP(Salesdta[[#This Row],[Product_ID]],Product_Data_1[],7,TRUE)</f>
        <v>190</v>
      </c>
      <c r="K87" s="1" t="s">
        <v>1785</v>
      </c>
      <c r="L87" s="1" t="str">
        <f>VLOOKUP(Salesdta[[#This Row],[Store_ID]],Store_Data_1[],3,TRUE)</f>
        <v>North</v>
      </c>
      <c r="M87" s="1">
        <v>1</v>
      </c>
      <c r="N87" s="1">
        <v>843</v>
      </c>
      <c r="O87" s="12">
        <v>0.06</v>
      </c>
      <c r="P87" s="1" t="s">
        <v>1822</v>
      </c>
      <c r="Q87" s="1">
        <v>792</v>
      </c>
      <c r="R87" s="1">
        <f>Salesdta[[#This Row],[Final Revenue]]-Salesdta[[#This Row],[Product cost]]</f>
        <v>602</v>
      </c>
      <c r="S87" s="1" t="str">
        <f>IF(Salesdta[[#This Row],[Final Revenue]]&gt;1000,"Selected","Not Selected")</f>
        <v>Not Selected</v>
      </c>
    </row>
    <row r="88" spans="1:19" x14ac:dyDescent="0.35">
      <c r="A88" s="6" t="s">
        <v>1905</v>
      </c>
      <c r="B88" s="20">
        <v>45587</v>
      </c>
      <c r="C88" s="1" t="str">
        <f>TEXT(Salesdta[[#This Row],[Order_Date]],"mmmm")</f>
        <v>October</v>
      </c>
      <c r="D88" s="1" t="s">
        <v>908</v>
      </c>
      <c r="E88" s="1" t="str">
        <f>VLOOKUP(Salesdta[[#This Row],[Customer_ID]],Customer_Data_[],6,TRUE)</f>
        <v>Female</v>
      </c>
      <c r="F88" s="1" t="str">
        <f>VLOOKUP(Salesdta[[#This Row],[Customer_ID]],Customer_Data_[],8,TRUE)</f>
        <v>Vermont</v>
      </c>
      <c r="G88" s="1" t="s">
        <v>1547</v>
      </c>
      <c r="H88" s="1" t="str">
        <f>VLOOKUP(Salesdta[[#This Row],[Product_ID]],Product_Data_1[],2,TRUE)</f>
        <v>Fabric Sofa Throw Blanket</v>
      </c>
      <c r="I88" s="1" t="str">
        <f>VLOOKUP(Salesdta[[#This Row],[Product_ID]],Product_Data_1[],3,TRUE)</f>
        <v>Home</v>
      </c>
      <c r="J88" s="1">
        <f>VLOOKUP(Salesdta[[#This Row],[Product_ID]],Product_Data_1[],7,TRUE)</f>
        <v>218</v>
      </c>
      <c r="K88" s="1" t="s">
        <v>1762</v>
      </c>
      <c r="L88" s="1" t="str">
        <f>VLOOKUP(Salesdta[[#This Row],[Store_ID]],Store_Data_1[],3,TRUE)</f>
        <v>North</v>
      </c>
      <c r="M88" s="1">
        <v>3</v>
      </c>
      <c r="N88" s="1">
        <v>752</v>
      </c>
      <c r="O88" s="12">
        <v>0.26</v>
      </c>
      <c r="P88" s="1" t="s">
        <v>1819</v>
      </c>
      <c r="Q88" s="1">
        <v>1669</v>
      </c>
      <c r="R88" s="1">
        <f>Salesdta[[#This Row],[Final Revenue]]-Salesdta[[#This Row],[Product cost]]</f>
        <v>1451</v>
      </c>
      <c r="S88" s="1" t="str">
        <f>IF(Salesdta[[#This Row],[Final Revenue]]&gt;1000,"Selected","Not Selected")</f>
        <v>Selected</v>
      </c>
    </row>
    <row r="89" spans="1:19" x14ac:dyDescent="0.35">
      <c r="A89" s="6" t="s">
        <v>1906</v>
      </c>
      <c r="B89" s="20">
        <v>45580</v>
      </c>
      <c r="C89" s="1" t="str">
        <f>TEXT(Salesdta[[#This Row],[Order_Date]],"mmmm")</f>
        <v>October</v>
      </c>
      <c r="D89" s="1" t="s">
        <v>446</v>
      </c>
      <c r="E89" s="1" t="str">
        <f>VLOOKUP(Salesdta[[#This Row],[Customer_ID]],Customer_Data_[],6,TRUE)</f>
        <v>Female</v>
      </c>
      <c r="F89" s="1" t="str">
        <f>VLOOKUP(Salesdta[[#This Row],[Customer_ID]],Customer_Data_[],8,TRUE)</f>
        <v>Alabama</v>
      </c>
      <c r="G89" s="1" t="s">
        <v>1656</v>
      </c>
      <c r="H89" s="1" t="str">
        <f>VLOOKUP(Salesdta[[#This Row],[Product_ID]],Product_Data_1[],2,TRUE)</f>
        <v>Premium Blanket Throw</v>
      </c>
      <c r="I89" s="1" t="str">
        <f>VLOOKUP(Salesdta[[#This Row],[Product_ID]],Product_Data_1[],3,TRUE)</f>
        <v>Home</v>
      </c>
      <c r="J89" s="1">
        <f>VLOOKUP(Salesdta[[#This Row],[Product_ID]],Product_Data_1[],7,TRUE)</f>
        <v>461</v>
      </c>
      <c r="K89" s="1" t="s">
        <v>1775</v>
      </c>
      <c r="L89" s="1" t="str">
        <f>VLOOKUP(Salesdta[[#This Row],[Store_ID]],Store_Data_1[],3,TRUE)</f>
        <v>South</v>
      </c>
      <c r="M89" s="1">
        <v>4</v>
      </c>
      <c r="N89" s="1">
        <v>476</v>
      </c>
      <c r="O89" s="12">
        <v>0.17</v>
      </c>
      <c r="P89" s="1" t="s">
        <v>1817</v>
      </c>
      <c r="Q89" s="1">
        <v>1581</v>
      </c>
      <c r="R89" s="1">
        <f>Salesdta[[#This Row],[Final Revenue]]-Salesdta[[#This Row],[Product cost]]</f>
        <v>1120</v>
      </c>
      <c r="S89" s="1" t="str">
        <f>IF(Salesdta[[#This Row],[Final Revenue]]&gt;1000,"Selected","Not Selected")</f>
        <v>Selected</v>
      </c>
    </row>
    <row r="90" spans="1:19" x14ac:dyDescent="0.35">
      <c r="A90" s="6" t="s">
        <v>1907</v>
      </c>
      <c r="B90" s="20">
        <v>45479</v>
      </c>
      <c r="C90" s="1" t="str">
        <f>TEXT(Salesdta[[#This Row],[Order_Date]],"mmmm")</f>
        <v>July</v>
      </c>
      <c r="D90" s="1" t="s">
        <v>1020</v>
      </c>
      <c r="E90" s="1" t="str">
        <f>VLOOKUP(Salesdta[[#This Row],[Customer_ID]],Customer_Data_[],6,TRUE)</f>
        <v>Male</v>
      </c>
      <c r="F90" s="1" t="str">
        <f>VLOOKUP(Salesdta[[#This Row],[Customer_ID]],Customer_Data_[],8,TRUE)</f>
        <v>Wisconsin</v>
      </c>
      <c r="G90" s="1" t="s">
        <v>1652</v>
      </c>
      <c r="H90" s="1" t="str">
        <f>VLOOKUP(Salesdta[[#This Row],[Product_ID]],Product_Data_1[],2,TRUE)</f>
        <v>Sports Stopwatch Pro</v>
      </c>
      <c r="I90" s="1" t="str">
        <f>VLOOKUP(Salesdta[[#This Row],[Product_ID]],Product_Data_1[],3,TRUE)</f>
        <v>Sports</v>
      </c>
      <c r="J90" s="1">
        <f>VLOOKUP(Salesdta[[#This Row],[Product_ID]],Product_Data_1[],7,TRUE)</f>
        <v>435</v>
      </c>
      <c r="K90" s="1" t="s">
        <v>1762</v>
      </c>
      <c r="L90" s="1" t="str">
        <f>VLOOKUP(Salesdta[[#This Row],[Store_ID]],Store_Data_1[],3,TRUE)</f>
        <v>North</v>
      </c>
      <c r="M90" s="1">
        <v>3</v>
      </c>
      <c r="N90" s="1">
        <v>542</v>
      </c>
      <c r="O90" s="12">
        <v>0.24</v>
      </c>
      <c r="P90" s="1" t="s">
        <v>1822</v>
      </c>
      <c r="Q90" s="1">
        <v>1236</v>
      </c>
      <c r="R90" s="1">
        <f>Salesdta[[#This Row],[Final Revenue]]-Salesdta[[#This Row],[Product cost]]</f>
        <v>801</v>
      </c>
      <c r="S90" s="1" t="str">
        <f>IF(Salesdta[[#This Row],[Final Revenue]]&gt;1000,"Selected","Not Selected")</f>
        <v>Selected</v>
      </c>
    </row>
    <row r="91" spans="1:19" x14ac:dyDescent="0.35">
      <c r="A91" s="6" t="s">
        <v>1908</v>
      </c>
      <c r="B91" s="20">
        <v>45677</v>
      </c>
      <c r="C91" s="1" t="str">
        <f>TEXT(Salesdta[[#This Row],[Order_Date]],"mmmm")</f>
        <v>January</v>
      </c>
      <c r="D91" s="1" t="s">
        <v>1151</v>
      </c>
      <c r="E91" s="1" t="str">
        <f>VLOOKUP(Salesdta[[#This Row],[Customer_ID]],Customer_Data_[],6,TRUE)</f>
        <v>Female</v>
      </c>
      <c r="F91" s="1" t="str">
        <f>VLOOKUP(Salesdta[[#This Row],[Customer_ID]],Customer_Data_[],8,TRUE)</f>
        <v>Vermont</v>
      </c>
      <c r="G91" s="1" t="s">
        <v>1610</v>
      </c>
      <c r="H91" s="1" t="str">
        <f>VLOOKUP(Salesdta[[#This Row],[Product_ID]],Product_Data_1[],2,TRUE)</f>
        <v>Modern Wall Clock</v>
      </c>
      <c r="I91" s="1" t="str">
        <f>VLOOKUP(Salesdta[[#This Row],[Product_ID]],Product_Data_1[],3,TRUE)</f>
        <v>Home</v>
      </c>
      <c r="J91" s="1">
        <f>VLOOKUP(Salesdta[[#This Row],[Product_ID]],Product_Data_1[],7,TRUE)</f>
        <v>180</v>
      </c>
      <c r="K91" s="1" t="s">
        <v>1769</v>
      </c>
      <c r="L91" s="1" t="str">
        <f>VLOOKUP(Salesdta[[#This Row],[Store_ID]],Store_Data_1[],3,TRUE)</f>
        <v>North</v>
      </c>
      <c r="M91" s="1">
        <v>2</v>
      </c>
      <c r="N91" s="1">
        <v>402</v>
      </c>
      <c r="O91" s="12">
        <v>0.18</v>
      </c>
      <c r="P91" s="1" t="s">
        <v>1817</v>
      </c>
      <c r="Q91" s="1">
        <v>658</v>
      </c>
      <c r="R91" s="1">
        <f>Salesdta[[#This Row],[Final Revenue]]-Salesdta[[#This Row],[Product cost]]</f>
        <v>478</v>
      </c>
      <c r="S91" s="1" t="str">
        <f>IF(Salesdta[[#This Row],[Final Revenue]]&gt;1000,"Selected","Not Selected")</f>
        <v>Not Selected</v>
      </c>
    </row>
    <row r="92" spans="1:19" x14ac:dyDescent="0.35">
      <c r="A92" s="6" t="s">
        <v>1909</v>
      </c>
      <c r="B92" s="20">
        <v>45552</v>
      </c>
      <c r="C92" s="1" t="str">
        <f>TEXT(Salesdta[[#This Row],[Order_Date]],"mmmm")</f>
        <v>September</v>
      </c>
      <c r="D92" s="1" t="s">
        <v>344</v>
      </c>
      <c r="E92" s="1" t="str">
        <f>VLOOKUP(Salesdta[[#This Row],[Customer_ID]],Customer_Data_[],6,TRUE)</f>
        <v>Male</v>
      </c>
      <c r="F92" s="1" t="str">
        <f>VLOOKUP(Salesdta[[#This Row],[Customer_ID]],Customer_Data_[],8,TRUE)</f>
        <v>South Dakota</v>
      </c>
      <c r="G92" s="1" t="s">
        <v>1704</v>
      </c>
      <c r="H92" s="1" t="str">
        <f>VLOOKUP(Salesdta[[#This Row],[Product_ID]],Product_Data_1[],2,TRUE)</f>
        <v>Wall-Mounted Spice Rack</v>
      </c>
      <c r="I92" s="1" t="str">
        <f>VLOOKUP(Salesdta[[#This Row],[Product_ID]],Product_Data_1[],3,TRUE)</f>
        <v>Home</v>
      </c>
      <c r="J92" s="1">
        <f>VLOOKUP(Salesdta[[#This Row],[Product_ID]],Product_Data_1[],7,TRUE)</f>
        <v>143</v>
      </c>
      <c r="K92" s="1" t="s">
        <v>1790</v>
      </c>
      <c r="L92" s="1" t="str">
        <f>VLOOKUP(Salesdta[[#This Row],[Store_ID]],Store_Data_1[],3,TRUE)</f>
        <v>North</v>
      </c>
      <c r="M92" s="1">
        <v>2</v>
      </c>
      <c r="N92" s="1">
        <v>472</v>
      </c>
      <c r="O92" s="12">
        <v>0.24</v>
      </c>
      <c r="P92" s="1" t="s">
        <v>1819</v>
      </c>
      <c r="Q92" s="1">
        <v>717</v>
      </c>
      <c r="R92" s="1">
        <f>Salesdta[[#This Row],[Final Revenue]]-Salesdta[[#This Row],[Product cost]]</f>
        <v>574</v>
      </c>
      <c r="S92" s="1" t="str">
        <f>IF(Salesdta[[#This Row],[Final Revenue]]&gt;1000,"Selected","Not Selected")</f>
        <v>Not Selected</v>
      </c>
    </row>
    <row r="93" spans="1:19" x14ac:dyDescent="0.35">
      <c r="A93" s="6" t="s">
        <v>1910</v>
      </c>
      <c r="B93" s="20">
        <v>45907</v>
      </c>
      <c r="C93" s="1" t="str">
        <f>TEXT(Salesdta[[#This Row],[Order_Date]],"mmmm")</f>
        <v>September</v>
      </c>
      <c r="D93" s="1" t="s">
        <v>598</v>
      </c>
      <c r="E93" s="1" t="str">
        <f>VLOOKUP(Salesdta[[#This Row],[Customer_ID]],Customer_Data_[],6,TRUE)</f>
        <v>Female</v>
      </c>
      <c r="F93" s="1" t="str">
        <f>VLOOKUP(Salesdta[[#This Row],[Customer_ID]],Customer_Data_[],8,TRUE)</f>
        <v>Oklahoma</v>
      </c>
      <c r="G93" s="1" t="s">
        <v>1612</v>
      </c>
      <c r="H93" s="1" t="str">
        <f>VLOOKUP(Salesdta[[#This Row],[Product_ID]],Product_Data_1[],2,TRUE)</f>
        <v>Gaming Mechanical Keyboard</v>
      </c>
      <c r="I93" s="1" t="str">
        <f>VLOOKUP(Salesdta[[#This Row],[Product_ID]],Product_Data_1[],3,TRUE)</f>
        <v>Electronics</v>
      </c>
      <c r="J93" s="1">
        <f>VLOOKUP(Salesdta[[#This Row],[Product_ID]],Product_Data_1[],7,TRUE)</f>
        <v>419</v>
      </c>
      <c r="K93" s="1" t="s">
        <v>1765</v>
      </c>
      <c r="L93" s="1" t="str">
        <f>VLOOKUP(Salesdta[[#This Row],[Store_ID]],Store_Data_1[],3,TRUE)</f>
        <v>South</v>
      </c>
      <c r="M93" s="1">
        <v>4</v>
      </c>
      <c r="N93" s="1">
        <v>925</v>
      </c>
      <c r="O93" s="12">
        <v>0.19</v>
      </c>
      <c r="P93" s="1" t="s">
        <v>1819</v>
      </c>
      <c r="Q93" s="1">
        <v>2998</v>
      </c>
      <c r="R93" s="1">
        <f>Salesdta[[#This Row],[Final Revenue]]-Salesdta[[#This Row],[Product cost]]</f>
        <v>2579</v>
      </c>
      <c r="S93" s="1" t="str">
        <f>IF(Salesdta[[#This Row],[Final Revenue]]&gt;1000,"Selected","Not Selected")</f>
        <v>Selected</v>
      </c>
    </row>
    <row r="94" spans="1:19" x14ac:dyDescent="0.35">
      <c r="A94" s="6" t="s">
        <v>1911</v>
      </c>
      <c r="B94" s="20">
        <v>45330</v>
      </c>
      <c r="C94" s="1" t="str">
        <f>TEXT(Salesdta[[#This Row],[Order_Date]],"mmmm")</f>
        <v>February</v>
      </c>
      <c r="D94" s="1" t="s">
        <v>119</v>
      </c>
      <c r="E94" s="1" t="str">
        <f>VLOOKUP(Salesdta[[#This Row],[Customer_ID]],Customer_Data_[],6,TRUE)</f>
        <v>Female</v>
      </c>
      <c r="F94" s="1" t="str">
        <f>VLOOKUP(Salesdta[[#This Row],[Customer_ID]],Customer_Data_[],8,TRUE)</f>
        <v>California</v>
      </c>
      <c r="G94" s="1" t="s">
        <v>1716</v>
      </c>
      <c r="H94" s="1" t="str">
        <f>VLOOKUP(Salesdta[[#This Row],[Product_ID]],Product_Data_1[],2,TRUE)</f>
        <v>Kitchen Cutting Board</v>
      </c>
      <c r="I94" s="1" t="str">
        <f>VLOOKUP(Salesdta[[#This Row],[Product_ID]],Product_Data_1[],3,TRUE)</f>
        <v>Home</v>
      </c>
      <c r="J94" s="1">
        <f>VLOOKUP(Salesdta[[#This Row],[Product_ID]],Product_Data_1[],7,TRUE)</f>
        <v>176</v>
      </c>
      <c r="K94" s="1" t="s">
        <v>1788</v>
      </c>
      <c r="L94" s="1" t="str">
        <f>VLOOKUP(Salesdta[[#This Row],[Store_ID]],Store_Data_1[],3,TRUE)</f>
        <v>North</v>
      </c>
      <c r="M94" s="1">
        <v>2</v>
      </c>
      <c r="N94" s="1">
        <v>880</v>
      </c>
      <c r="O94" s="12">
        <v>7.0000000000000007E-2</v>
      </c>
      <c r="P94" s="1" t="s">
        <v>1822</v>
      </c>
      <c r="Q94" s="1">
        <v>1636</v>
      </c>
      <c r="R94" s="1">
        <f>Salesdta[[#This Row],[Final Revenue]]-Salesdta[[#This Row],[Product cost]]</f>
        <v>1460</v>
      </c>
      <c r="S94" s="1" t="str">
        <f>IF(Salesdta[[#This Row],[Final Revenue]]&gt;1000,"Selected","Not Selected")</f>
        <v>Selected</v>
      </c>
    </row>
    <row r="95" spans="1:19" x14ac:dyDescent="0.35">
      <c r="A95" s="6" t="s">
        <v>1912</v>
      </c>
      <c r="B95" s="20">
        <v>45214</v>
      </c>
      <c r="C95" s="1" t="str">
        <f>TEXT(Salesdta[[#This Row],[Order_Date]],"mmmm")</f>
        <v>October</v>
      </c>
      <c r="D95" s="1" t="s">
        <v>18</v>
      </c>
      <c r="E95" s="1" t="str">
        <f>VLOOKUP(Salesdta[[#This Row],[Customer_ID]],Customer_Data_[],6,TRUE)</f>
        <v>Female</v>
      </c>
      <c r="F95" s="1" t="str">
        <f>VLOOKUP(Salesdta[[#This Row],[Customer_ID]],Customer_Data_[],8,TRUE)</f>
        <v>Alabama</v>
      </c>
      <c r="G95" s="1" t="s">
        <v>1702</v>
      </c>
      <c r="H95" s="1" t="str">
        <f>VLOOKUP(Salesdta[[#This Row],[Product_ID]],Product_Data_1[],2,TRUE)</f>
        <v>Decorative Lamp Shade</v>
      </c>
      <c r="I95" s="1" t="str">
        <f>VLOOKUP(Salesdta[[#This Row],[Product_ID]],Product_Data_1[],3,TRUE)</f>
        <v>Home</v>
      </c>
      <c r="J95" s="1">
        <f>VLOOKUP(Salesdta[[#This Row],[Product_ID]],Product_Data_1[],7,TRUE)</f>
        <v>229</v>
      </c>
      <c r="K95" s="1" t="s">
        <v>1803</v>
      </c>
      <c r="L95" s="1" t="str">
        <f>VLOOKUP(Salesdta[[#This Row],[Store_ID]],Store_Data_1[],3,TRUE)</f>
        <v>North</v>
      </c>
      <c r="M95" s="1">
        <v>2</v>
      </c>
      <c r="N95" s="1">
        <v>418</v>
      </c>
      <c r="O95" s="12">
        <v>0.28000000000000003</v>
      </c>
      <c r="P95" s="1" t="s">
        <v>1817</v>
      </c>
      <c r="Q95" s="1">
        <v>602</v>
      </c>
      <c r="R95" s="1">
        <f>Salesdta[[#This Row],[Final Revenue]]-Salesdta[[#This Row],[Product cost]]</f>
        <v>373</v>
      </c>
      <c r="S95" s="1" t="str">
        <f>IF(Salesdta[[#This Row],[Final Revenue]]&gt;1000,"Selected","Not Selected")</f>
        <v>Not Selected</v>
      </c>
    </row>
    <row r="96" spans="1:19" x14ac:dyDescent="0.35">
      <c r="A96" s="6" t="s">
        <v>1913</v>
      </c>
      <c r="B96" s="20">
        <v>45323</v>
      </c>
      <c r="C96" s="1" t="str">
        <f>TEXT(Salesdta[[#This Row],[Order_Date]],"mmmm")</f>
        <v>February</v>
      </c>
      <c r="D96" s="1" t="s">
        <v>1059</v>
      </c>
      <c r="E96" s="1" t="str">
        <f>VLOOKUP(Salesdta[[#This Row],[Customer_ID]],Customer_Data_[],6,TRUE)</f>
        <v>Female</v>
      </c>
      <c r="F96" s="1" t="str">
        <f>VLOOKUP(Salesdta[[#This Row],[Customer_ID]],Customer_Data_[],8,TRUE)</f>
        <v>Connecticut</v>
      </c>
      <c r="G96" s="1" t="s">
        <v>1716</v>
      </c>
      <c r="H96" s="1" t="str">
        <f>VLOOKUP(Salesdta[[#This Row],[Product_ID]],Product_Data_1[],2,TRUE)</f>
        <v>Kitchen Cutting Board</v>
      </c>
      <c r="I96" s="1" t="str">
        <f>VLOOKUP(Salesdta[[#This Row],[Product_ID]],Product_Data_1[],3,TRUE)</f>
        <v>Home</v>
      </c>
      <c r="J96" s="1">
        <f>VLOOKUP(Salesdta[[#This Row],[Product_ID]],Product_Data_1[],7,TRUE)</f>
        <v>176</v>
      </c>
      <c r="K96" s="1" t="s">
        <v>1775</v>
      </c>
      <c r="L96" s="1" t="str">
        <f>VLOOKUP(Salesdta[[#This Row],[Store_ID]],Store_Data_1[],3,TRUE)</f>
        <v>South</v>
      </c>
      <c r="M96" s="1">
        <v>4</v>
      </c>
      <c r="N96" s="1">
        <v>526</v>
      </c>
      <c r="O96" s="12">
        <v>0.02</v>
      </c>
      <c r="P96" s="1" t="s">
        <v>1819</v>
      </c>
      <c r="Q96" s="1">
        <v>2060</v>
      </c>
      <c r="R96" s="1">
        <f>Salesdta[[#This Row],[Final Revenue]]-Salesdta[[#This Row],[Product cost]]</f>
        <v>1884</v>
      </c>
      <c r="S96" s="1" t="str">
        <f>IF(Salesdta[[#This Row],[Final Revenue]]&gt;1000,"Selected","Not Selected")</f>
        <v>Selected</v>
      </c>
    </row>
    <row r="97" spans="1:19" x14ac:dyDescent="0.35">
      <c r="A97" s="6" t="s">
        <v>1914</v>
      </c>
      <c r="B97" s="20">
        <v>45785</v>
      </c>
      <c r="C97" s="1" t="str">
        <f>TEXT(Salesdta[[#This Row],[Order_Date]],"mmmm")</f>
        <v>May</v>
      </c>
      <c r="D97" s="1" t="s">
        <v>158</v>
      </c>
      <c r="E97" s="1" t="str">
        <f>VLOOKUP(Salesdta[[#This Row],[Customer_ID]],Customer_Data_[],6,TRUE)</f>
        <v>Male</v>
      </c>
      <c r="F97" s="1" t="str">
        <f>VLOOKUP(Salesdta[[#This Row],[Customer_ID]],Customer_Data_[],8,TRUE)</f>
        <v>Alaska</v>
      </c>
      <c r="G97" s="1" t="s">
        <v>1588</v>
      </c>
      <c r="H97" s="1" t="str">
        <f>VLOOKUP(Salesdta[[#This Row],[Product_ID]],Product_Data_1[],2,TRUE)</f>
        <v>Carbon Fiber Tennis Racket</v>
      </c>
      <c r="I97" s="1" t="str">
        <f>VLOOKUP(Salesdta[[#This Row],[Product_ID]],Product_Data_1[],3,TRUE)</f>
        <v>Sports</v>
      </c>
      <c r="J97" s="1">
        <f>VLOOKUP(Salesdta[[#This Row],[Product_ID]],Product_Data_1[],7,TRUE)</f>
        <v>485</v>
      </c>
      <c r="K97" s="1" t="s">
        <v>1793</v>
      </c>
      <c r="L97" s="1" t="str">
        <f>VLOOKUP(Salesdta[[#This Row],[Store_ID]],Store_Data_1[],3,TRUE)</f>
        <v>North</v>
      </c>
      <c r="M97" s="1">
        <v>3</v>
      </c>
      <c r="N97" s="1">
        <v>815</v>
      </c>
      <c r="O97" s="12">
        <v>0.03</v>
      </c>
      <c r="P97" s="1" t="s">
        <v>1817</v>
      </c>
      <c r="Q97" s="1">
        <v>2373</v>
      </c>
      <c r="R97" s="1">
        <f>Salesdta[[#This Row],[Final Revenue]]-Salesdta[[#This Row],[Product cost]]</f>
        <v>1888</v>
      </c>
      <c r="S97" s="1" t="str">
        <f>IF(Salesdta[[#This Row],[Final Revenue]]&gt;1000,"Selected","Not Selected")</f>
        <v>Selected</v>
      </c>
    </row>
    <row r="98" spans="1:19" x14ac:dyDescent="0.35">
      <c r="A98" s="6" t="s">
        <v>1915</v>
      </c>
      <c r="B98" s="20">
        <v>45738</v>
      </c>
      <c r="C98" s="1" t="str">
        <f>TEXT(Salesdta[[#This Row],[Order_Date]],"mmmm")</f>
        <v>March</v>
      </c>
      <c r="D98" s="1" t="s">
        <v>693</v>
      </c>
      <c r="E98" s="1" t="str">
        <f>VLOOKUP(Salesdta[[#This Row],[Customer_ID]],Customer_Data_[],6,TRUE)</f>
        <v>Male</v>
      </c>
      <c r="F98" s="1" t="str">
        <f>VLOOKUP(Salesdta[[#This Row],[Customer_ID]],Customer_Data_[],8,TRUE)</f>
        <v>Montana</v>
      </c>
      <c r="G98" s="1" t="s">
        <v>1726</v>
      </c>
      <c r="H98" s="1" t="str">
        <f>VLOOKUP(Salesdta[[#This Row],[Product_ID]],Product_Data_1[],2,TRUE)</f>
        <v>Women's High Heels</v>
      </c>
      <c r="I98" s="1" t="str">
        <f>VLOOKUP(Salesdta[[#This Row],[Product_ID]],Product_Data_1[],3,TRUE)</f>
        <v>Clothing</v>
      </c>
      <c r="J98" s="1">
        <f>VLOOKUP(Salesdta[[#This Row],[Product_ID]],Product_Data_1[],7,TRUE)</f>
        <v>438</v>
      </c>
      <c r="K98" s="1" t="s">
        <v>1748</v>
      </c>
      <c r="L98" s="1" t="str">
        <f>VLOOKUP(Salesdta[[#This Row],[Store_ID]],Store_Data_1[],3,TRUE)</f>
        <v>East</v>
      </c>
      <c r="M98" s="1">
        <v>3</v>
      </c>
      <c r="N98" s="1">
        <v>376</v>
      </c>
      <c r="O98" s="12">
        <v>0.09</v>
      </c>
      <c r="P98" s="1" t="s">
        <v>1822</v>
      </c>
      <c r="Q98" s="1">
        <v>1028</v>
      </c>
      <c r="R98" s="1">
        <f>Salesdta[[#This Row],[Final Revenue]]-Salesdta[[#This Row],[Product cost]]</f>
        <v>590</v>
      </c>
      <c r="S98" s="1" t="str">
        <f>IF(Salesdta[[#This Row],[Final Revenue]]&gt;1000,"Selected","Not Selected")</f>
        <v>Selected</v>
      </c>
    </row>
    <row r="99" spans="1:19" x14ac:dyDescent="0.35">
      <c r="A99" s="6" t="s">
        <v>1916</v>
      </c>
      <c r="B99" s="20">
        <v>45798</v>
      </c>
      <c r="C99" s="1" t="str">
        <f>TEXT(Salesdta[[#This Row],[Order_Date]],"mmmm")</f>
        <v>May</v>
      </c>
      <c r="D99" s="1" t="s">
        <v>411</v>
      </c>
      <c r="E99" s="1" t="str">
        <f>VLOOKUP(Salesdta[[#This Row],[Customer_ID]],Customer_Data_[],6,TRUE)</f>
        <v>Male</v>
      </c>
      <c r="F99" s="1" t="str">
        <f>VLOOKUP(Salesdta[[#This Row],[Customer_ID]],Customer_Data_[],8,TRUE)</f>
        <v>Tennessee</v>
      </c>
      <c r="G99" s="1" t="s">
        <v>1724</v>
      </c>
      <c r="H99" s="1" t="str">
        <f>VLOOKUP(Salesdta[[#This Row],[Product_ID]],Product_Data_1[],2,TRUE)</f>
        <v>Gaming Mouse Pad XL</v>
      </c>
      <c r="I99" s="1" t="str">
        <f>VLOOKUP(Salesdta[[#This Row],[Product_ID]],Product_Data_1[],3,TRUE)</f>
        <v>Electronics</v>
      </c>
      <c r="J99" s="1">
        <f>VLOOKUP(Salesdta[[#This Row],[Product_ID]],Product_Data_1[],7,TRUE)</f>
        <v>340</v>
      </c>
      <c r="K99" s="1" t="s">
        <v>1762</v>
      </c>
      <c r="L99" s="1" t="str">
        <f>VLOOKUP(Salesdta[[#This Row],[Store_ID]],Store_Data_1[],3,TRUE)</f>
        <v>North</v>
      </c>
      <c r="M99" s="1">
        <v>2</v>
      </c>
      <c r="N99" s="1">
        <v>846</v>
      </c>
      <c r="O99" s="12">
        <v>0.01</v>
      </c>
      <c r="P99" s="1" t="s">
        <v>1819</v>
      </c>
      <c r="Q99" s="1">
        <v>1675</v>
      </c>
      <c r="R99" s="1">
        <f>Salesdta[[#This Row],[Final Revenue]]-Salesdta[[#This Row],[Product cost]]</f>
        <v>1335</v>
      </c>
      <c r="S99" s="1" t="str">
        <f>IF(Salesdta[[#This Row],[Final Revenue]]&gt;1000,"Selected","Not Selected")</f>
        <v>Selected</v>
      </c>
    </row>
    <row r="100" spans="1:19" x14ac:dyDescent="0.35">
      <c r="A100" s="6" t="s">
        <v>1917</v>
      </c>
      <c r="B100" s="20">
        <v>45705</v>
      </c>
      <c r="C100" s="1" t="str">
        <f>TEXT(Salesdta[[#This Row],[Order_Date]],"mmmm")</f>
        <v>February</v>
      </c>
      <c r="D100" s="1" t="s">
        <v>311</v>
      </c>
      <c r="E100" s="1" t="str">
        <f>VLOOKUP(Salesdta[[#This Row],[Customer_ID]],Customer_Data_[],6,TRUE)</f>
        <v>Female</v>
      </c>
      <c r="F100" s="1" t="str">
        <f>VLOOKUP(Salesdta[[#This Row],[Customer_ID]],Customer_Data_[],8,TRUE)</f>
        <v>South Carolina</v>
      </c>
      <c r="G100" s="1" t="s">
        <v>1696</v>
      </c>
      <c r="H100" s="1" t="str">
        <f>VLOOKUP(Salesdta[[#This Row],[Product_ID]],Product_Data_1[],2,TRUE)</f>
        <v>Wireless Mouse</v>
      </c>
      <c r="I100" s="1" t="str">
        <f>VLOOKUP(Salesdta[[#This Row],[Product_ID]],Product_Data_1[],3,TRUE)</f>
        <v>Electronics</v>
      </c>
      <c r="J100" s="1">
        <f>VLOOKUP(Salesdta[[#This Row],[Product_ID]],Product_Data_1[],7,TRUE)</f>
        <v>393</v>
      </c>
      <c r="K100" s="1" t="s">
        <v>1793</v>
      </c>
      <c r="L100" s="1" t="str">
        <f>VLOOKUP(Salesdta[[#This Row],[Store_ID]],Store_Data_1[],3,TRUE)</f>
        <v>North</v>
      </c>
      <c r="M100" s="1">
        <v>3</v>
      </c>
      <c r="N100" s="1">
        <v>949</v>
      </c>
      <c r="O100" s="12">
        <v>0.28999999999999998</v>
      </c>
      <c r="P100" s="1" t="s">
        <v>1817</v>
      </c>
      <c r="Q100" s="1">
        <v>2021</v>
      </c>
      <c r="R100" s="1">
        <f>Salesdta[[#This Row],[Final Revenue]]-Salesdta[[#This Row],[Product cost]]</f>
        <v>1628</v>
      </c>
      <c r="S100" s="1" t="str">
        <f>IF(Salesdta[[#This Row],[Final Revenue]]&gt;1000,"Selected","Not Selected")</f>
        <v>Selected</v>
      </c>
    </row>
    <row r="101" spans="1:19" x14ac:dyDescent="0.35">
      <c r="A101" s="6" t="s">
        <v>1918</v>
      </c>
      <c r="B101" s="20">
        <v>45925</v>
      </c>
      <c r="C101" s="1" t="str">
        <f>TEXT(Salesdta[[#This Row],[Order_Date]],"mmmm")</f>
        <v>September</v>
      </c>
      <c r="D101" s="1" t="s">
        <v>818</v>
      </c>
      <c r="E101" s="1" t="str">
        <f>VLOOKUP(Salesdta[[#This Row],[Customer_ID]],Customer_Data_[],6,TRUE)</f>
        <v>Male</v>
      </c>
      <c r="F101" s="1" t="str">
        <f>VLOOKUP(Salesdta[[#This Row],[Customer_ID]],Customer_Data_[],8,TRUE)</f>
        <v>Massachusetts</v>
      </c>
      <c r="G101" s="1" t="s">
        <v>1714</v>
      </c>
      <c r="H101" s="1" t="str">
        <f>VLOOKUP(Salesdta[[#This Row],[Product_ID]],Product_Data_1[],2,TRUE)</f>
        <v>Women's Beanie Hat</v>
      </c>
      <c r="I101" s="1" t="str">
        <f>VLOOKUP(Salesdta[[#This Row],[Product_ID]],Product_Data_1[],3,TRUE)</f>
        <v>Clothing</v>
      </c>
      <c r="J101" s="1">
        <f>VLOOKUP(Salesdta[[#This Row],[Product_ID]],Product_Data_1[],7,TRUE)</f>
        <v>120</v>
      </c>
      <c r="K101" s="1" t="s">
        <v>1775</v>
      </c>
      <c r="L101" s="1" t="str">
        <f>VLOOKUP(Salesdta[[#This Row],[Store_ID]],Store_Data_1[],3,TRUE)</f>
        <v>South</v>
      </c>
      <c r="M101" s="1">
        <v>4</v>
      </c>
      <c r="N101" s="1">
        <v>931</v>
      </c>
      <c r="O101" s="12">
        <v>0.13</v>
      </c>
      <c r="P101" s="1" t="s">
        <v>1819</v>
      </c>
      <c r="Q101" s="1">
        <v>3239</v>
      </c>
      <c r="R101" s="1">
        <f>Salesdta[[#This Row],[Final Revenue]]-Salesdta[[#This Row],[Product cost]]</f>
        <v>3119</v>
      </c>
      <c r="S101" s="1" t="str">
        <f>IF(Salesdta[[#This Row],[Final Revenue]]&gt;1000,"Selected","Not Selected")</f>
        <v>Selected</v>
      </c>
    </row>
    <row r="102" spans="1:19" x14ac:dyDescent="0.35">
      <c r="A102" s="6" t="s">
        <v>1919</v>
      </c>
      <c r="B102" s="20">
        <v>45420</v>
      </c>
      <c r="C102" s="1" t="str">
        <f>TEXT(Salesdta[[#This Row],[Order_Date]],"mmmm")</f>
        <v>May</v>
      </c>
      <c r="D102" s="1" t="s">
        <v>1297</v>
      </c>
      <c r="E102" s="1" t="str">
        <f>VLOOKUP(Salesdta[[#This Row],[Customer_ID]],Customer_Data_[],6,TRUE)</f>
        <v>Male</v>
      </c>
      <c r="F102" s="1" t="str">
        <f>VLOOKUP(Salesdta[[#This Row],[Customer_ID]],Customer_Data_[],8,TRUE)</f>
        <v>Mississippi</v>
      </c>
      <c r="G102" s="1" t="s">
        <v>1547</v>
      </c>
      <c r="H102" s="1" t="str">
        <f>VLOOKUP(Salesdta[[#This Row],[Product_ID]],Product_Data_1[],2,TRUE)</f>
        <v>Fabric Sofa Throw Blanket</v>
      </c>
      <c r="I102" s="1" t="str">
        <f>VLOOKUP(Salesdta[[#This Row],[Product_ID]],Product_Data_1[],3,TRUE)</f>
        <v>Home</v>
      </c>
      <c r="J102" s="1">
        <f>VLOOKUP(Salesdta[[#This Row],[Product_ID]],Product_Data_1[],7,TRUE)</f>
        <v>218</v>
      </c>
      <c r="K102" s="1" t="s">
        <v>1778</v>
      </c>
      <c r="L102" s="1" t="str">
        <f>VLOOKUP(Salesdta[[#This Row],[Store_ID]],Store_Data_1[],3,TRUE)</f>
        <v>West</v>
      </c>
      <c r="M102" s="1">
        <v>4</v>
      </c>
      <c r="N102" s="1">
        <v>771</v>
      </c>
      <c r="O102" s="12">
        <v>0.22</v>
      </c>
      <c r="P102" s="1" t="s">
        <v>1817</v>
      </c>
      <c r="Q102" s="1">
        <v>2405</v>
      </c>
      <c r="R102" s="1">
        <f>Salesdta[[#This Row],[Final Revenue]]-Salesdta[[#This Row],[Product cost]]</f>
        <v>2187</v>
      </c>
      <c r="S102" s="1" t="str">
        <f>IF(Salesdta[[#This Row],[Final Revenue]]&gt;1000,"Selected","Not Selected")</f>
        <v>Selected</v>
      </c>
    </row>
    <row r="103" spans="1:19" x14ac:dyDescent="0.35">
      <c r="A103" s="6" t="s">
        <v>1920</v>
      </c>
      <c r="B103" s="20">
        <v>45554</v>
      </c>
      <c r="C103" s="1" t="str">
        <f>TEXT(Salesdta[[#This Row],[Order_Date]],"mmmm")</f>
        <v>September</v>
      </c>
      <c r="D103" s="1" t="s">
        <v>244</v>
      </c>
      <c r="E103" s="1" t="str">
        <f>VLOOKUP(Salesdta[[#This Row],[Customer_ID]],Customer_Data_[],6,TRUE)</f>
        <v>Male</v>
      </c>
      <c r="F103" s="1" t="str">
        <f>VLOOKUP(Salesdta[[#This Row],[Customer_ID]],Customer_Data_[],8,TRUE)</f>
        <v>Florida</v>
      </c>
      <c r="G103" s="1" t="s">
        <v>1636</v>
      </c>
      <c r="H103" s="1" t="str">
        <f>VLOOKUP(Salesdta[[#This Row],[Product_ID]],Product_Data_1[],2,TRUE)</f>
        <v>Men's Winter Jacket</v>
      </c>
      <c r="I103" s="1" t="str">
        <f>VLOOKUP(Salesdta[[#This Row],[Product_ID]],Product_Data_1[],3,TRUE)</f>
        <v>Clothing</v>
      </c>
      <c r="J103" s="1">
        <f>VLOOKUP(Salesdta[[#This Row],[Product_ID]],Product_Data_1[],7,TRUE)</f>
        <v>167</v>
      </c>
      <c r="K103" s="1" t="s">
        <v>1765</v>
      </c>
      <c r="L103" s="1" t="str">
        <f>VLOOKUP(Salesdta[[#This Row],[Store_ID]],Store_Data_1[],3,TRUE)</f>
        <v>South</v>
      </c>
      <c r="M103" s="1">
        <v>3</v>
      </c>
      <c r="N103" s="1">
        <v>480</v>
      </c>
      <c r="O103" s="12">
        <v>0.3</v>
      </c>
      <c r="P103" s="1" t="s">
        <v>1819</v>
      </c>
      <c r="Q103" s="1">
        <v>1007</v>
      </c>
      <c r="R103" s="1">
        <f>Salesdta[[#This Row],[Final Revenue]]-Salesdta[[#This Row],[Product cost]]</f>
        <v>840</v>
      </c>
      <c r="S103" s="1" t="str">
        <f>IF(Salesdta[[#This Row],[Final Revenue]]&gt;1000,"Selected","Not Selected")</f>
        <v>Selected</v>
      </c>
    </row>
    <row r="104" spans="1:19" x14ac:dyDescent="0.35">
      <c r="A104" s="6" t="s">
        <v>1921</v>
      </c>
      <c r="B104" s="20">
        <v>45405</v>
      </c>
      <c r="C104" s="1" t="str">
        <f>TEXT(Salesdta[[#This Row],[Order_Date]],"mmmm")</f>
        <v>April</v>
      </c>
      <c r="D104" s="1" t="s">
        <v>369</v>
      </c>
      <c r="E104" s="1" t="str">
        <f>VLOOKUP(Salesdta[[#This Row],[Customer_ID]],Customer_Data_[],6,TRUE)</f>
        <v>Female</v>
      </c>
      <c r="F104" s="1" t="str">
        <f>VLOOKUP(Salesdta[[#This Row],[Customer_ID]],Customer_Data_[],8,TRUE)</f>
        <v>Florida</v>
      </c>
      <c r="G104" s="1" t="s">
        <v>1622</v>
      </c>
      <c r="H104" s="1" t="str">
        <f>VLOOKUP(Salesdta[[#This Row],[Product_ID]],Product_Data_1[],2,TRUE)</f>
        <v>Portable Power Bank</v>
      </c>
      <c r="I104" s="1" t="str">
        <f>VLOOKUP(Salesdta[[#This Row],[Product_ID]],Product_Data_1[],3,TRUE)</f>
        <v>Electronics</v>
      </c>
      <c r="J104" s="1">
        <f>VLOOKUP(Salesdta[[#This Row],[Product_ID]],Product_Data_1[],7,TRUE)</f>
        <v>326</v>
      </c>
      <c r="K104" s="1" t="s">
        <v>1788</v>
      </c>
      <c r="L104" s="1" t="str">
        <f>VLOOKUP(Salesdta[[#This Row],[Store_ID]],Store_Data_1[],3,TRUE)</f>
        <v>North</v>
      </c>
      <c r="M104" s="1">
        <v>1</v>
      </c>
      <c r="N104" s="1">
        <v>165</v>
      </c>
      <c r="O104" s="12">
        <v>0.3</v>
      </c>
      <c r="P104" s="1" t="s">
        <v>1822</v>
      </c>
      <c r="Q104" s="1">
        <v>116</v>
      </c>
      <c r="R104" s="1">
        <f>Salesdta[[#This Row],[Final Revenue]]-Salesdta[[#This Row],[Product cost]]</f>
        <v>-210</v>
      </c>
      <c r="S104" s="1" t="str">
        <f>IF(Salesdta[[#This Row],[Final Revenue]]&gt;1000,"Selected","Not Selected")</f>
        <v>Not Selected</v>
      </c>
    </row>
    <row r="105" spans="1:19" x14ac:dyDescent="0.35">
      <c r="A105" s="6" t="s">
        <v>1922</v>
      </c>
      <c r="B105" s="20">
        <v>45503</v>
      </c>
      <c r="C105" s="1" t="str">
        <f>TEXT(Salesdta[[#This Row],[Order_Date]],"mmmm")</f>
        <v>July</v>
      </c>
      <c r="D105" s="1" t="s">
        <v>526</v>
      </c>
      <c r="E105" s="1" t="str">
        <f>VLOOKUP(Salesdta[[#This Row],[Customer_ID]],Customer_Data_[],6,TRUE)</f>
        <v>Male</v>
      </c>
      <c r="F105" s="1" t="str">
        <f>VLOOKUP(Salesdta[[#This Row],[Customer_ID]],Customer_Data_[],8,TRUE)</f>
        <v>Vermont</v>
      </c>
      <c r="G105" s="1" t="s">
        <v>1582</v>
      </c>
      <c r="H105" s="1" t="str">
        <f>VLOOKUP(Salesdta[[#This Row],[Product_ID]],Product_Data_1[],2,TRUE)</f>
        <v>Knee Support Brace</v>
      </c>
      <c r="I105" s="1" t="str">
        <f>VLOOKUP(Salesdta[[#This Row],[Product_ID]],Product_Data_1[],3,TRUE)</f>
        <v>Sports</v>
      </c>
      <c r="J105" s="1">
        <f>VLOOKUP(Salesdta[[#This Row],[Product_ID]],Product_Data_1[],7,TRUE)</f>
        <v>21</v>
      </c>
      <c r="K105" s="1" t="s">
        <v>1778</v>
      </c>
      <c r="L105" s="1" t="str">
        <f>VLOOKUP(Salesdta[[#This Row],[Store_ID]],Store_Data_1[],3,TRUE)</f>
        <v>West</v>
      </c>
      <c r="M105" s="1">
        <v>2</v>
      </c>
      <c r="N105" s="1">
        <v>152</v>
      </c>
      <c r="O105" s="12">
        <v>0.28999999999999998</v>
      </c>
      <c r="P105" s="1" t="s">
        <v>1822</v>
      </c>
      <c r="Q105" s="1">
        <v>215</v>
      </c>
      <c r="R105" s="1">
        <f>Salesdta[[#This Row],[Final Revenue]]-Salesdta[[#This Row],[Product cost]]</f>
        <v>194</v>
      </c>
      <c r="S105" s="1" t="str">
        <f>IF(Salesdta[[#This Row],[Final Revenue]]&gt;1000,"Selected","Not Selected")</f>
        <v>Not Selected</v>
      </c>
    </row>
    <row r="106" spans="1:19" x14ac:dyDescent="0.35">
      <c r="A106" s="6" t="s">
        <v>1923</v>
      </c>
      <c r="B106" s="20">
        <v>45274</v>
      </c>
      <c r="C106" s="1" t="str">
        <f>TEXT(Salesdta[[#This Row],[Order_Date]],"mmmm")</f>
        <v>December</v>
      </c>
      <c r="D106" s="1" t="s">
        <v>740</v>
      </c>
      <c r="E106" s="1" t="str">
        <f>VLOOKUP(Salesdta[[#This Row],[Customer_ID]],Customer_Data_[],6,TRUE)</f>
        <v>Female</v>
      </c>
      <c r="F106" s="1" t="str">
        <f>VLOOKUP(Salesdta[[#This Row],[Customer_ID]],Customer_Data_[],8,TRUE)</f>
        <v>South Carolina</v>
      </c>
      <c r="G106" s="1" t="s">
        <v>1606</v>
      </c>
      <c r="H106" s="1" t="str">
        <f>VLOOKUP(Salesdta[[#This Row],[Product_ID]],Product_Data_1[],2,TRUE)</f>
        <v>Basketball</v>
      </c>
      <c r="I106" s="1" t="str">
        <f>VLOOKUP(Salesdta[[#This Row],[Product_ID]],Product_Data_1[],3,TRUE)</f>
        <v>Sports</v>
      </c>
      <c r="J106" s="1">
        <f>VLOOKUP(Salesdta[[#This Row],[Product_ID]],Product_Data_1[],7,TRUE)</f>
        <v>204</v>
      </c>
      <c r="K106" s="1" t="s">
        <v>1803</v>
      </c>
      <c r="L106" s="1" t="str">
        <f>VLOOKUP(Salesdta[[#This Row],[Store_ID]],Store_Data_1[],3,TRUE)</f>
        <v>North</v>
      </c>
      <c r="M106" s="1">
        <v>2</v>
      </c>
      <c r="N106" s="1">
        <v>873</v>
      </c>
      <c r="O106" s="12">
        <v>0.28999999999999998</v>
      </c>
      <c r="P106" s="1" t="s">
        <v>1822</v>
      </c>
      <c r="Q106" s="1">
        <v>1240</v>
      </c>
      <c r="R106" s="1">
        <f>Salesdta[[#This Row],[Final Revenue]]-Salesdta[[#This Row],[Product cost]]</f>
        <v>1036</v>
      </c>
      <c r="S106" s="1" t="str">
        <f>IF(Salesdta[[#This Row],[Final Revenue]]&gt;1000,"Selected","Not Selected")</f>
        <v>Selected</v>
      </c>
    </row>
    <row r="107" spans="1:19" x14ac:dyDescent="0.35">
      <c r="A107" s="6" t="s">
        <v>1924</v>
      </c>
      <c r="B107" s="20">
        <v>45558</v>
      </c>
      <c r="C107" s="1" t="str">
        <f>TEXT(Salesdta[[#This Row],[Order_Date]],"mmmm")</f>
        <v>September</v>
      </c>
      <c r="D107" s="1" t="s">
        <v>839</v>
      </c>
      <c r="E107" s="1" t="str">
        <f>VLOOKUP(Salesdta[[#This Row],[Customer_ID]],Customer_Data_[],6,TRUE)</f>
        <v>Male</v>
      </c>
      <c r="F107" s="1" t="str">
        <f>VLOOKUP(Salesdta[[#This Row],[Customer_ID]],Customer_Data_[],8,TRUE)</f>
        <v>Wyoming</v>
      </c>
      <c r="G107" s="1" t="s">
        <v>1588</v>
      </c>
      <c r="H107" s="1" t="str">
        <f>VLOOKUP(Salesdta[[#This Row],[Product_ID]],Product_Data_1[],2,TRUE)</f>
        <v>Carbon Fiber Tennis Racket</v>
      </c>
      <c r="I107" s="1" t="str">
        <f>VLOOKUP(Salesdta[[#This Row],[Product_ID]],Product_Data_1[],3,TRUE)</f>
        <v>Sports</v>
      </c>
      <c r="J107" s="1">
        <f>VLOOKUP(Salesdta[[#This Row],[Product_ID]],Product_Data_1[],7,TRUE)</f>
        <v>485</v>
      </c>
      <c r="K107" s="1" t="s">
        <v>1785</v>
      </c>
      <c r="L107" s="1" t="str">
        <f>VLOOKUP(Salesdta[[#This Row],[Store_ID]],Store_Data_1[],3,TRUE)</f>
        <v>North</v>
      </c>
      <c r="M107" s="1">
        <v>3</v>
      </c>
      <c r="N107" s="1">
        <v>432</v>
      </c>
      <c r="O107" s="12">
        <v>0.04</v>
      </c>
      <c r="P107" s="1" t="s">
        <v>1817</v>
      </c>
      <c r="Q107" s="1">
        <v>1245</v>
      </c>
      <c r="R107" s="1">
        <f>Salesdta[[#This Row],[Final Revenue]]-Salesdta[[#This Row],[Product cost]]</f>
        <v>760</v>
      </c>
      <c r="S107" s="1" t="str">
        <f>IF(Salesdta[[#This Row],[Final Revenue]]&gt;1000,"Selected","Not Selected")</f>
        <v>Selected</v>
      </c>
    </row>
    <row r="108" spans="1:19" x14ac:dyDescent="0.35">
      <c r="A108" s="6" t="s">
        <v>1925</v>
      </c>
      <c r="B108" s="20">
        <v>45598</v>
      </c>
      <c r="C108" s="1" t="str">
        <f>TEXT(Salesdta[[#This Row],[Order_Date]],"mmmm")</f>
        <v>November</v>
      </c>
      <c r="D108" s="1" t="s">
        <v>1526</v>
      </c>
      <c r="E108" s="1" t="str">
        <f>VLOOKUP(Salesdta[[#This Row],[Customer_ID]],Customer_Data_[],6,TRUE)</f>
        <v>Male</v>
      </c>
      <c r="F108" s="1" t="str">
        <f>VLOOKUP(Salesdta[[#This Row],[Customer_ID]],Customer_Data_[],8,TRUE)</f>
        <v>New Mexico</v>
      </c>
      <c r="G108" s="1" t="s">
        <v>1558</v>
      </c>
      <c r="H108" s="1" t="str">
        <f>VLOOKUP(Salesdta[[#This Row],[Product_ID]],Product_Data_1[],2,TRUE)</f>
        <v>Decorative Lamp Shade</v>
      </c>
      <c r="I108" s="1" t="str">
        <f>VLOOKUP(Salesdta[[#This Row],[Product_ID]],Product_Data_1[],3,TRUE)</f>
        <v>Home</v>
      </c>
      <c r="J108" s="1">
        <f>VLOOKUP(Salesdta[[#This Row],[Product_ID]],Product_Data_1[],7,TRUE)</f>
        <v>229</v>
      </c>
      <c r="K108" s="1" t="s">
        <v>1772</v>
      </c>
      <c r="L108" s="1" t="str">
        <f>VLOOKUP(Salesdta[[#This Row],[Store_ID]],Store_Data_1[],3,TRUE)</f>
        <v>East</v>
      </c>
      <c r="M108" s="1">
        <v>1</v>
      </c>
      <c r="N108" s="1">
        <v>846</v>
      </c>
      <c r="O108" s="12">
        <v>0.05</v>
      </c>
      <c r="P108" s="1" t="s">
        <v>1819</v>
      </c>
      <c r="Q108" s="1">
        <v>804</v>
      </c>
      <c r="R108" s="1">
        <f>Salesdta[[#This Row],[Final Revenue]]-Salesdta[[#This Row],[Product cost]]</f>
        <v>575</v>
      </c>
      <c r="S108" s="1" t="str">
        <f>IF(Salesdta[[#This Row],[Final Revenue]]&gt;1000,"Selected","Not Selected")</f>
        <v>Not Selected</v>
      </c>
    </row>
    <row r="109" spans="1:19" x14ac:dyDescent="0.35">
      <c r="A109" s="6" t="s">
        <v>1926</v>
      </c>
      <c r="B109" s="20">
        <v>45916</v>
      </c>
      <c r="C109" s="1" t="str">
        <f>TEXT(Salesdta[[#This Row],[Order_Date]],"mmmm")</f>
        <v>September</v>
      </c>
      <c r="D109" s="1" t="s">
        <v>878</v>
      </c>
      <c r="E109" s="1" t="str">
        <f>VLOOKUP(Salesdta[[#This Row],[Customer_ID]],Customer_Data_[],6,TRUE)</f>
        <v>Female</v>
      </c>
      <c r="F109" s="1" t="str">
        <f>VLOOKUP(Salesdta[[#This Row],[Customer_ID]],Customer_Data_[],8,TRUE)</f>
        <v>Colorado</v>
      </c>
      <c r="G109" s="1" t="s">
        <v>1730</v>
      </c>
      <c r="H109" s="1" t="str">
        <f>VLOOKUP(Salesdta[[#This Row],[Product_ID]],Product_Data_1[],2,TRUE)</f>
        <v>USB-C Laptop Charger</v>
      </c>
      <c r="I109" s="1" t="str">
        <f>VLOOKUP(Salesdta[[#This Row],[Product_ID]],Product_Data_1[],3,TRUE)</f>
        <v>Electronics</v>
      </c>
      <c r="J109" s="1">
        <f>VLOOKUP(Salesdta[[#This Row],[Product_ID]],Product_Data_1[],7,TRUE)</f>
        <v>378</v>
      </c>
      <c r="K109" s="1" t="s">
        <v>1772</v>
      </c>
      <c r="L109" s="1" t="str">
        <f>VLOOKUP(Salesdta[[#This Row],[Store_ID]],Store_Data_1[],3,TRUE)</f>
        <v>East</v>
      </c>
      <c r="M109" s="1">
        <v>3</v>
      </c>
      <c r="N109" s="1">
        <v>949</v>
      </c>
      <c r="O109" s="12">
        <v>0.03</v>
      </c>
      <c r="P109" s="1" t="s">
        <v>1822</v>
      </c>
      <c r="Q109" s="1">
        <v>2762</v>
      </c>
      <c r="R109" s="1">
        <f>Salesdta[[#This Row],[Final Revenue]]-Salesdta[[#This Row],[Product cost]]</f>
        <v>2384</v>
      </c>
      <c r="S109" s="1" t="str">
        <f>IF(Salesdta[[#This Row],[Final Revenue]]&gt;1000,"Selected","Not Selected")</f>
        <v>Selected</v>
      </c>
    </row>
    <row r="110" spans="1:19" x14ac:dyDescent="0.35">
      <c r="A110" s="6" t="s">
        <v>1927</v>
      </c>
      <c r="B110" s="20">
        <v>45347</v>
      </c>
      <c r="C110" s="1" t="str">
        <f>TEXT(Salesdta[[#This Row],[Order_Date]],"mmmm")</f>
        <v>February</v>
      </c>
      <c r="D110" s="1" t="s">
        <v>1234</v>
      </c>
      <c r="E110" s="1" t="str">
        <f>VLOOKUP(Salesdta[[#This Row],[Customer_ID]],Customer_Data_[],6,TRUE)</f>
        <v>Female</v>
      </c>
      <c r="F110" s="1" t="str">
        <f>VLOOKUP(Salesdta[[#This Row],[Customer_ID]],Customer_Data_[],8,TRUE)</f>
        <v>Kansas</v>
      </c>
      <c r="G110" s="1" t="s">
        <v>1732</v>
      </c>
      <c r="H110" s="1" t="str">
        <f>VLOOKUP(Salesdta[[#This Row],[Product_ID]],Product_Data_1[],2,TRUE)</f>
        <v>Vitamin E Body Lotion</v>
      </c>
      <c r="I110" s="1" t="str">
        <f>VLOOKUP(Salesdta[[#This Row],[Product_ID]],Product_Data_1[],3,TRUE)</f>
        <v>Beauty</v>
      </c>
      <c r="J110" s="1">
        <f>VLOOKUP(Salesdta[[#This Row],[Product_ID]],Product_Data_1[],7,TRUE)</f>
        <v>358</v>
      </c>
      <c r="K110" s="1" t="s">
        <v>1782</v>
      </c>
      <c r="L110" s="1" t="str">
        <f>VLOOKUP(Salesdta[[#This Row],[Store_ID]],Store_Data_1[],3,TRUE)</f>
        <v>South</v>
      </c>
      <c r="M110" s="1">
        <v>2</v>
      </c>
      <c r="N110" s="1">
        <v>725</v>
      </c>
      <c r="O110" s="12">
        <v>0.1</v>
      </c>
      <c r="P110" s="1" t="s">
        <v>1817</v>
      </c>
      <c r="Q110" s="1">
        <v>1305</v>
      </c>
      <c r="R110" s="1">
        <f>Salesdta[[#This Row],[Final Revenue]]-Salesdta[[#This Row],[Product cost]]</f>
        <v>947</v>
      </c>
      <c r="S110" s="1" t="str">
        <f>IF(Salesdta[[#This Row],[Final Revenue]]&gt;1000,"Selected","Not Selected")</f>
        <v>Selected</v>
      </c>
    </row>
    <row r="111" spans="1:19" x14ac:dyDescent="0.35">
      <c r="A111" s="6" t="s">
        <v>1928</v>
      </c>
      <c r="B111" s="20">
        <v>45723</v>
      </c>
      <c r="C111" s="1" t="str">
        <f>TEXT(Salesdta[[#This Row],[Order_Date]],"mmmm")</f>
        <v>March</v>
      </c>
      <c r="D111" s="1" t="s">
        <v>990</v>
      </c>
      <c r="E111" s="1" t="str">
        <f>VLOOKUP(Salesdta[[#This Row],[Customer_ID]],Customer_Data_[],6,TRUE)</f>
        <v>Male</v>
      </c>
      <c r="F111" s="1" t="str">
        <f>VLOOKUP(Salesdta[[#This Row],[Customer_ID]],Customer_Data_[],8,TRUE)</f>
        <v>Massachusetts</v>
      </c>
      <c r="G111" s="1" t="s">
        <v>1542</v>
      </c>
      <c r="H111" s="1" t="str">
        <f>VLOOKUP(Salesdta[[#This Row],[Product_ID]],Product_Data_1[],2,TRUE)</f>
        <v>Men's Graphic T-Shirt</v>
      </c>
      <c r="I111" s="1" t="str">
        <f>VLOOKUP(Salesdta[[#This Row],[Product_ID]],Product_Data_1[],3,TRUE)</f>
        <v>Clothing</v>
      </c>
      <c r="J111" s="1">
        <f>VLOOKUP(Salesdta[[#This Row],[Product_ID]],Product_Data_1[],7,TRUE)</f>
        <v>343</v>
      </c>
      <c r="K111" s="1" t="s">
        <v>1800</v>
      </c>
      <c r="L111" s="1" t="str">
        <f>VLOOKUP(Salesdta[[#This Row],[Store_ID]],Store_Data_1[],3,TRUE)</f>
        <v>North</v>
      </c>
      <c r="M111" s="1">
        <v>1</v>
      </c>
      <c r="N111" s="1">
        <v>783</v>
      </c>
      <c r="O111" s="12">
        <v>0.3</v>
      </c>
      <c r="P111" s="1" t="s">
        <v>1817</v>
      </c>
      <c r="Q111" s="1">
        <v>548</v>
      </c>
      <c r="R111" s="1">
        <f>Salesdta[[#This Row],[Final Revenue]]-Salesdta[[#This Row],[Product cost]]</f>
        <v>205</v>
      </c>
      <c r="S111" s="1" t="str">
        <f>IF(Salesdta[[#This Row],[Final Revenue]]&gt;1000,"Selected","Not Selected")</f>
        <v>Not Selected</v>
      </c>
    </row>
    <row r="112" spans="1:19" x14ac:dyDescent="0.35">
      <c r="A112" s="6" t="s">
        <v>1929</v>
      </c>
      <c r="B112" s="20">
        <v>45495</v>
      </c>
      <c r="C112" s="1" t="str">
        <f>TEXT(Salesdta[[#This Row],[Order_Date]],"mmmm")</f>
        <v>July</v>
      </c>
      <c r="D112" s="1" t="s">
        <v>1074</v>
      </c>
      <c r="E112" s="1" t="str">
        <f>VLOOKUP(Salesdta[[#This Row],[Customer_ID]],Customer_Data_[],6,TRUE)</f>
        <v>Male</v>
      </c>
      <c r="F112" s="1" t="str">
        <f>VLOOKUP(Salesdta[[#This Row],[Customer_ID]],Customer_Data_[],8,TRUE)</f>
        <v>Virginia</v>
      </c>
      <c r="G112" s="1" t="s">
        <v>1578</v>
      </c>
      <c r="H112" s="1" t="str">
        <f>VLOOKUP(Salesdta[[#This Row],[Product_ID]],Product_Data_1[],2,TRUE)</f>
        <v>Soccer Training Cone Set</v>
      </c>
      <c r="I112" s="1" t="str">
        <f>VLOOKUP(Salesdta[[#This Row],[Product_ID]],Product_Data_1[],3,TRUE)</f>
        <v>Sports</v>
      </c>
      <c r="J112" s="1">
        <f>VLOOKUP(Salesdta[[#This Row],[Product_ID]],Product_Data_1[],7,TRUE)</f>
        <v>145</v>
      </c>
      <c r="K112" s="1" t="s">
        <v>1762</v>
      </c>
      <c r="L112" s="1" t="str">
        <f>VLOOKUP(Salesdta[[#This Row],[Store_ID]],Store_Data_1[],3,TRUE)</f>
        <v>North</v>
      </c>
      <c r="M112" s="1">
        <v>1</v>
      </c>
      <c r="N112" s="1">
        <v>942</v>
      </c>
      <c r="O112" s="12">
        <v>0.17</v>
      </c>
      <c r="P112" s="1" t="s">
        <v>1817</v>
      </c>
      <c r="Q112" s="1">
        <v>782</v>
      </c>
      <c r="R112" s="1">
        <f>Salesdta[[#This Row],[Final Revenue]]-Salesdta[[#This Row],[Product cost]]</f>
        <v>637</v>
      </c>
      <c r="S112" s="1" t="str">
        <f>IF(Salesdta[[#This Row],[Final Revenue]]&gt;1000,"Selected","Not Selected")</f>
        <v>Not Selected</v>
      </c>
    </row>
    <row r="113" spans="1:19" x14ac:dyDescent="0.35">
      <c r="A113" s="6" t="s">
        <v>1930</v>
      </c>
      <c r="B113" s="20">
        <v>45444</v>
      </c>
      <c r="C113" s="1" t="str">
        <f>TEXT(Salesdta[[#This Row],[Order_Date]],"mmmm")</f>
        <v>June</v>
      </c>
      <c r="D113" s="1" t="s">
        <v>1520</v>
      </c>
      <c r="E113" s="1" t="str">
        <f>VLOOKUP(Salesdta[[#This Row],[Customer_ID]],Customer_Data_[],6,TRUE)</f>
        <v>Male</v>
      </c>
      <c r="F113" s="1" t="str">
        <f>VLOOKUP(Salesdta[[#This Row],[Customer_ID]],Customer_Data_[],8,TRUE)</f>
        <v>Ohio</v>
      </c>
      <c r="G113" s="1" t="s">
        <v>1646</v>
      </c>
      <c r="H113" s="1" t="str">
        <f>VLOOKUP(Salesdta[[#This Row],[Product_ID]],Product_Data_1[],2,TRUE)</f>
        <v>HDMI Cable – 2m</v>
      </c>
      <c r="I113" s="1" t="str">
        <f>VLOOKUP(Salesdta[[#This Row],[Product_ID]],Product_Data_1[],3,TRUE)</f>
        <v>Electronics</v>
      </c>
      <c r="J113" s="1">
        <f>VLOOKUP(Salesdta[[#This Row],[Product_ID]],Product_Data_1[],7,TRUE)</f>
        <v>88</v>
      </c>
      <c r="K113" s="1" t="s">
        <v>1788</v>
      </c>
      <c r="L113" s="1" t="str">
        <f>VLOOKUP(Salesdta[[#This Row],[Store_ID]],Store_Data_1[],3,TRUE)</f>
        <v>North</v>
      </c>
      <c r="M113" s="1">
        <v>3</v>
      </c>
      <c r="N113" s="1">
        <v>298</v>
      </c>
      <c r="O113" s="12">
        <v>0.05</v>
      </c>
      <c r="P113" s="1" t="s">
        <v>1822</v>
      </c>
      <c r="Q113" s="1">
        <v>850</v>
      </c>
      <c r="R113" s="1">
        <f>Salesdta[[#This Row],[Final Revenue]]-Salesdta[[#This Row],[Product cost]]</f>
        <v>762</v>
      </c>
      <c r="S113" s="1" t="str">
        <f>IF(Salesdta[[#This Row],[Final Revenue]]&gt;1000,"Selected","Not Selected")</f>
        <v>Not Selected</v>
      </c>
    </row>
    <row r="114" spans="1:19" x14ac:dyDescent="0.35">
      <c r="A114" s="6" t="s">
        <v>1931</v>
      </c>
      <c r="B114" s="20">
        <v>45662</v>
      </c>
      <c r="C114" s="1" t="str">
        <f>TEXT(Salesdta[[#This Row],[Order_Date]],"mmmm")</f>
        <v>January</v>
      </c>
      <c r="D114" s="1" t="s">
        <v>544</v>
      </c>
      <c r="E114" s="1" t="str">
        <f>VLOOKUP(Salesdta[[#This Row],[Customer_ID]],Customer_Data_[],6,TRUE)</f>
        <v>Female</v>
      </c>
      <c r="F114" s="1" t="str">
        <f>VLOOKUP(Salesdta[[#This Row],[Customer_ID]],Customer_Data_[],8,TRUE)</f>
        <v>Georgia</v>
      </c>
      <c r="G114" s="1" t="s">
        <v>1640</v>
      </c>
      <c r="H114" s="1" t="str">
        <f>VLOOKUP(Salesdta[[#This Row],[Product_ID]],Product_Data_1[],2,TRUE)</f>
        <v>Car Dashboard Phone Holder</v>
      </c>
      <c r="I114" s="1" t="str">
        <f>VLOOKUP(Salesdta[[#This Row],[Product_ID]],Product_Data_1[],3,TRUE)</f>
        <v>Electronics</v>
      </c>
      <c r="J114" s="1">
        <f>VLOOKUP(Salesdta[[#This Row],[Product_ID]],Product_Data_1[],7,TRUE)</f>
        <v>178</v>
      </c>
      <c r="K114" s="1" t="s">
        <v>1790</v>
      </c>
      <c r="L114" s="1" t="str">
        <f>VLOOKUP(Salesdta[[#This Row],[Store_ID]],Store_Data_1[],3,TRUE)</f>
        <v>North</v>
      </c>
      <c r="M114" s="1">
        <v>4</v>
      </c>
      <c r="N114" s="1">
        <v>950</v>
      </c>
      <c r="O114" s="12">
        <v>0.13</v>
      </c>
      <c r="P114" s="1" t="s">
        <v>1819</v>
      </c>
      <c r="Q114" s="1">
        <v>3306</v>
      </c>
      <c r="R114" s="1">
        <f>Salesdta[[#This Row],[Final Revenue]]-Salesdta[[#This Row],[Product cost]]</f>
        <v>3128</v>
      </c>
      <c r="S114" s="1" t="str">
        <f>IF(Salesdta[[#This Row],[Final Revenue]]&gt;1000,"Selected","Not Selected")</f>
        <v>Selected</v>
      </c>
    </row>
    <row r="115" spans="1:19" x14ac:dyDescent="0.35">
      <c r="A115" s="6" t="s">
        <v>1932</v>
      </c>
      <c r="B115" s="20">
        <v>45910</v>
      </c>
      <c r="C115" s="1" t="str">
        <f>TEXT(Salesdta[[#This Row],[Order_Date]],"mmmm")</f>
        <v>September</v>
      </c>
      <c r="D115" s="1" t="s">
        <v>1032</v>
      </c>
      <c r="E115" s="1" t="str">
        <f>VLOOKUP(Salesdta[[#This Row],[Customer_ID]],Customer_Data_[],6,TRUE)</f>
        <v>Female</v>
      </c>
      <c r="F115" s="1" t="str">
        <f>VLOOKUP(Salesdta[[#This Row],[Customer_ID]],Customer_Data_[],8,TRUE)</f>
        <v>Minnesota</v>
      </c>
      <c r="G115" s="1" t="s">
        <v>1658</v>
      </c>
      <c r="H115" s="1" t="str">
        <f>VLOOKUP(Salesdta[[#This Row],[Product_ID]],Product_Data_1[],2,TRUE)</f>
        <v>Foam Roller</v>
      </c>
      <c r="I115" s="1" t="str">
        <f>VLOOKUP(Salesdta[[#This Row],[Product_ID]],Product_Data_1[],3,TRUE)</f>
        <v>Sports</v>
      </c>
      <c r="J115" s="1">
        <f>VLOOKUP(Salesdta[[#This Row],[Product_ID]],Product_Data_1[],7,TRUE)</f>
        <v>31</v>
      </c>
      <c r="K115" s="1" t="s">
        <v>1765</v>
      </c>
      <c r="L115" s="1" t="str">
        <f>VLOOKUP(Salesdta[[#This Row],[Store_ID]],Store_Data_1[],3,TRUE)</f>
        <v>South</v>
      </c>
      <c r="M115" s="1">
        <v>2</v>
      </c>
      <c r="N115" s="1">
        <v>267</v>
      </c>
      <c r="O115" s="12">
        <v>7.0000000000000007E-2</v>
      </c>
      <c r="P115" s="1" t="s">
        <v>1817</v>
      </c>
      <c r="Q115" s="1">
        <v>497</v>
      </c>
      <c r="R115" s="1">
        <f>Salesdta[[#This Row],[Final Revenue]]-Salesdta[[#This Row],[Product cost]]</f>
        <v>466</v>
      </c>
      <c r="S115" s="1" t="str">
        <f>IF(Salesdta[[#This Row],[Final Revenue]]&gt;1000,"Selected","Not Selected")</f>
        <v>Not Selected</v>
      </c>
    </row>
    <row r="116" spans="1:19" x14ac:dyDescent="0.35">
      <c r="A116" s="6" t="s">
        <v>1933</v>
      </c>
      <c r="B116" s="20">
        <v>45827</v>
      </c>
      <c r="C116" s="1" t="str">
        <f>TEXT(Salesdta[[#This Row],[Order_Date]],"mmmm")</f>
        <v>June</v>
      </c>
      <c r="D116" s="1" t="s">
        <v>654</v>
      </c>
      <c r="E116" s="1" t="str">
        <f>VLOOKUP(Salesdta[[#This Row],[Customer_ID]],Customer_Data_[],6,TRUE)</f>
        <v>Female</v>
      </c>
      <c r="F116" s="1" t="str">
        <f>VLOOKUP(Salesdta[[#This Row],[Customer_ID]],Customer_Data_[],8,TRUE)</f>
        <v>Michigan</v>
      </c>
      <c r="G116" s="1" t="s">
        <v>1718</v>
      </c>
      <c r="H116" s="1" t="str">
        <f>VLOOKUP(Salesdta[[#This Row],[Product_ID]],Product_Data_1[],2,TRUE)</f>
        <v>LED Bedside Lamp</v>
      </c>
      <c r="I116" s="1" t="str">
        <f>VLOOKUP(Salesdta[[#This Row],[Product_ID]],Product_Data_1[],3,TRUE)</f>
        <v>Home</v>
      </c>
      <c r="J116" s="1">
        <f>VLOOKUP(Salesdta[[#This Row],[Product_ID]],Product_Data_1[],7,TRUE)</f>
        <v>371</v>
      </c>
      <c r="K116" s="1" t="s">
        <v>1797</v>
      </c>
      <c r="L116" s="1" t="str">
        <f>VLOOKUP(Salesdta[[#This Row],[Store_ID]],Store_Data_1[],3,TRUE)</f>
        <v>North</v>
      </c>
      <c r="M116" s="1">
        <v>4</v>
      </c>
      <c r="N116" s="1">
        <v>73</v>
      </c>
      <c r="O116" s="12">
        <v>0.06</v>
      </c>
      <c r="P116" s="1" t="s">
        <v>1819</v>
      </c>
      <c r="Q116" s="1">
        <v>273</v>
      </c>
      <c r="R116" s="1">
        <f>Salesdta[[#This Row],[Final Revenue]]-Salesdta[[#This Row],[Product cost]]</f>
        <v>-98</v>
      </c>
      <c r="S116" s="1" t="str">
        <f>IF(Salesdta[[#This Row],[Final Revenue]]&gt;1000,"Selected","Not Selected")</f>
        <v>Not Selected</v>
      </c>
    </row>
    <row r="117" spans="1:19" x14ac:dyDescent="0.35">
      <c r="A117" s="6" t="s">
        <v>1934</v>
      </c>
      <c r="B117" s="20">
        <v>45544</v>
      </c>
      <c r="C117" s="1" t="str">
        <f>TEXT(Salesdta[[#This Row],[Order_Date]],"mmmm")</f>
        <v>September</v>
      </c>
      <c r="D117" s="1" t="s">
        <v>1321</v>
      </c>
      <c r="E117" s="1" t="str">
        <f>VLOOKUP(Salesdta[[#This Row],[Customer_ID]],Customer_Data_[],6,TRUE)</f>
        <v>Female</v>
      </c>
      <c r="F117" s="1" t="str">
        <f>VLOOKUP(Salesdta[[#This Row],[Customer_ID]],Customer_Data_[],8,TRUE)</f>
        <v>Maine</v>
      </c>
      <c r="G117" s="1" t="s">
        <v>1650</v>
      </c>
      <c r="H117" s="1" t="str">
        <f>VLOOKUP(Salesdta[[#This Row],[Product_ID]],Product_Data_1[],2,TRUE)</f>
        <v>Men's Track Pants</v>
      </c>
      <c r="I117" s="1" t="str">
        <f>VLOOKUP(Salesdta[[#This Row],[Product_ID]],Product_Data_1[],3,TRUE)</f>
        <v>Clothing</v>
      </c>
      <c r="J117" s="1">
        <f>VLOOKUP(Salesdta[[#This Row],[Product_ID]],Product_Data_1[],7,TRUE)</f>
        <v>387</v>
      </c>
      <c r="K117" s="1" t="s">
        <v>1769</v>
      </c>
      <c r="L117" s="1" t="str">
        <f>VLOOKUP(Salesdta[[#This Row],[Store_ID]],Store_Data_1[],3,TRUE)</f>
        <v>North</v>
      </c>
      <c r="M117" s="1">
        <v>3</v>
      </c>
      <c r="N117" s="1">
        <v>577</v>
      </c>
      <c r="O117" s="12">
        <v>0.22</v>
      </c>
      <c r="P117" s="1" t="s">
        <v>1822</v>
      </c>
      <c r="Q117" s="1">
        <v>1349</v>
      </c>
      <c r="R117" s="1">
        <f>Salesdta[[#This Row],[Final Revenue]]-Salesdta[[#This Row],[Product cost]]</f>
        <v>962</v>
      </c>
      <c r="S117" s="1" t="str">
        <f>IF(Salesdta[[#This Row],[Final Revenue]]&gt;1000,"Selected","Not Selected")</f>
        <v>Selected</v>
      </c>
    </row>
    <row r="118" spans="1:19" x14ac:dyDescent="0.35">
      <c r="A118" s="6" t="s">
        <v>1935</v>
      </c>
      <c r="B118" s="20">
        <v>45751</v>
      </c>
      <c r="C118" s="1" t="str">
        <f>TEXT(Salesdta[[#This Row],[Order_Date]],"mmmm")</f>
        <v>April</v>
      </c>
      <c r="D118" s="1" t="s">
        <v>1092</v>
      </c>
      <c r="E118" s="1" t="str">
        <f>VLOOKUP(Salesdta[[#This Row],[Customer_ID]],Customer_Data_[],6,TRUE)</f>
        <v>Male</v>
      </c>
      <c r="F118" s="1" t="str">
        <f>VLOOKUP(Salesdta[[#This Row],[Customer_ID]],Customer_Data_[],8,TRUE)</f>
        <v>Alaska</v>
      </c>
      <c r="G118" s="1" t="s">
        <v>1686</v>
      </c>
      <c r="H118" s="1" t="str">
        <f>VLOOKUP(Salesdta[[#This Row],[Product_ID]],Product_Data_1[],2,TRUE)</f>
        <v>Hair Repair Oil Treatment</v>
      </c>
      <c r="I118" s="1" t="str">
        <f>VLOOKUP(Salesdta[[#This Row],[Product_ID]],Product_Data_1[],3,TRUE)</f>
        <v>Beauty</v>
      </c>
      <c r="J118" s="1">
        <f>VLOOKUP(Salesdta[[#This Row],[Product_ID]],Product_Data_1[],7,TRUE)</f>
        <v>214</v>
      </c>
      <c r="K118" s="1" t="s">
        <v>1782</v>
      </c>
      <c r="L118" s="1" t="str">
        <f>VLOOKUP(Salesdta[[#This Row],[Store_ID]],Store_Data_1[],3,TRUE)</f>
        <v>South</v>
      </c>
      <c r="M118" s="1">
        <v>3</v>
      </c>
      <c r="N118" s="1">
        <v>849</v>
      </c>
      <c r="O118" s="12">
        <v>0.03</v>
      </c>
      <c r="P118" s="1" t="s">
        <v>1817</v>
      </c>
      <c r="Q118" s="1">
        <v>2472</v>
      </c>
      <c r="R118" s="1">
        <f>Salesdta[[#This Row],[Final Revenue]]-Salesdta[[#This Row],[Product cost]]</f>
        <v>2258</v>
      </c>
      <c r="S118" s="1" t="str">
        <f>IF(Salesdta[[#This Row],[Final Revenue]]&gt;1000,"Selected","Not Selected")</f>
        <v>Selected</v>
      </c>
    </row>
    <row r="119" spans="1:19" x14ac:dyDescent="0.35">
      <c r="A119" s="6" t="s">
        <v>1936</v>
      </c>
      <c r="B119" s="20">
        <v>45392</v>
      </c>
      <c r="C119" s="1" t="str">
        <f>TEXT(Salesdta[[#This Row],[Order_Date]],"mmmm")</f>
        <v>April</v>
      </c>
      <c r="D119" s="1" t="s">
        <v>1454</v>
      </c>
      <c r="E119" s="1" t="str">
        <f>VLOOKUP(Salesdta[[#This Row],[Customer_ID]],Customer_Data_[],6,TRUE)</f>
        <v>Male</v>
      </c>
      <c r="F119" s="1" t="str">
        <f>VLOOKUP(Salesdta[[#This Row],[Customer_ID]],Customer_Data_[],8,TRUE)</f>
        <v>Wisconsin</v>
      </c>
      <c r="G119" s="1" t="s">
        <v>1644</v>
      </c>
      <c r="H119" s="1" t="str">
        <f>VLOOKUP(Salesdta[[#This Row],[Product_ID]],Product_Data_1[],2,TRUE)</f>
        <v>Boxing Hand Wraps</v>
      </c>
      <c r="I119" s="1" t="str">
        <f>VLOOKUP(Salesdta[[#This Row],[Product_ID]],Product_Data_1[],3,TRUE)</f>
        <v>Sports</v>
      </c>
      <c r="J119" s="1">
        <f>VLOOKUP(Salesdta[[#This Row],[Product_ID]],Product_Data_1[],7,TRUE)</f>
        <v>190</v>
      </c>
      <c r="K119" s="1" t="s">
        <v>1772</v>
      </c>
      <c r="L119" s="1" t="str">
        <f>VLOOKUP(Salesdta[[#This Row],[Store_ID]],Store_Data_1[],3,TRUE)</f>
        <v>East</v>
      </c>
      <c r="M119" s="1">
        <v>1</v>
      </c>
      <c r="N119" s="1">
        <v>246</v>
      </c>
      <c r="O119" s="12">
        <v>0.18</v>
      </c>
      <c r="P119" s="1" t="s">
        <v>1822</v>
      </c>
      <c r="Q119" s="1">
        <v>202</v>
      </c>
      <c r="R119" s="1">
        <f>Salesdta[[#This Row],[Final Revenue]]-Salesdta[[#This Row],[Product cost]]</f>
        <v>12</v>
      </c>
      <c r="S119" s="1" t="str">
        <f>IF(Salesdta[[#This Row],[Final Revenue]]&gt;1000,"Selected","Not Selected")</f>
        <v>Not Selected</v>
      </c>
    </row>
    <row r="120" spans="1:19" x14ac:dyDescent="0.35">
      <c r="A120" s="6" t="s">
        <v>1937</v>
      </c>
      <c r="B120" s="20">
        <v>45589</v>
      </c>
      <c r="C120" s="1" t="str">
        <f>TEXT(Salesdta[[#This Row],[Order_Date]],"mmmm")</f>
        <v>October</v>
      </c>
      <c r="D120" s="1" t="s">
        <v>586</v>
      </c>
      <c r="E120" s="1" t="str">
        <f>VLOOKUP(Salesdta[[#This Row],[Customer_ID]],Customer_Data_[],6,TRUE)</f>
        <v>Female</v>
      </c>
      <c r="F120" s="1" t="str">
        <f>VLOOKUP(Salesdta[[#This Row],[Customer_ID]],Customer_Data_[],8,TRUE)</f>
        <v>South Carolina</v>
      </c>
      <c r="G120" s="1" t="s">
        <v>1738</v>
      </c>
      <c r="H120" s="1" t="str">
        <f>VLOOKUP(Salesdta[[#This Row],[Product_ID]],Product_Data_1[],2,TRUE)</f>
        <v>Cricket Bat</v>
      </c>
      <c r="I120" s="1" t="str">
        <f>VLOOKUP(Salesdta[[#This Row],[Product_ID]],Product_Data_1[],3,TRUE)</f>
        <v>Sports</v>
      </c>
      <c r="J120" s="1">
        <f>VLOOKUP(Salesdta[[#This Row],[Product_ID]],Product_Data_1[],7,TRUE)</f>
        <v>246</v>
      </c>
      <c r="K120" s="1" t="s">
        <v>1785</v>
      </c>
      <c r="L120" s="1" t="str">
        <f>VLOOKUP(Salesdta[[#This Row],[Store_ID]],Store_Data_1[],3,TRUE)</f>
        <v>North</v>
      </c>
      <c r="M120" s="1">
        <v>3</v>
      </c>
      <c r="N120" s="1">
        <v>238</v>
      </c>
      <c r="O120" s="12">
        <v>0.1</v>
      </c>
      <c r="P120" s="1" t="s">
        <v>1822</v>
      </c>
      <c r="Q120" s="1">
        <v>642</v>
      </c>
      <c r="R120" s="1">
        <f>Salesdta[[#This Row],[Final Revenue]]-Salesdta[[#This Row],[Product cost]]</f>
        <v>396</v>
      </c>
      <c r="S120" s="1" t="str">
        <f>IF(Salesdta[[#This Row],[Final Revenue]]&gt;1000,"Selected","Not Selected")</f>
        <v>Not Selected</v>
      </c>
    </row>
    <row r="121" spans="1:19" x14ac:dyDescent="0.35">
      <c r="A121" s="6" t="s">
        <v>1938</v>
      </c>
      <c r="B121" s="20">
        <v>45756</v>
      </c>
      <c r="C121" s="1" t="str">
        <f>TEXT(Salesdta[[#This Row],[Order_Date]],"mmmm")</f>
        <v>April</v>
      </c>
      <c r="D121" s="1" t="s">
        <v>1056</v>
      </c>
      <c r="E121" s="1" t="str">
        <f>VLOOKUP(Salesdta[[#This Row],[Customer_ID]],Customer_Data_[],6,TRUE)</f>
        <v>Female</v>
      </c>
      <c r="F121" s="1" t="str">
        <f>VLOOKUP(Salesdta[[#This Row],[Customer_ID]],Customer_Data_[],8,TRUE)</f>
        <v>North Carolina</v>
      </c>
      <c r="G121" s="1" t="s">
        <v>1686</v>
      </c>
      <c r="H121" s="1" t="str">
        <f>VLOOKUP(Salesdta[[#This Row],[Product_ID]],Product_Data_1[],2,TRUE)</f>
        <v>Hair Repair Oil Treatment</v>
      </c>
      <c r="I121" s="1" t="str">
        <f>VLOOKUP(Salesdta[[#This Row],[Product_ID]],Product_Data_1[],3,TRUE)</f>
        <v>Beauty</v>
      </c>
      <c r="J121" s="1">
        <f>VLOOKUP(Salesdta[[#This Row],[Product_ID]],Product_Data_1[],7,TRUE)</f>
        <v>214</v>
      </c>
      <c r="K121" s="1" t="s">
        <v>1795</v>
      </c>
      <c r="L121" s="1" t="str">
        <f>VLOOKUP(Salesdta[[#This Row],[Store_ID]],Store_Data_1[],3,TRUE)</f>
        <v>North</v>
      </c>
      <c r="M121" s="1">
        <v>4</v>
      </c>
      <c r="N121" s="1">
        <v>716</v>
      </c>
      <c r="O121" s="12">
        <v>0.25</v>
      </c>
      <c r="P121" s="1" t="s">
        <v>1819</v>
      </c>
      <c r="Q121" s="1">
        <v>2148</v>
      </c>
      <c r="R121" s="1">
        <f>Salesdta[[#This Row],[Final Revenue]]-Salesdta[[#This Row],[Product cost]]</f>
        <v>1934</v>
      </c>
      <c r="S121" s="1" t="str">
        <f>IF(Salesdta[[#This Row],[Final Revenue]]&gt;1000,"Selected","Not Selected")</f>
        <v>Selected</v>
      </c>
    </row>
    <row r="122" spans="1:19" x14ac:dyDescent="0.35">
      <c r="A122" s="6" t="s">
        <v>1939</v>
      </c>
      <c r="B122" s="20">
        <v>45255</v>
      </c>
      <c r="C122" s="1" t="str">
        <f>TEXT(Salesdta[[#This Row],[Order_Date]],"mmmm")</f>
        <v>November</v>
      </c>
      <c r="D122" s="1" t="s">
        <v>565</v>
      </c>
      <c r="E122" s="1" t="str">
        <f>VLOOKUP(Salesdta[[#This Row],[Customer_ID]],Customer_Data_[],6,TRUE)</f>
        <v>Female</v>
      </c>
      <c r="F122" s="1" t="str">
        <f>VLOOKUP(Salesdta[[#This Row],[Customer_ID]],Customer_Data_[],8,TRUE)</f>
        <v>Indiana</v>
      </c>
      <c r="G122" s="1" t="s">
        <v>1724</v>
      </c>
      <c r="H122" s="1" t="str">
        <f>VLOOKUP(Salesdta[[#This Row],[Product_ID]],Product_Data_1[],2,TRUE)</f>
        <v>Gaming Mouse Pad XL</v>
      </c>
      <c r="I122" s="1" t="str">
        <f>VLOOKUP(Salesdta[[#This Row],[Product_ID]],Product_Data_1[],3,TRUE)</f>
        <v>Electronics</v>
      </c>
      <c r="J122" s="1">
        <f>VLOOKUP(Salesdta[[#This Row],[Product_ID]],Product_Data_1[],7,TRUE)</f>
        <v>340</v>
      </c>
      <c r="K122" s="1" t="s">
        <v>1769</v>
      </c>
      <c r="L122" s="1" t="str">
        <f>VLOOKUP(Salesdta[[#This Row],[Store_ID]],Store_Data_1[],3,TRUE)</f>
        <v>North</v>
      </c>
      <c r="M122" s="1">
        <v>2</v>
      </c>
      <c r="N122" s="1">
        <v>479</v>
      </c>
      <c r="O122" s="12">
        <v>0.01</v>
      </c>
      <c r="P122" s="1" t="s">
        <v>1822</v>
      </c>
      <c r="Q122" s="1">
        <v>948</v>
      </c>
      <c r="R122" s="1">
        <f>Salesdta[[#This Row],[Final Revenue]]-Salesdta[[#This Row],[Product cost]]</f>
        <v>608</v>
      </c>
      <c r="S122" s="1" t="str">
        <f>IF(Salesdta[[#This Row],[Final Revenue]]&gt;1000,"Selected","Not Selected")</f>
        <v>Not Selected</v>
      </c>
    </row>
    <row r="123" spans="1:19" x14ac:dyDescent="0.35">
      <c r="A123" s="6" t="s">
        <v>1940</v>
      </c>
      <c r="B123" s="20">
        <v>45718</v>
      </c>
      <c r="C123" s="1" t="str">
        <f>TEXT(Salesdta[[#This Row],[Order_Date]],"mmmm")</f>
        <v>March</v>
      </c>
      <c r="D123" s="1" t="s">
        <v>393</v>
      </c>
      <c r="E123" s="1" t="str">
        <f>VLOOKUP(Salesdta[[#This Row],[Customer_ID]],Customer_Data_[],6,TRUE)</f>
        <v>Male</v>
      </c>
      <c r="F123" s="1" t="str">
        <f>VLOOKUP(Salesdta[[#This Row],[Customer_ID]],Customer_Data_[],8,TRUE)</f>
        <v>New Mexico</v>
      </c>
      <c r="G123" s="1" t="s">
        <v>1638</v>
      </c>
      <c r="H123" s="1" t="str">
        <f>VLOOKUP(Salesdta[[#This Row],[Product_ID]],Product_Data_1[],2,TRUE)</f>
        <v>Makeup Brush Set</v>
      </c>
      <c r="I123" s="1" t="str">
        <f>VLOOKUP(Salesdta[[#This Row],[Product_ID]],Product_Data_1[],3,TRUE)</f>
        <v>Beauty</v>
      </c>
      <c r="J123" s="1">
        <f>VLOOKUP(Salesdta[[#This Row],[Product_ID]],Product_Data_1[],7,TRUE)</f>
        <v>254</v>
      </c>
      <c r="K123" s="1" t="s">
        <v>1748</v>
      </c>
      <c r="L123" s="1" t="str">
        <f>VLOOKUP(Salesdta[[#This Row],[Store_ID]],Store_Data_1[],3,TRUE)</f>
        <v>East</v>
      </c>
      <c r="M123" s="1">
        <v>1</v>
      </c>
      <c r="N123" s="1">
        <v>504</v>
      </c>
      <c r="O123" s="12">
        <v>0.26</v>
      </c>
      <c r="P123" s="1" t="s">
        <v>1822</v>
      </c>
      <c r="Q123" s="1">
        <v>373</v>
      </c>
      <c r="R123" s="1">
        <f>Salesdta[[#This Row],[Final Revenue]]-Salesdta[[#This Row],[Product cost]]</f>
        <v>119</v>
      </c>
      <c r="S123" s="1" t="str">
        <f>IF(Salesdta[[#This Row],[Final Revenue]]&gt;1000,"Selected","Not Selected")</f>
        <v>Not Selected</v>
      </c>
    </row>
    <row r="124" spans="1:19" x14ac:dyDescent="0.35">
      <c r="A124" s="6" t="s">
        <v>1941</v>
      </c>
      <c r="B124" s="20">
        <v>45573</v>
      </c>
      <c r="C124" s="1" t="str">
        <f>TEXT(Salesdta[[#This Row],[Order_Date]],"mmmm")</f>
        <v>October</v>
      </c>
      <c r="D124" s="1" t="s">
        <v>1239</v>
      </c>
      <c r="E124" s="1" t="str">
        <f>VLOOKUP(Salesdta[[#This Row],[Customer_ID]],Customer_Data_[],6,TRUE)</f>
        <v>Male</v>
      </c>
      <c r="F124" s="1" t="str">
        <f>VLOOKUP(Salesdta[[#This Row],[Customer_ID]],Customer_Data_[],8,TRUE)</f>
        <v>Maine</v>
      </c>
      <c r="G124" s="1" t="s">
        <v>1676</v>
      </c>
      <c r="H124" s="1" t="str">
        <f>VLOOKUP(Salesdta[[#This Row],[Product_ID]],Product_Data_1[],2,TRUE)</f>
        <v>Women's Hair Dryer Brush</v>
      </c>
      <c r="I124" s="1" t="str">
        <f>VLOOKUP(Salesdta[[#This Row],[Product_ID]],Product_Data_1[],3,TRUE)</f>
        <v>Beauty</v>
      </c>
      <c r="J124" s="1">
        <f>VLOOKUP(Salesdta[[#This Row],[Product_ID]],Product_Data_1[],7,TRUE)</f>
        <v>340</v>
      </c>
      <c r="K124" s="1" t="s">
        <v>1790</v>
      </c>
      <c r="L124" s="1" t="str">
        <f>VLOOKUP(Salesdta[[#This Row],[Store_ID]],Store_Data_1[],3,TRUE)</f>
        <v>North</v>
      </c>
      <c r="M124" s="1">
        <v>2</v>
      </c>
      <c r="N124" s="1">
        <v>975</v>
      </c>
      <c r="O124" s="12">
        <v>0.26</v>
      </c>
      <c r="P124" s="1" t="s">
        <v>1822</v>
      </c>
      <c r="Q124" s="1">
        <v>1444</v>
      </c>
      <c r="R124" s="1">
        <f>Salesdta[[#This Row],[Final Revenue]]-Salesdta[[#This Row],[Product cost]]</f>
        <v>1104</v>
      </c>
      <c r="S124" s="1" t="str">
        <f>IF(Salesdta[[#This Row],[Final Revenue]]&gt;1000,"Selected","Not Selected")</f>
        <v>Selected</v>
      </c>
    </row>
    <row r="125" spans="1:19" x14ac:dyDescent="0.35">
      <c r="A125" s="6" t="s">
        <v>1942</v>
      </c>
      <c r="B125" s="20">
        <v>45884</v>
      </c>
      <c r="C125" s="1" t="str">
        <f>TEXT(Salesdta[[#This Row],[Order_Date]],"mmmm")</f>
        <v>August</v>
      </c>
      <c r="D125" s="1" t="s">
        <v>1245</v>
      </c>
      <c r="E125" s="1" t="str">
        <f>VLOOKUP(Salesdta[[#This Row],[Customer_ID]],Customer_Data_[],6,TRUE)</f>
        <v>Female</v>
      </c>
      <c r="F125" s="1" t="str">
        <f>VLOOKUP(Salesdta[[#This Row],[Customer_ID]],Customer_Data_[],8,TRUE)</f>
        <v>Nevada</v>
      </c>
      <c r="G125" s="1" t="s">
        <v>1612</v>
      </c>
      <c r="H125" s="1" t="str">
        <f>VLOOKUP(Salesdta[[#This Row],[Product_ID]],Product_Data_1[],2,TRUE)</f>
        <v>Gaming Mechanical Keyboard</v>
      </c>
      <c r="I125" s="1" t="str">
        <f>VLOOKUP(Salesdta[[#This Row],[Product_ID]],Product_Data_1[],3,TRUE)</f>
        <v>Electronics</v>
      </c>
      <c r="J125" s="1">
        <f>VLOOKUP(Salesdta[[#This Row],[Product_ID]],Product_Data_1[],7,TRUE)</f>
        <v>419</v>
      </c>
      <c r="K125" s="1" t="s">
        <v>1800</v>
      </c>
      <c r="L125" s="1" t="str">
        <f>VLOOKUP(Salesdta[[#This Row],[Store_ID]],Store_Data_1[],3,TRUE)</f>
        <v>North</v>
      </c>
      <c r="M125" s="1">
        <v>4</v>
      </c>
      <c r="N125" s="1">
        <v>450</v>
      </c>
      <c r="O125" s="12">
        <v>0.28999999999999998</v>
      </c>
      <c r="P125" s="1" t="s">
        <v>1822</v>
      </c>
      <c r="Q125" s="1">
        <v>1278</v>
      </c>
      <c r="R125" s="1">
        <f>Salesdta[[#This Row],[Final Revenue]]-Salesdta[[#This Row],[Product cost]]</f>
        <v>859</v>
      </c>
      <c r="S125" s="1" t="str">
        <f>IF(Salesdta[[#This Row],[Final Revenue]]&gt;1000,"Selected","Not Selected")</f>
        <v>Selected</v>
      </c>
    </row>
    <row r="126" spans="1:19" x14ac:dyDescent="0.35">
      <c r="A126" s="6" t="s">
        <v>1943</v>
      </c>
      <c r="B126" s="20">
        <v>45522</v>
      </c>
      <c r="C126" s="1" t="str">
        <f>TEXT(Salesdta[[#This Row],[Order_Date]],"mmmm")</f>
        <v>August</v>
      </c>
      <c r="D126" s="1" t="s">
        <v>1413</v>
      </c>
      <c r="E126" s="1" t="str">
        <f>VLOOKUP(Salesdta[[#This Row],[Customer_ID]],Customer_Data_[],6,TRUE)</f>
        <v>Female</v>
      </c>
      <c r="F126" s="1" t="str">
        <f>VLOOKUP(Salesdta[[#This Row],[Customer_ID]],Customer_Data_[],8,TRUE)</f>
        <v>South Carolina</v>
      </c>
      <c r="G126" s="1" t="s">
        <v>1652</v>
      </c>
      <c r="H126" s="1" t="str">
        <f>VLOOKUP(Salesdta[[#This Row],[Product_ID]],Product_Data_1[],2,TRUE)</f>
        <v>Sports Stopwatch Pro</v>
      </c>
      <c r="I126" s="1" t="str">
        <f>VLOOKUP(Salesdta[[#This Row],[Product_ID]],Product_Data_1[],3,TRUE)</f>
        <v>Sports</v>
      </c>
      <c r="J126" s="1">
        <f>VLOOKUP(Salesdta[[#This Row],[Product_ID]],Product_Data_1[],7,TRUE)</f>
        <v>435</v>
      </c>
      <c r="K126" s="1" t="s">
        <v>1797</v>
      </c>
      <c r="L126" s="1" t="str">
        <f>VLOOKUP(Salesdta[[#This Row],[Store_ID]],Store_Data_1[],3,TRUE)</f>
        <v>North</v>
      </c>
      <c r="M126" s="1">
        <v>2</v>
      </c>
      <c r="N126" s="1">
        <v>537</v>
      </c>
      <c r="O126" s="12">
        <v>0.09</v>
      </c>
      <c r="P126" s="1" t="s">
        <v>1822</v>
      </c>
      <c r="Q126" s="1">
        <v>977</v>
      </c>
      <c r="R126" s="1">
        <f>Salesdta[[#This Row],[Final Revenue]]-Salesdta[[#This Row],[Product cost]]</f>
        <v>542</v>
      </c>
      <c r="S126" s="1" t="str">
        <f>IF(Salesdta[[#This Row],[Final Revenue]]&gt;1000,"Selected","Not Selected")</f>
        <v>Not Selected</v>
      </c>
    </row>
    <row r="127" spans="1:19" x14ac:dyDescent="0.35">
      <c r="A127" s="6" t="s">
        <v>1944</v>
      </c>
      <c r="B127" s="20">
        <v>45617</v>
      </c>
      <c r="C127" s="1" t="str">
        <f>TEXT(Salesdta[[#This Row],[Order_Date]],"mmmm")</f>
        <v>November</v>
      </c>
      <c r="D127" s="1" t="s">
        <v>929</v>
      </c>
      <c r="E127" s="1" t="str">
        <f>VLOOKUP(Salesdta[[#This Row],[Customer_ID]],Customer_Data_[],6,TRUE)</f>
        <v>Male</v>
      </c>
      <c r="F127" s="1" t="str">
        <f>VLOOKUP(Salesdta[[#This Row],[Customer_ID]],Customer_Data_[],8,TRUE)</f>
        <v>Montana</v>
      </c>
      <c r="G127" s="1" t="s">
        <v>1708</v>
      </c>
      <c r="H127" s="1" t="str">
        <f>VLOOKUP(Salesdta[[#This Row],[Product_ID]],Product_Data_1[],2,TRUE)</f>
        <v>Fitness Resistance Bands</v>
      </c>
      <c r="I127" s="1" t="str">
        <f>VLOOKUP(Salesdta[[#This Row],[Product_ID]],Product_Data_1[],3,TRUE)</f>
        <v>Sports</v>
      </c>
      <c r="J127" s="1">
        <f>VLOOKUP(Salesdta[[#This Row],[Product_ID]],Product_Data_1[],7,TRUE)</f>
        <v>153</v>
      </c>
      <c r="K127" s="1" t="s">
        <v>1809</v>
      </c>
      <c r="L127" s="1" t="str">
        <f>VLOOKUP(Salesdta[[#This Row],[Store_ID]],Store_Data_1[],3,TRUE)</f>
        <v>North</v>
      </c>
      <c r="M127" s="1">
        <v>1</v>
      </c>
      <c r="N127" s="1">
        <v>654</v>
      </c>
      <c r="O127" s="12">
        <v>0.14000000000000001</v>
      </c>
      <c r="P127" s="1" t="s">
        <v>1819</v>
      </c>
      <c r="Q127" s="1">
        <v>562</v>
      </c>
      <c r="R127" s="1">
        <f>Salesdta[[#This Row],[Final Revenue]]-Salesdta[[#This Row],[Product cost]]</f>
        <v>409</v>
      </c>
      <c r="S127" s="1" t="str">
        <f>IF(Salesdta[[#This Row],[Final Revenue]]&gt;1000,"Selected","Not Selected")</f>
        <v>Not Selected</v>
      </c>
    </row>
    <row r="128" spans="1:19" x14ac:dyDescent="0.35">
      <c r="A128" s="6" t="s">
        <v>1945</v>
      </c>
      <c r="B128" s="20">
        <v>45502</v>
      </c>
      <c r="C128" s="1" t="str">
        <f>TEXT(Salesdta[[#This Row],[Order_Date]],"mmmm")</f>
        <v>July</v>
      </c>
      <c r="D128" s="1" t="s">
        <v>332</v>
      </c>
      <c r="E128" s="1" t="str">
        <f>VLOOKUP(Salesdta[[#This Row],[Customer_ID]],Customer_Data_[],6,TRUE)</f>
        <v>Female</v>
      </c>
      <c r="F128" s="1" t="str">
        <f>VLOOKUP(Salesdta[[#This Row],[Customer_ID]],Customer_Data_[],8,TRUE)</f>
        <v>South Carolina</v>
      </c>
      <c r="G128" s="1" t="s">
        <v>1551</v>
      </c>
      <c r="H128" s="1" t="str">
        <f>VLOOKUP(Salesdta[[#This Row],[Product_ID]],Product_Data_1[],2,TRUE)</f>
        <v>Men's Roll-On Perfume</v>
      </c>
      <c r="I128" s="1" t="str">
        <f>VLOOKUP(Salesdta[[#This Row],[Product_ID]],Product_Data_1[],3,TRUE)</f>
        <v>Beauty</v>
      </c>
      <c r="J128" s="1">
        <f>VLOOKUP(Salesdta[[#This Row],[Product_ID]],Product_Data_1[],7,TRUE)</f>
        <v>43</v>
      </c>
      <c r="K128" s="1" t="s">
        <v>1790</v>
      </c>
      <c r="L128" s="1" t="str">
        <f>VLOOKUP(Salesdta[[#This Row],[Store_ID]],Store_Data_1[],3,TRUE)</f>
        <v>North</v>
      </c>
      <c r="M128" s="1">
        <v>3</v>
      </c>
      <c r="N128" s="1">
        <v>513</v>
      </c>
      <c r="O128" s="12">
        <v>7.0000000000000007E-2</v>
      </c>
      <c r="P128" s="1" t="s">
        <v>1822</v>
      </c>
      <c r="Q128" s="1">
        <v>1432</v>
      </c>
      <c r="R128" s="1">
        <f>Salesdta[[#This Row],[Final Revenue]]-Salesdta[[#This Row],[Product cost]]</f>
        <v>1389</v>
      </c>
      <c r="S128" s="1" t="str">
        <f>IF(Salesdta[[#This Row],[Final Revenue]]&gt;1000,"Selected","Not Selected")</f>
        <v>Selected</v>
      </c>
    </row>
    <row r="129" spans="1:19" x14ac:dyDescent="0.35">
      <c r="A129" s="6" t="s">
        <v>1946</v>
      </c>
      <c r="B129" s="20">
        <v>45433</v>
      </c>
      <c r="C129" s="1" t="str">
        <f>TEXT(Salesdta[[#This Row],[Order_Date]],"mmmm")</f>
        <v>May</v>
      </c>
      <c r="D129" s="1" t="s">
        <v>248</v>
      </c>
      <c r="E129" s="1" t="str">
        <f>VLOOKUP(Salesdta[[#This Row],[Customer_ID]],Customer_Data_[],6,TRUE)</f>
        <v>Female</v>
      </c>
      <c r="F129" s="1" t="str">
        <f>VLOOKUP(Salesdta[[#This Row],[Customer_ID]],Customer_Data_[],8,TRUE)</f>
        <v>Indiana</v>
      </c>
      <c r="G129" s="1" t="s">
        <v>1648</v>
      </c>
      <c r="H129" s="1" t="str">
        <f>VLOOKUP(Salesdta[[#This Row],[Product_ID]],Product_Data_1[],2,TRUE)</f>
        <v>Rugby Ball</v>
      </c>
      <c r="I129" s="1" t="str">
        <f>VLOOKUP(Salesdta[[#This Row],[Product_ID]],Product_Data_1[],3,TRUE)</f>
        <v>Sports</v>
      </c>
      <c r="J129" s="1">
        <f>VLOOKUP(Salesdta[[#This Row],[Product_ID]],Product_Data_1[],7,TRUE)</f>
        <v>212</v>
      </c>
      <c r="K129" s="1" t="s">
        <v>1769</v>
      </c>
      <c r="L129" s="1" t="str">
        <f>VLOOKUP(Salesdta[[#This Row],[Store_ID]],Store_Data_1[],3,TRUE)</f>
        <v>North</v>
      </c>
      <c r="M129" s="1">
        <v>4</v>
      </c>
      <c r="N129" s="1">
        <v>356</v>
      </c>
      <c r="O129" s="12">
        <v>0.16</v>
      </c>
      <c r="P129" s="1" t="s">
        <v>1822</v>
      </c>
      <c r="Q129" s="1">
        <v>1195</v>
      </c>
      <c r="R129" s="1">
        <f>Salesdta[[#This Row],[Final Revenue]]-Salesdta[[#This Row],[Product cost]]</f>
        <v>983</v>
      </c>
      <c r="S129" s="1" t="str">
        <f>IF(Salesdta[[#This Row],[Final Revenue]]&gt;1000,"Selected","Not Selected")</f>
        <v>Selected</v>
      </c>
    </row>
    <row r="130" spans="1:19" x14ac:dyDescent="0.35">
      <c r="A130" s="6" t="s">
        <v>1947</v>
      </c>
      <c r="B130" s="20">
        <v>45594</v>
      </c>
      <c r="C130" s="1" t="str">
        <f>TEXT(Salesdta[[#This Row],[Order_Date]],"mmmm")</f>
        <v>October</v>
      </c>
      <c r="D130" s="1" t="s">
        <v>95</v>
      </c>
      <c r="E130" s="1" t="str">
        <f>VLOOKUP(Salesdta[[#This Row],[Customer_ID]],Customer_Data_[],6,TRUE)</f>
        <v>Female</v>
      </c>
      <c r="F130" s="1" t="str">
        <f>VLOOKUP(Salesdta[[#This Row],[Customer_ID]],Customer_Data_[],8,TRUE)</f>
        <v>Hawaii</v>
      </c>
      <c r="G130" s="1" t="s">
        <v>1570</v>
      </c>
      <c r="H130" s="1" t="str">
        <f>VLOOKUP(Salesdta[[#This Row],[Product_ID]],Product_Data_1[],2,TRUE)</f>
        <v>USB-C Fast Charger</v>
      </c>
      <c r="I130" s="1" t="str">
        <f>VLOOKUP(Salesdta[[#This Row],[Product_ID]],Product_Data_1[],3,TRUE)</f>
        <v>Electronics</v>
      </c>
      <c r="J130" s="1">
        <f>VLOOKUP(Salesdta[[#This Row],[Product_ID]],Product_Data_1[],7,TRUE)</f>
        <v>242</v>
      </c>
      <c r="K130" s="1" t="s">
        <v>1778</v>
      </c>
      <c r="L130" s="1" t="str">
        <f>VLOOKUP(Salesdta[[#This Row],[Store_ID]],Store_Data_1[],3,TRUE)</f>
        <v>West</v>
      </c>
      <c r="M130" s="1">
        <v>4</v>
      </c>
      <c r="N130" s="1">
        <v>535</v>
      </c>
      <c r="O130" s="12">
        <v>0.26</v>
      </c>
      <c r="P130" s="1" t="s">
        <v>1819</v>
      </c>
      <c r="Q130" s="1">
        <v>1585</v>
      </c>
      <c r="R130" s="1">
        <f>Salesdta[[#This Row],[Final Revenue]]-Salesdta[[#This Row],[Product cost]]</f>
        <v>1343</v>
      </c>
      <c r="S130" s="1" t="str">
        <f>IF(Salesdta[[#This Row],[Final Revenue]]&gt;1000,"Selected","Not Selected")</f>
        <v>Selected</v>
      </c>
    </row>
    <row r="131" spans="1:19" x14ac:dyDescent="0.35">
      <c r="A131" s="6" t="s">
        <v>1948</v>
      </c>
      <c r="B131" s="20">
        <v>45798</v>
      </c>
      <c r="C131" s="1" t="str">
        <f>TEXT(Salesdta[[#This Row],[Order_Date]],"mmmm")</f>
        <v>May</v>
      </c>
      <c r="D131" s="1" t="s">
        <v>776</v>
      </c>
      <c r="E131" s="1" t="str">
        <f>VLOOKUP(Salesdta[[#This Row],[Customer_ID]],Customer_Data_[],6,TRUE)</f>
        <v>Female</v>
      </c>
      <c r="F131" s="1" t="str">
        <f>VLOOKUP(Salesdta[[#This Row],[Customer_ID]],Customer_Data_[],8,TRUE)</f>
        <v>Texas</v>
      </c>
      <c r="G131" s="1" t="s">
        <v>1682</v>
      </c>
      <c r="H131" s="1" t="str">
        <f>VLOOKUP(Salesdta[[#This Row],[Product_ID]],Product_Data_1[],2,TRUE)</f>
        <v>Men's Sports Shorts</v>
      </c>
      <c r="I131" s="1" t="str">
        <f>VLOOKUP(Salesdta[[#This Row],[Product_ID]],Product_Data_1[],3,TRUE)</f>
        <v>Clothing</v>
      </c>
      <c r="J131" s="1">
        <f>VLOOKUP(Salesdta[[#This Row],[Product_ID]],Product_Data_1[],7,TRUE)</f>
        <v>218</v>
      </c>
      <c r="K131" s="1" t="s">
        <v>1809</v>
      </c>
      <c r="L131" s="1" t="str">
        <f>VLOOKUP(Salesdta[[#This Row],[Store_ID]],Store_Data_1[],3,TRUE)</f>
        <v>North</v>
      </c>
      <c r="M131" s="1">
        <v>2</v>
      </c>
      <c r="N131" s="1">
        <v>109</v>
      </c>
      <c r="O131" s="12">
        <v>0.11</v>
      </c>
      <c r="P131" s="1" t="s">
        <v>1819</v>
      </c>
      <c r="Q131" s="1">
        <v>194</v>
      </c>
      <c r="R131" s="1">
        <f>Salesdta[[#This Row],[Final Revenue]]-Salesdta[[#This Row],[Product cost]]</f>
        <v>-24</v>
      </c>
      <c r="S131" s="1" t="str">
        <f>IF(Salesdta[[#This Row],[Final Revenue]]&gt;1000,"Selected","Not Selected")</f>
        <v>Not Selected</v>
      </c>
    </row>
    <row r="132" spans="1:19" x14ac:dyDescent="0.35">
      <c r="A132" s="6" t="s">
        <v>1949</v>
      </c>
      <c r="B132" s="20">
        <v>45579</v>
      </c>
      <c r="C132" s="1" t="str">
        <f>TEXT(Salesdta[[#This Row],[Order_Date]],"mmmm")</f>
        <v>October</v>
      </c>
      <c r="D132" s="1" t="s">
        <v>987</v>
      </c>
      <c r="E132" s="1" t="str">
        <f>VLOOKUP(Salesdta[[#This Row],[Customer_ID]],Customer_Data_[],6,TRUE)</f>
        <v>Female</v>
      </c>
      <c r="F132" s="1" t="str">
        <f>VLOOKUP(Salesdta[[#This Row],[Customer_ID]],Customer_Data_[],8,TRUE)</f>
        <v>Washington</v>
      </c>
      <c r="G132" s="1" t="s">
        <v>1566</v>
      </c>
      <c r="H132" s="1" t="str">
        <f>VLOOKUP(Salesdta[[#This Row],[Product_ID]],Product_Data_1[],2,TRUE)</f>
        <v>HD Smart TV Stick</v>
      </c>
      <c r="I132" s="1" t="str">
        <f>VLOOKUP(Salesdta[[#This Row],[Product_ID]],Product_Data_1[],3,TRUE)</f>
        <v>Electronics</v>
      </c>
      <c r="J132" s="1">
        <f>VLOOKUP(Salesdta[[#This Row],[Product_ID]],Product_Data_1[],7,TRUE)</f>
        <v>449</v>
      </c>
      <c r="K132" s="1" t="s">
        <v>1809</v>
      </c>
      <c r="L132" s="1" t="str">
        <f>VLOOKUP(Salesdta[[#This Row],[Store_ID]],Store_Data_1[],3,TRUE)</f>
        <v>North</v>
      </c>
      <c r="M132" s="1">
        <v>3</v>
      </c>
      <c r="N132" s="1">
        <v>592</v>
      </c>
      <c r="O132" s="12">
        <v>0.16</v>
      </c>
      <c r="P132" s="1" t="s">
        <v>1817</v>
      </c>
      <c r="Q132" s="1">
        <v>1492</v>
      </c>
      <c r="R132" s="1">
        <f>Salesdta[[#This Row],[Final Revenue]]-Salesdta[[#This Row],[Product cost]]</f>
        <v>1043</v>
      </c>
      <c r="S132" s="1" t="str">
        <f>IF(Salesdta[[#This Row],[Final Revenue]]&gt;1000,"Selected","Not Selected")</f>
        <v>Selected</v>
      </c>
    </row>
    <row r="133" spans="1:19" x14ac:dyDescent="0.35">
      <c r="A133" s="6" t="s">
        <v>1950</v>
      </c>
      <c r="B133" s="20">
        <v>45613</v>
      </c>
      <c r="C133" s="1" t="str">
        <f>TEXT(Salesdta[[#This Row],[Order_Date]],"mmmm")</f>
        <v>November</v>
      </c>
      <c r="D133" s="1" t="s">
        <v>1256</v>
      </c>
      <c r="E133" s="1" t="str">
        <f>VLOOKUP(Salesdta[[#This Row],[Customer_ID]],Customer_Data_[],6,TRUE)</f>
        <v>Female</v>
      </c>
      <c r="F133" s="1" t="str">
        <f>VLOOKUP(Salesdta[[#This Row],[Customer_ID]],Customer_Data_[],8,TRUE)</f>
        <v>Louisiana</v>
      </c>
      <c r="G133" s="1" t="s">
        <v>1640</v>
      </c>
      <c r="H133" s="1" t="str">
        <f>VLOOKUP(Salesdta[[#This Row],[Product_ID]],Product_Data_1[],2,TRUE)</f>
        <v>Car Dashboard Phone Holder</v>
      </c>
      <c r="I133" s="1" t="str">
        <f>VLOOKUP(Salesdta[[#This Row],[Product_ID]],Product_Data_1[],3,TRUE)</f>
        <v>Electronics</v>
      </c>
      <c r="J133" s="1">
        <f>VLOOKUP(Salesdta[[#This Row],[Product_ID]],Product_Data_1[],7,TRUE)</f>
        <v>178</v>
      </c>
      <c r="K133" s="1" t="s">
        <v>1757</v>
      </c>
      <c r="L133" s="1" t="str">
        <f>VLOOKUP(Salesdta[[#This Row],[Store_ID]],Store_Data_1[],3,TRUE)</f>
        <v>South</v>
      </c>
      <c r="M133" s="1">
        <v>1</v>
      </c>
      <c r="N133" s="1">
        <v>345</v>
      </c>
      <c r="O133" s="12">
        <v>0.13</v>
      </c>
      <c r="P133" s="1" t="s">
        <v>1822</v>
      </c>
      <c r="Q133" s="1">
        <v>300</v>
      </c>
      <c r="R133" s="1">
        <f>Salesdta[[#This Row],[Final Revenue]]-Salesdta[[#This Row],[Product cost]]</f>
        <v>122</v>
      </c>
      <c r="S133" s="1" t="str">
        <f>IF(Salesdta[[#This Row],[Final Revenue]]&gt;1000,"Selected","Not Selected")</f>
        <v>Not Selected</v>
      </c>
    </row>
    <row r="134" spans="1:19" x14ac:dyDescent="0.35">
      <c r="A134" s="6" t="s">
        <v>1951</v>
      </c>
      <c r="B134" s="20">
        <v>45745</v>
      </c>
      <c r="C134" s="1" t="str">
        <f>TEXT(Salesdta[[#This Row],[Order_Date]],"mmmm")</f>
        <v>March</v>
      </c>
      <c r="D134" s="1" t="s">
        <v>966</v>
      </c>
      <c r="E134" s="1" t="str">
        <f>VLOOKUP(Salesdta[[#This Row],[Customer_ID]],Customer_Data_[],6,TRUE)</f>
        <v>Female</v>
      </c>
      <c r="F134" s="1" t="str">
        <f>VLOOKUP(Salesdta[[#This Row],[Customer_ID]],Customer_Data_[],8,TRUE)</f>
        <v>Alabama</v>
      </c>
      <c r="G134" s="1" t="s">
        <v>1730</v>
      </c>
      <c r="H134" s="1" t="str">
        <f>VLOOKUP(Salesdta[[#This Row],[Product_ID]],Product_Data_1[],2,TRUE)</f>
        <v>USB-C Laptop Charger</v>
      </c>
      <c r="I134" s="1" t="str">
        <f>VLOOKUP(Salesdta[[#This Row],[Product_ID]],Product_Data_1[],3,TRUE)</f>
        <v>Electronics</v>
      </c>
      <c r="J134" s="1">
        <f>VLOOKUP(Salesdta[[#This Row],[Product_ID]],Product_Data_1[],7,TRUE)</f>
        <v>378</v>
      </c>
      <c r="K134" s="1" t="s">
        <v>1790</v>
      </c>
      <c r="L134" s="1" t="str">
        <f>VLOOKUP(Salesdta[[#This Row],[Store_ID]],Store_Data_1[],3,TRUE)</f>
        <v>North</v>
      </c>
      <c r="M134" s="1">
        <v>4</v>
      </c>
      <c r="N134" s="1">
        <v>986</v>
      </c>
      <c r="O134" s="12">
        <v>0.22</v>
      </c>
      <c r="P134" s="1" t="s">
        <v>1817</v>
      </c>
      <c r="Q134" s="1">
        <v>3078</v>
      </c>
      <c r="R134" s="1">
        <f>Salesdta[[#This Row],[Final Revenue]]-Salesdta[[#This Row],[Product cost]]</f>
        <v>2700</v>
      </c>
      <c r="S134" s="1" t="str">
        <f>IF(Salesdta[[#This Row],[Final Revenue]]&gt;1000,"Selected","Not Selected")</f>
        <v>Selected</v>
      </c>
    </row>
    <row r="135" spans="1:19" x14ac:dyDescent="0.35">
      <c r="A135" s="6" t="s">
        <v>1952</v>
      </c>
      <c r="B135" s="20">
        <v>45494</v>
      </c>
      <c r="C135" s="1" t="str">
        <f>TEXT(Salesdta[[#This Row],[Order_Date]],"mmmm")</f>
        <v>July</v>
      </c>
      <c r="D135" s="1" t="s">
        <v>1002</v>
      </c>
      <c r="E135" s="1" t="str">
        <f>VLOOKUP(Salesdta[[#This Row],[Customer_ID]],Customer_Data_[],6,TRUE)</f>
        <v>Male</v>
      </c>
      <c r="F135" s="1" t="str">
        <f>VLOOKUP(Salesdta[[#This Row],[Customer_ID]],Customer_Data_[],8,TRUE)</f>
        <v>Mississippi</v>
      </c>
      <c r="G135" s="1" t="s">
        <v>1642</v>
      </c>
      <c r="H135" s="1" t="str">
        <f>VLOOKUP(Salesdta[[#This Row],[Product_ID]],Product_Data_1[],2,TRUE)</f>
        <v>Men's Roll-On Perfume</v>
      </c>
      <c r="I135" s="1" t="str">
        <f>VLOOKUP(Salesdta[[#This Row],[Product_ID]],Product_Data_1[],3,TRUE)</f>
        <v>Beauty</v>
      </c>
      <c r="J135" s="1">
        <f>VLOOKUP(Salesdta[[#This Row],[Product_ID]],Product_Data_1[],7,TRUE)</f>
        <v>43</v>
      </c>
      <c r="K135" s="1" t="s">
        <v>1748</v>
      </c>
      <c r="L135" s="1" t="str">
        <f>VLOOKUP(Salesdta[[#This Row],[Store_ID]],Store_Data_1[],3,TRUE)</f>
        <v>East</v>
      </c>
      <c r="M135" s="1">
        <v>2</v>
      </c>
      <c r="N135" s="1">
        <v>922</v>
      </c>
      <c r="O135" s="12">
        <v>0</v>
      </c>
      <c r="P135" s="1" t="s">
        <v>1819</v>
      </c>
      <c r="Q135" s="1">
        <v>1843</v>
      </c>
      <c r="R135" s="1">
        <f>Salesdta[[#This Row],[Final Revenue]]-Salesdta[[#This Row],[Product cost]]</f>
        <v>1800</v>
      </c>
      <c r="S135" s="1" t="str">
        <f>IF(Salesdta[[#This Row],[Final Revenue]]&gt;1000,"Selected","Not Selected")</f>
        <v>Selected</v>
      </c>
    </row>
    <row r="136" spans="1:19" x14ac:dyDescent="0.35">
      <c r="A136" s="6" t="s">
        <v>1953</v>
      </c>
      <c r="B136" s="20">
        <v>45454</v>
      </c>
      <c r="C136" s="1" t="str">
        <f>TEXT(Salesdta[[#This Row],[Order_Date]],"mmmm")</f>
        <v>June</v>
      </c>
      <c r="D136" s="1" t="s">
        <v>1225</v>
      </c>
      <c r="E136" s="1" t="str">
        <f>VLOOKUP(Salesdta[[#This Row],[Customer_ID]],Customer_Data_[],6,TRUE)</f>
        <v>Female</v>
      </c>
      <c r="F136" s="1" t="str">
        <f>VLOOKUP(Salesdta[[#This Row],[Customer_ID]],Customer_Data_[],8,TRUE)</f>
        <v>Connecticut</v>
      </c>
      <c r="G136" s="1" t="s">
        <v>1722</v>
      </c>
      <c r="H136" s="1" t="str">
        <f>VLOOKUP(Salesdta[[#This Row],[Product_ID]],Product_Data_1[],2,TRUE)</f>
        <v>Face Foundation Kit</v>
      </c>
      <c r="I136" s="1" t="str">
        <f>VLOOKUP(Salesdta[[#This Row],[Product_ID]],Product_Data_1[],3,TRUE)</f>
        <v>Beauty</v>
      </c>
      <c r="J136" s="1">
        <f>VLOOKUP(Salesdta[[#This Row],[Product_ID]],Product_Data_1[],7,TRUE)</f>
        <v>183</v>
      </c>
      <c r="K136" s="1" t="s">
        <v>1800</v>
      </c>
      <c r="L136" s="1" t="str">
        <f>VLOOKUP(Salesdta[[#This Row],[Store_ID]],Store_Data_1[],3,TRUE)</f>
        <v>North</v>
      </c>
      <c r="M136" s="1">
        <v>2</v>
      </c>
      <c r="N136" s="1">
        <v>122</v>
      </c>
      <c r="O136" s="12">
        <v>0.21</v>
      </c>
      <c r="P136" s="1" t="s">
        <v>1822</v>
      </c>
      <c r="Q136" s="1">
        <v>193</v>
      </c>
      <c r="R136" s="1">
        <f>Salesdta[[#This Row],[Final Revenue]]-Salesdta[[#This Row],[Product cost]]</f>
        <v>10</v>
      </c>
      <c r="S136" s="1" t="str">
        <f>IF(Salesdta[[#This Row],[Final Revenue]]&gt;1000,"Selected","Not Selected")</f>
        <v>Not Selected</v>
      </c>
    </row>
    <row r="137" spans="1:19" x14ac:dyDescent="0.35">
      <c r="A137" s="6" t="s">
        <v>1954</v>
      </c>
      <c r="B137" s="20">
        <v>45918</v>
      </c>
      <c r="C137" s="1" t="str">
        <f>TEXT(Salesdta[[#This Row],[Order_Date]],"mmmm")</f>
        <v>September</v>
      </c>
      <c r="D137" s="1" t="s">
        <v>87</v>
      </c>
      <c r="E137" s="1" t="str">
        <f>VLOOKUP(Salesdta[[#This Row],[Customer_ID]],Customer_Data_[],6,TRUE)</f>
        <v>Male</v>
      </c>
      <c r="F137" s="1" t="str">
        <f>VLOOKUP(Salesdta[[#This Row],[Customer_ID]],Customer_Data_[],8,TRUE)</f>
        <v>Delaware</v>
      </c>
      <c r="G137" s="1" t="s">
        <v>1684</v>
      </c>
      <c r="H137" s="1" t="str">
        <f>VLOOKUP(Salesdta[[#This Row],[Product_ID]],Product_Data_1[],2,TRUE)</f>
        <v>Kitchen Storage Rack</v>
      </c>
      <c r="I137" s="1" t="str">
        <f>VLOOKUP(Salesdta[[#This Row],[Product_ID]],Product_Data_1[],3,TRUE)</f>
        <v>Home</v>
      </c>
      <c r="J137" s="1">
        <f>VLOOKUP(Salesdta[[#This Row],[Product_ID]],Product_Data_1[],7,TRUE)</f>
        <v>138</v>
      </c>
      <c r="K137" s="1" t="s">
        <v>1806</v>
      </c>
      <c r="L137" s="1" t="str">
        <f>VLOOKUP(Salesdta[[#This Row],[Store_ID]],Store_Data_1[],3,TRUE)</f>
        <v>North</v>
      </c>
      <c r="M137" s="1">
        <v>2</v>
      </c>
      <c r="N137" s="1">
        <v>623</v>
      </c>
      <c r="O137" s="12">
        <v>0.13</v>
      </c>
      <c r="P137" s="1" t="s">
        <v>1817</v>
      </c>
      <c r="Q137" s="1">
        <v>1085</v>
      </c>
      <c r="R137" s="1">
        <f>Salesdta[[#This Row],[Final Revenue]]-Salesdta[[#This Row],[Product cost]]</f>
        <v>947</v>
      </c>
      <c r="S137" s="1" t="str">
        <f>IF(Salesdta[[#This Row],[Final Revenue]]&gt;1000,"Selected","Not Selected")</f>
        <v>Selected</v>
      </c>
    </row>
    <row r="138" spans="1:19" x14ac:dyDescent="0.35">
      <c r="A138" s="6" t="s">
        <v>1955</v>
      </c>
      <c r="B138" s="20">
        <v>45851</v>
      </c>
      <c r="C138" s="1" t="str">
        <f>TEXT(Salesdta[[#This Row],[Order_Date]],"mmmm")</f>
        <v>July</v>
      </c>
      <c r="D138" s="1" t="s">
        <v>275</v>
      </c>
      <c r="E138" s="1" t="str">
        <f>VLOOKUP(Salesdta[[#This Row],[Customer_ID]],Customer_Data_[],6,TRUE)</f>
        <v>Male</v>
      </c>
      <c r="F138" s="1" t="str">
        <f>VLOOKUP(Salesdta[[#This Row],[Customer_ID]],Customer_Data_[],8,TRUE)</f>
        <v>Oklahoma</v>
      </c>
      <c r="G138" s="1" t="s">
        <v>1608</v>
      </c>
      <c r="H138" s="1" t="str">
        <f>VLOOKUP(Salesdta[[#This Row],[Product_ID]],Product_Data_1[],2,TRUE)</f>
        <v>Vitamin C Face Serum</v>
      </c>
      <c r="I138" s="1" t="str">
        <f>VLOOKUP(Salesdta[[#This Row],[Product_ID]],Product_Data_1[],3,TRUE)</f>
        <v>Beauty</v>
      </c>
      <c r="J138" s="1">
        <f>VLOOKUP(Salesdta[[#This Row],[Product_ID]],Product_Data_1[],7,TRUE)</f>
        <v>284</v>
      </c>
      <c r="K138" s="1" t="s">
        <v>1753</v>
      </c>
      <c r="L138" s="1" t="str">
        <f>VLOOKUP(Salesdta[[#This Row],[Store_ID]],Store_Data_1[],3,TRUE)</f>
        <v>North</v>
      </c>
      <c r="M138" s="1">
        <v>1</v>
      </c>
      <c r="N138" s="1">
        <v>488</v>
      </c>
      <c r="O138" s="12">
        <v>0.03</v>
      </c>
      <c r="P138" s="1" t="s">
        <v>1819</v>
      </c>
      <c r="Q138" s="1">
        <v>474</v>
      </c>
      <c r="R138" s="1">
        <f>Salesdta[[#This Row],[Final Revenue]]-Salesdta[[#This Row],[Product cost]]</f>
        <v>190</v>
      </c>
      <c r="S138" s="1" t="str">
        <f>IF(Salesdta[[#This Row],[Final Revenue]]&gt;1000,"Selected","Not Selected")</f>
        <v>Not Selected</v>
      </c>
    </row>
    <row r="139" spans="1:19" x14ac:dyDescent="0.35">
      <c r="A139" s="6" t="s">
        <v>1956</v>
      </c>
      <c r="B139" s="20">
        <v>45508</v>
      </c>
      <c r="C139" s="1" t="str">
        <f>TEXT(Salesdta[[#This Row],[Order_Date]],"mmmm")</f>
        <v>August</v>
      </c>
      <c r="D139" s="1" t="s">
        <v>265</v>
      </c>
      <c r="E139" s="1" t="str">
        <f>VLOOKUP(Salesdta[[#This Row],[Customer_ID]],Customer_Data_[],6,TRUE)</f>
        <v>Female</v>
      </c>
      <c r="F139" s="1" t="str">
        <f>VLOOKUP(Salesdta[[#This Row],[Customer_ID]],Customer_Data_[],8,TRUE)</f>
        <v>West Virginia</v>
      </c>
      <c r="G139" s="1" t="s">
        <v>1564</v>
      </c>
      <c r="H139" s="1" t="str">
        <f>VLOOKUP(Salesdta[[#This Row],[Product_ID]],Product_Data_1[],2,TRUE)</f>
        <v>Men's Graphic T-Shirt</v>
      </c>
      <c r="I139" s="1" t="str">
        <f>VLOOKUP(Salesdta[[#This Row],[Product_ID]],Product_Data_1[],3,TRUE)</f>
        <v>Clothing</v>
      </c>
      <c r="J139" s="1">
        <f>VLOOKUP(Salesdta[[#This Row],[Product_ID]],Product_Data_1[],7,TRUE)</f>
        <v>343</v>
      </c>
      <c r="K139" s="1" t="s">
        <v>1803</v>
      </c>
      <c r="L139" s="1" t="str">
        <f>VLOOKUP(Salesdta[[#This Row],[Store_ID]],Store_Data_1[],3,TRUE)</f>
        <v>North</v>
      </c>
      <c r="M139" s="1">
        <v>3</v>
      </c>
      <c r="N139" s="1">
        <v>708</v>
      </c>
      <c r="O139" s="12">
        <v>0.18</v>
      </c>
      <c r="P139" s="1" t="s">
        <v>1819</v>
      </c>
      <c r="Q139" s="1">
        <v>1742</v>
      </c>
      <c r="R139" s="1">
        <f>Salesdta[[#This Row],[Final Revenue]]-Salesdta[[#This Row],[Product cost]]</f>
        <v>1399</v>
      </c>
      <c r="S139" s="1" t="str">
        <f>IF(Salesdta[[#This Row],[Final Revenue]]&gt;1000,"Selected","Not Selected")</f>
        <v>Selected</v>
      </c>
    </row>
    <row r="140" spans="1:19" x14ac:dyDescent="0.35">
      <c r="A140" s="6" t="s">
        <v>1957</v>
      </c>
      <c r="B140" s="20">
        <v>45269</v>
      </c>
      <c r="C140" s="1" t="str">
        <f>TEXT(Salesdta[[#This Row],[Order_Date]],"mmmm")</f>
        <v>December</v>
      </c>
      <c r="D140" s="1" t="s">
        <v>931</v>
      </c>
      <c r="E140" s="1" t="str">
        <f>VLOOKUP(Salesdta[[#This Row],[Customer_ID]],Customer_Data_[],6,TRUE)</f>
        <v>Female</v>
      </c>
      <c r="F140" s="1" t="str">
        <f>VLOOKUP(Salesdta[[#This Row],[Customer_ID]],Customer_Data_[],8,TRUE)</f>
        <v>Kansas</v>
      </c>
      <c r="G140" s="1" t="s">
        <v>1682</v>
      </c>
      <c r="H140" s="1" t="str">
        <f>VLOOKUP(Salesdta[[#This Row],[Product_ID]],Product_Data_1[],2,TRUE)</f>
        <v>Men's Sports Shorts</v>
      </c>
      <c r="I140" s="1" t="str">
        <f>VLOOKUP(Salesdta[[#This Row],[Product_ID]],Product_Data_1[],3,TRUE)</f>
        <v>Clothing</v>
      </c>
      <c r="J140" s="1">
        <f>VLOOKUP(Salesdta[[#This Row],[Product_ID]],Product_Data_1[],7,TRUE)</f>
        <v>218</v>
      </c>
      <c r="K140" s="1" t="s">
        <v>1778</v>
      </c>
      <c r="L140" s="1" t="str">
        <f>VLOOKUP(Salesdta[[#This Row],[Store_ID]],Store_Data_1[],3,TRUE)</f>
        <v>West</v>
      </c>
      <c r="M140" s="1">
        <v>4</v>
      </c>
      <c r="N140" s="1">
        <v>714</v>
      </c>
      <c r="O140" s="12">
        <v>0.18</v>
      </c>
      <c r="P140" s="1" t="s">
        <v>1822</v>
      </c>
      <c r="Q140" s="1">
        <v>2343</v>
      </c>
      <c r="R140" s="1">
        <f>Salesdta[[#This Row],[Final Revenue]]-Salesdta[[#This Row],[Product cost]]</f>
        <v>2125</v>
      </c>
      <c r="S140" s="1" t="str">
        <f>IF(Salesdta[[#This Row],[Final Revenue]]&gt;1000,"Selected","Not Selected")</f>
        <v>Selected</v>
      </c>
    </row>
    <row r="141" spans="1:19" x14ac:dyDescent="0.35">
      <c r="A141" s="6" t="s">
        <v>1958</v>
      </c>
      <c r="B141" s="20">
        <v>45866</v>
      </c>
      <c r="C141" s="1" t="str">
        <f>TEXT(Salesdta[[#This Row],[Order_Date]],"mmmm")</f>
        <v>July</v>
      </c>
      <c r="D141" s="1" t="s">
        <v>1285</v>
      </c>
      <c r="E141" s="1" t="str">
        <f>VLOOKUP(Salesdta[[#This Row],[Customer_ID]],Customer_Data_[],6,TRUE)</f>
        <v>Female</v>
      </c>
      <c r="F141" s="1" t="str">
        <f>VLOOKUP(Salesdta[[#This Row],[Customer_ID]],Customer_Data_[],8,TRUE)</f>
        <v>Alaska</v>
      </c>
      <c r="G141" s="1" t="s">
        <v>1702</v>
      </c>
      <c r="H141" s="1" t="str">
        <f>VLOOKUP(Salesdta[[#This Row],[Product_ID]],Product_Data_1[],2,TRUE)</f>
        <v>Decorative Lamp Shade</v>
      </c>
      <c r="I141" s="1" t="str">
        <f>VLOOKUP(Salesdta[[#This Row],[Product_ID]],Product_Data_1[],3,TRUE)</f>
        <v>Home</v>
      </c>
      <c r="J141" s="1">
        <f>VLOOKUP(Salesdta[[#This Row],[Product_ID]],Product_Data_1[],7,TRUE)</f>
        <v>229</v>
      </c>
      <c r="K141" s="1" t="s">
        <v>1775</v>
      </c>
      <c r="L141" s="1" t="str">
        <f>VLOOKUP(Salesdta[[#This Row],[Store_ID]],Store_Data_1[],3,TRUE)</f>
        <v>South</v>
      </c>
      <c r="M141" s="1">
        <v>4</v>
      </c>
      <c r="N141" s="1">
        <v>422</v>
      </c>
      <c r="O141" s="12">
        <v>0.04</v>
      </c>
      <c r="P141" s="1" t="s">
        <v>1817</v>
      </c>
      <c r="Q141" s="1">
        <v>1621</v>
      </c>
      <c r="R141" s="1">
        <f>Salesdta[[#This Row],[Final Revenue]]-Salesdta[[#This Row],[Product cost]]</f>
        <v>1392</v>
      </c>
      <c r="S141" s="1" t="str">
        <f>IF(Salesdta[[#This Row],[Final Revenue]]&gt;1000,"Selected","Not Selected")</f>
        <v>Selected</v>
      </c>
    </row>
    <row r="142" spans="1:19" x14ac:dyDescent="0.35">
      <c r="A142" s="6" t="s">
        <v>1959</v>
      </c>
      <c r="B142" s="20">
        <v>45462</v>
      </c>
      <c r="C142" s="1" t="str">
        <f>TEXT(Salesdta[[#This Row],[Order_Date]],"mmmm")</f>
        <v>June</v>
      </c>
      <c r="D142" s="1" t="s">
        <v>378</v>
      </c>
      <c r="E142" s="1" t="str">
        <f>VLOOKUP(Salesdta[[#This Row],[Customer_ID]],Customer_Data_[],6,TRUE)</f>
        <v>Male</v>
      </c>
      <c r="F142" s="1" t="str">
        <f>VLOOKUP(Salesdta[[#This Row],[Customer_ID]],Customer_Data_[],8,TRUE)</f>
        <v>New Hampshire</v>
      </c>
      <c r="G142" s="1" t="s">
        <v>1604</v>
      </c>
      <c r="H142" s="1" t="str">
        <f>VLOOKUP(Salesdta[[#This Row],[Product_ID]],Product_Data_1[],2,TRUE)</f>
        <v>Stainless Steel Cutlery Set</v>
      </c>
      <c r="I142" s="1" t="str">
        <f>VLOOKUP(Salesdta[[#This Row],[Product_ID]],Product_Data_1[],3,TRUE)</f>
        <v>Home</v>
      </c>
      <c r="J142" s="1">
        <f>VLOOKUP(Salesdta[[#This Row],[Product_ID]],Product_Data_1[],7,TRUE)</f>
        <v>20</v>
      </c>
      <c r="K142" s="1" t="s">
        <v>1782</v>
      </c>
      <c r="L142" s="1" t="str">
        <f>VLOOKUP(Salesdta[[#This Row],[Store_ID]],Store_Data_1[],3,TRUE)</f>
        <v>South</v>
      </c>
      <c r="M142" s="1">
        <v>1</v>
      </c>
      <c r="N142" s="1">
        <v>998</v>
      </c>
      <c r="O142" s="12">
        <v>0.2</v>
      </c>
      <c r="P142" s="1" t="s">
        <v>1817</v>
      </c>
      <c r="Q142" s="1">
        <v>799</v>
      </c>
      <c r="R142" s="1">
        <f>Salesdta[[#This Row],[Final Revenue]]-Salesdta[[#This Row],[Product cost]]</f>
        <v>779</v>
      </c>
      <c r="S142" s="1" t="str">
        <f>IF(Salesdta[[#This Row],[Final Revenue]]&gt;1000,"Selected","Not Selected")</f>
        <v>Not Selected</v>
      </c>
    </row>
    <row r="143" spans="1:19" x14ac:dyDescent="0.35">
      <c r="A143" s="6" t="s">
        <v>1960</v>
      </c>
      <c r="B143" s="20">
        <v>45313</v>
      </c>
      <c r="C143" s="1" t="str">
        <f>TEXT(Salesdta[[#This Row],[Order_Date]],"mmmm")</f>
        <v>January</v>
      </c>
      <c r="D143" s="1" t="s">
        <v>1162</v>
      </c>
      <c r="E143" s="1" t="str">
        <f>VLOOKUP(Salesdta[[#This Row],[Customer_ID]],Customer_Data_[],6,TRUE)</f>
        <v>Female</v>
      </c>
      <c r="F143" s="1" t="str">
        <f>VLOOKUP(Salesdta[[#This Row],[Customer_ID]],Customer_Data_[],8,TRUE)</f>
        <v>Maine</v>
      </c>
      <c r="G143" s="1" t="s">
        <v>1688</v>
      </c>
      <c r="H143" s="1" t="str">
        <f>VLOOKUP(Salesdta[[#This Row],[Product_ID]],Product_Data_1[],2,TRUE)</f>
        <v>Professional Jump Rope</v>
      </c>
      <c r="I143" s="1" t="str">
        <f>VLOOKUP(Salesdta[[#This Row],[Product_ID]],Product_Data_1[],3,TRUE)</f>
        <v>Sports</v>
      </c>
      <c r="J143" s="1">
        <f>VLOOKUP(Salesdta[[#This Row],[Product_ID]],Product_Data_1[],7,TRUE)</f>
        <v>478</v>
      </c>
      <c r="K143" s="1" t="s">
        <v>1775</v>
      </c>
      <c r="L143" s="1" t="str">
        <f>VLOOKUP(Salesdta[[#This Row],[Store_ID]],Store_Data_1[],3,TRUE)</f>
        <v>South</v>
      </c>
      <c r="M143" s="1">
        <v>2</v>
      </c>
      <c r="N143" s="1">
        <v>343</v>
      </c>
      <c r="O143" s="12">
        <v>0.12</v>
      </c>
      <c r="P143" s="1" t="s">
        <v>1822</v>
      </c>
      <c r="Q143" s="1">
        <v>604</v>
      </c>
      <c r="R143" s="1">
        <f>Salesdta[[#This Row],[Final Revenue]]-Salesdta[[#This Row],[Product cost]]</f>
        <v>126</v>
      </c>
      <c r="S143" s="1" t="str">
        <f>IF(Salesdta[[#This Row],[Final Revenue]]&gt;1000,"Selected","Not Selected")</f>
        <v>Not Selected</v>
      </c>
    </row>
    <row r="144" spans="1:19" x14ac:dyDescent="0.35">
      <c r="A144" s="6" t="s">
        <v>1961</v>
      </c>
      <c r="B144" s="20">
        <v>45390</v>
      </c>
      <c r="C144" s="1" t="str">
        <f>TEXT(Salesdta[[#This Row],[Order_Date]],"mmmm")</f>
        <v>April</v>
      </c>
      <c r="D144" s="1" t="s">
        <v>815</v>
      </c>
      <c r="E144" s="1" t="str">
        <f>VLOOKUP(Salesdta[[#This Row],[Customer_ID]],Customer_Data_[],6,TRUE)</f>
        <v>Male</v>
      </c>
      <c r="F144" s="1" t="str">
        <f>VLOOKUP(Salesdta[[#This Row],[Customer_ID]],Customer_Data_[],8,TRUE)</f>
        <v>Arkansas</v>
      </c>
      <c r="G144" s="1" t="s">
        <v>1612</v>
      </c>
      <c r="H144" s="1" t="str">
        <f>VLOOKUP(Salesdta[[#This Row],[Product_ID]],Product_Data_1[],2,TRUE)</f>
        <v>Gaming Mechanical Keyboard</v>
      </c>
      <c r="I144" s="1" t="str">
        <f>VLOOKUP(Salesdta[[#This Row],[Product_ID]],Product_Data_1[],3,TRUE)</f>
        <v>Electronics</v>
      </c>
      <c r="J144" s="1">
        <f>VLOOKUP(Salesdta[[#This Row],[Product_ID]],Product_Data_1[],7,TRUE)</f>
        <v>419</v>
      </c>
      <c r="K144" s="1" t="s">
        <v>1772</v>
      </c>
      <c r="L144" s="1" t="str">
        <f>VLOOKUP(Salesdta[[#This Row],[Store_ID]],Store_Data_1[],3,TRUE)</f>
        <v>East</v>
      </c>
      <c r="M144" s="1">
        <v>1</v>
      </c>
      <c r="N144" s="1">
        <v>152</v>
      </c>
      <c r="O144" s="12">
        <v>0.28000000000000003</v>
      </c>
      <c r="P144" s="1" t="s">
        <v>1822</v>
      </c>
      <c r="Q144" s="1">
        <v>110</v>
      </c>
      <c r="R144" s="1">
        <f>Salesdta[[#This Row],[Final Revenue]]-Salesdta[[#This Row],[Product cost]]</f>
        <v>-309</v>
      </c>
      <c r="S144" s="1" t="str">
        <f>IF(Salesdta[[#This Row],[Final Revenue]]&gt;1000,"Selected","Not Selected")</f>
        <v>Not Selected</v>
      </c>
    </row>
    <row r="145" spans="1:19" x14ac:dyDescent="0.35">
      <c r="A145" s="6" t="s">
        <v>1962</v>
      </c>
      <c r="B145" s="20">
        <v>45795</v>
      </c>
      <c r="C145" s="1" t="str">
        <f>TEXT(Salesdta[[#This Row],[Order_Date]],"mmmm")</f>
        <v>May</v>
      </c>
      <c r="D145" s="1" t="s">
        <v>576</v>
      </c>
      <c r="E145" s="1" t="str">
        <f>VLOOKUP(Salesdta[[#This Row],[Customer_ID]],Customer_Data_[],6,TRUE)</f>
        <v>Male</v>
      </c>
      <c r="F145" s="1" t="str">
        <f>VLOOKUP(Salesdta[[#This Row],[Customer_ID]],Customer_Data_[],8,TRUE)</f>
        <v>Hawaii</v>
      </c>
      <c r="G145" s="1" t="s">
        <v>1642</v>
      </c>
      <c r="H145" s="1" t="str">
        <f>VLOOKUP(Salesdta[[#This Row],[Product_ID]],Product_Data_1[],2,TRUE)</f>
        <v>Men's Roll-On Perfume</v>
      </c>
      <c r="I145" s="1" t="str">
        <f>VLOOKUP(Salesdta[[#This Row],[Product_ID]],Product_Data_1[],3,TRUE)</f>
        <v>Beauty</v>
      </c>
      <c r="J145" s="1">
        <f>VLOOKUP(Salesdta[[#This Row],[Product_ID]],Product_Data_1[],7,TRUE)</f>
        <v>43</v>
      </c>
      <c r="K145" s="1" t="s">
        <v>1788</v>
      </c>
      <c r="L145" s="1" t="str">
        <f>VLOOKUP(Salesdta[[#This Row],[Store_ID]],Store_Data_1[],3,TRUE)</f>
        <v>North</v>
      </c>
      <c r="M145" s="1">
        <v>1</v>
      </c>
      <c r="N145" s="1">
        <v>325</v>
      </c>
      <c r="O145" s="12">
        <v>0.26</v>
      </c>
      <c r="P145" s="1" t="s">
        <v>1819</v>
      </c>
      <c r="Q145" s="1">
        <v>241</v>
      </c>
      <c r="R145" s="1">
        <f>Salesdta[[#This Row],[Final Revenue]]-Salesdta[[#This Row],[Product cost]]</f>
        <v>198</v>
      </c>
      <c r="S145" s="1" t="str">
        <f>IF(Salesdta[[#This Row],[Final Revenue]]&gt;1000,"Selected","Not Selected")</f>
        <v>Not Selected</v>
      </c>
    </row>
    <row r="146" spans="1:19" x14ac:dyDescent="0.35">
      <c r="A146" s="6" t="s">
        <v>1963</v>
      </c>
      <c r="B146" s="20">
        <v>45314</v>
      </c>
      <c r="C146" s="1" t="str">
        <f>TEXT(Salesdta[[#This Row],[Order_Date]],"mmmm")</f>
        <v>January</v>
      </c>
      <c r="D146" s="1" t="s">
        <v>1488</v>
      </c>
      <c r="E146" s="1" t="str">
        <f>VLOOKUP(Salesdta[[#This Row],[Customer_ID]],Customer_Data_[],6,TRUE)</f>
        <v>Female</v>
      </c>
      <c r="F146" s="1" t="str">
        <f>VLOOKUP(Salesdta[[#This Row],[Customer_ID]],Customer_Data_[],8,TRUE)</f>
        <v>Virginia</v>
      </c>
      <c r="G146" s="1" t="s">
        <v>1596</v>
      </c>
      <c r="H146" s="1" t="str">
        <f>VLOOKUP(Salesdta[[#This Row],[Product_ID]],Product_Data_1[],2,TRUE)</f>
        <v>Wireless Bluetooth Speaker</v>
      </c>
      <c r="I146" s="1" t="str">
        <f>VLOOKUP(Salesdta[[#This Row],[Product_ID]],Product_Data_1[],3,TRUE)</f>
        <v>Electronics</v>
      </c>
      <c r="J146" s="1">
        <f>VLOOKUP(Salesdta[[#This Row],[Product_ID]],Product_Data_1[],7,TRUE)</f>
        <v>322</v>
      </c>
      <c r="K146" s="1" t="s">
        <v>1757</v>
      </c>
      <c r="L146" s="1" t="str">
        <f>VLOOKUP(Salesdta[[#This Row],[Store_ID]],Store_Data_1[],3,TRUE)</f>
        <v>South</v>
      </c>
      <c r="M146" s="1">
        <v>2</v>
      </c>
      <c r="N146" s="1">
        <v>593</v>
      </c>
      <c r="O146" s="12">
        <v>0.1</v>
      </c>
      <c r="P146" s="1" t="s">
        <v>1822</v>
      </c>
      <c r="Q146" s="1">
        <v>1068</v>
      </c>
      <c r="R146" s="1">
        <f>Salesdta[[#This Row],[Final Revenue]]-Salesdta[[#This Row],[Product cost]]</f>
        <v>746</v>
      </c>
      <c r="S146" s="1" t="str">
        <f>IF(Salesdta[[#This Row],[Final Revenue]]&gt;1000,"Selected","Not Selected")</f>
        <v>Selected</v>
      </c>
    </row>
    <row r="147" spans="1:19" x14ac:dyDescent="0.35">
      <c r="A147" s="6" t="s">
        <v>1964</v>
      </c>
      <c r="B147" s="20">
        <v>45267</v>
      </c>
      <c r="C147" s="1" t="str">
        <f>TEXT(Salesdta[[#This Row],[Order_Date]],"mmmm")</f>
        <v>December</v>
      </c>
      <c r="D147" s="1" t="s">
        <v>926</v>
      </c>
      <c r="E147" s="1" t="str">
        <f>VLOOKUP(Salesdta[[#This Row],[Customer_ID]],Customer_Data_[],6,TRUE)</f>
        <v>Female</v>
      </c>
      <c r="F147" s="1" t="str">
        <f>VLOOKUP(Salesdta[[#This Row],[Customer_ID]],Customer_Data_[],8,TRUE)</f>
        <v>Louisiana</v>
      </c>
      <c r="G147" s="1" t="s">
        <v>1584</v>
      </c>
      <c r="H147" s="1" t="str">
        <f>VLOOKUP(Salesdta[[#This Row],[Product_ID]],Product_Data_1[],2,TRUE)</f>
        <v>Outdoor Sports Water Bottle</v>
      </c>
      <c r="I147" s="1" t="str">
        <f>VLOOKUP(Salesdta[[#This Row],[Product_ID]],Product_Data_1[],3,TRUE)</f>
        <v>Sports</v>
      </c>
      <c r="J147" s="1">
        <f>VLOOKUP(Salesdta[[#This Row],[Product_ID]],Product_Data_1[],7,TRUE)</f>
        <v>132</v>
      </c>
      <c r="K147" s="1" t="s">
        <v>1775</v>
      </c>
      <c r="L147" s="1" t="str">
        <f>VLOOKUP(Salesdta[[#This Row],[Store_ID]],Store_Data_1[],3,TRUE)</f>
        <v>South</v>
      </c>
      <c r="M147" s="1">
        <v>4</v>
      </c>
      <c r="N147" s="1">
        <v>756</v>
      </c>
      <c r="O147" s="12">
        <v>0.05</v>
      </c>
      <c r="P147" s="1" t="s">
        <v>1822</v>
      </c>
      <c r="Q147" s="1">
        <v>2874</v>
      </c>
      <c r="R147" s="1">
        <f>Salesdta[[#This Row],[Final Revenue]]-Salesdta[[#This Row],[Product cost]]</f>
        <v>2742</v>
      </c>
      <c r="S147" s="1" t="str">
        <f>IF(Salesdta[[#This Row],[Final Revenue]]&gt;1000,"Selected","Not Selected")</f>
        <v>Selected</v>
      </c>
    </row>
    <row r="148" spans="1:19" x14ac:dyDescent="0.35">
      <c r="A148" s="6" t="s">
        <v>1965</v>
      </c>
      <c r="B148" s="20">
        <v>45641</v>
      </c>
      <c r="C148" s="1" t="str">
        <f>TEXT(Salesdta[[#This Row],[Order_Date]],"mmmm")</f>
        <v>December</v>
      </c>
      <c r="D148" s="1" t="s">
        <v>1174</v>
      </c>
      <c r="E148" s="1" t="str">
        <f>VLOOKUP(Salesdta[[#This Row],[Customer_ID]],Customer_Data_[],6,TRUE)</f>
        <v>Female</v>
      </c>
      <c r="F148" s="1" t="str">
        <f>VLOOKUP(Salesdta[[#This Row],[Customer_ID]],Customer_Data_[],8,TRUE)</f>
        <v>Maine</v>
      </c>
      <c r="G148" s="1" t="s">
        <v>1728</v>
      </c>
      <c r="H148" s="1" t="str">
        <f>VLOOKUP(Salesdta[[#This Row],[Product_ID]],Product_Data_1[],2,TRUE)</f>
        <v>Microwave Oven</v>
      </c>
      <c r="I148" s="1" t="str">
        <f>VLOOKUP(Salesdta[[#This Row],[Product_ID]],Product_Data_1[],3,TRUE)</f>
        <v>Home</v>
      </c>
      <c r="J148" s="1">
        <f>VLOOKUP(Salesdta[[#This Row],[Product_ID]],Product_Data_1[],7,TRUE)</f>
        <v>447</v>
      </c>
      <c r="K148" s="1" t="s">
        <v>1753</v>
      </c>
      <c r="L148" s="1" t="str">
        <f>VLOOKUP(Salesdta[[#This Row],[Store_ID]],Store_Data_1[],3,TRUE)</f>
        <v>North</v>
      </c>
      <c r="M148" s="1">
        <v>2</v>
      </c>
      <c r="N148" s="1">
        <v>708</v>
      </c>
      <c r="O148" s="12">
        <v>0.14000000000000001</v>
      </c>
      <c r="P148" s="1" t="s">
        <v>1817</v>
      </c>
      <c r="Q148" s="1">
        <v>1217</v>
      </c>
      <c r="R148" s="1">
        <f>Salesdta[[#This Row],[Final Revenue]]-Salesdta[[#This Row],[Product cost]]</f>
        <v>770</v>
      </c>
      <c r="S148" s="1" t="str">
        <f>IF(Salesdta[[#This Row],[Final Revenue]]&gt;1000,"Selected","Not Selected")</f>
        <v>Selected</v>
      </c>
    </row>
    <row r="149" spans="1:19" x14ac:dyDescent="0.35">
      <c r="A149" s="6" t="s">
        <v>1966</v>
      </c>
      <c r="B149" s="20">
        <v>45371</v>
      </c>
      <c r="C149" s="1" t="str">
        <f>TEXT(Salesdta[[#This Row],[Order_Date]],"mmmm")</f>
        <v>March</v>
      </c>
      <c r="D149" s="1" t="s">
        <v>438</v>
      </c>
      <c r="E149" s="1" t="str">
        <f>VLOOKUP(Salesdta[[#This Row],[Customer_ID]],Customer_Data_[],6,TRUE)</f>
        <v>Male</v>
      </c>
      <c r="F149" s="1" t="str">
        <f>VLOOKUP(Salesdta[[#This Row],[Customer_ID]],Customer_Data_[],8,TRUE)</f>
        <v>Arkansas</v>
      </c>
      <c r="G149" s="1" t="s">
        <v>1594</v>
      </c>
      <c r="H149" s="1" t="str">
        <f>VLOOKUP(Salesdta[[#This Row],[Product_ID]],Product_Data_1[],2,TRUE)</f>
        <v>Women's Scarf Set</v>
      </c>
      <c r="I149" s="1" t="str">
        <f>VLOOKUP(Salesdta[[#This Row],[Product_ID]],Product_Data_1[],3,TRUE)</f>
        <v>Clothing</v>
      </c>
      <c r="J149" s="1">
        <f>VLOOKUP(Salesdta[[#This Row],[Product_ID]],Product_Data_1[],7,TRUE)</f>
        <v>174</v>
      </c>
      <c r="K149" s="1" t="s">
        <v>1797</v>
      </c>
      <c r="L149" s="1" t="str">
        <f>VLOOKUP(Salesdta[[#This Row],[Store_ID]],Store_Data_1[],3,TRUE)</f>
        <v>North</v>
      </c>
      <c r="M149" s="1">
        <v>1</v>
      </c>
      <c r="N149" s="1">
        <v>857</v>
      </c>
      <c r="O149" s="12">
        <v>0.28000000000000003</v>
      </c>
      <c r="P149" s="1" t="s">
        <v>1819</v>
      </c>
      <c r="Q149" s="1">
        <v>617</v>
      </c>
      <c r="R149" s="1">
        <f>Salesdta[[#This Row],[Final Revenue]]-Salesdta[[#This Row],[Product cost]]</f>
        <v>443</v>
      </c>
      <c r="S149" s="1" t="str">
        <f>IF(Salesdta[[#This Row],[Final Revenue]]&gt;1000,"Selected","Not Selected")</f>
        <v>Not Selected</v>
      </c>
    </row>
    <row r="150" spans="1:19" x14ac:dyDescent="0.35">
      <c r="A150" s="6" t="s">
        <v>1967</v>
      </c>
      <c r="B150" s="20">
        <v>45670</v>
      </c>
      <c r="C150" s="1" t="str">
        <f>TEXT(Salesdta[[#This Row],[Order_Date]],"mmmm")</f>
        <v>January</v>
      </c>
      <c r="D150" s="1" t="s">
        <v>1529</v>
      </c>
      <c r="E150" s="1" t="str">
        <f>VLOOKUP(Salesdta[[#This Row],[Customer_ID]],Customer_Data_[],6,TRUE)</f>
        <v>Female</v>
      </c>
      <c r="F150" s="1" t="str">
        <f>VLOOKUP(Salesdta[[#This Row],[Customer_ID]],Customer_Data_[],8,TRUE)</f>
        <v>Oregon</v>
      </c>
      <c r="G150" s="1" t="s">
        <v>1654</v>
      </c>
      <c r="H150" s="1" t="str">
        <f>VLOOKUP(Salesdta[[#This Row],[Product_ID]],Product_Data_1[],2,TRUE)</f>
        <v>Ceramic Plant Pot</v>
      </c>
      <c r="I150" s="1" t="str">
        <f>VLOOKUP(Salesdta[[#This Row],[Product_ID]],Product_Data_1[],3,TRUE)</f>
        <v>Home</v>
      </c>
      <c r="J150" s="1">
        <f>VLOOKUP(Salesdta[[#This Row],[Product_ID]],Product_Data_1[],7,TRUE)</f>
        <v>82</v>
      </c>
      <c r="K150" s="1" t="s">
        <v>1778</v>
      </c>
      <c r="L150" s="1" t="str">
        <f>VLOOKUP(Salesdta[[#This Row],[Store_ID]],Store_Data_1[],3,TRUE)</f>
        <v>West</v>
      </c>
      <c r="M150" s="1">
        <v>1</v>
      </c>
      <c r="N150" s="1">
        <v>79</v>
      </c>
      <c r="O150" s="12">
        <v>0.04</v>
      </c>
      <c r="P150" s="1" t="s">
        <v>1819</v>
      </c>
      <c r="Q150" s="1">
        <v>76</v>
      </c>
      <c r="R150" s="1">
        <f>Salesdta[[#This Row],[Final Revenue]]-Salesdta[[#This Row],[Product cost]]</f>
        <v>-6</v>
      </c>
      <c r="S150" s="1" t="str">
        <f>IF(Salesdta[[#This Row],[Final Revenue]]&gt;1000,"Selected","Not Selected")</f>
        <v>Not Selected</v>
      </c>
    </row>
    <row r="151" spans="1:19" x14ac:dyDescent="0.35">
      <c r="A151" s="6" t="s">
        <v>1968</v>
      </c>
      <c r="B151" s="20">
        <v>45885</v>
      </c>
      <c r="C151" s="1" t="str">
        <f>TEXT(Salesdta[[#This Row],[Order_Date]],"mmmm")</f>
        <v>August</v>
      </c>
      <c r="D151" s="1" t="s">
        <v>241</v>
      </c>
      <c r="E151" s="1" t="str">
        <f>VLOOKUP(Salesdta[[#This Row],[Customer_ID]],Customer_Data_[],6,TRUE)</f>
        <v>Female</v>
      </c>
      <c r="F151" s="1" t="str">
        <f>VLOOKUP(Salesdta[[#This Row],[Customer_ID]],Customer_Data_[],8,TRUE)</f>
        <v>New Hampshire</v>
      </c>
      <c r="G151" s="1" t="s">
        <v>1732</v>
      </c>
      <c r="H151" s="1" t="str">
        <f>VLOOKUP(Salesdta[[#This Row],[Product_ID]],Product_Data_1[],2,TRUE)</f>
        <v>Vitamin E Body Lotion</v>
      </c>
      <c r="I151" s="1" t="str">
        <f>VLOOKUP(Salesdta[[#This Row],[Product_ID]],Product_Data_1[],3,TRUE)</f>
        <v>Beauty</v>
      </c>
      <c r="J151" s="1">
        <f>VLOOKUP(Salesdta[[#This Row],[Product_ID]],Product_Data_1[],7,TRUE)</f>
        <v>358</v>
      </c>
      <c r="K151" s="1" t="s">
        <v>1769</v>
      </c>
      <c r="L151" s="1" t="str">
        <f>VLOOKUP(Salesdta[[#This Row],[Store_ID]],Store_Data_1[],3,TRUE)</f>
        <v>North</v>
      </c>
      <c r="M151" s="1">
        <v>4</v>
      </c>
      <c r="N151" s="1">
        <v>639</v>
      </c>
      <c r="O151" s="12">
        <v>0</v>
      </c>
      <c r="P151" s="1" t="s">
        <v>1822</v>
      </c>
      <c r="Q151" s="1">
        <v>2556</v>
      </c>
      <c r="R151" s="1">
        <f>Salesdta[[#This Row],[Final Revenue]]-Salesdta[[#This Row],[Product cost]]</f>
        <v>2198</v>
      </c>
      <c r="S151" s="1" t="str">
        <f>IF(Salesdta[[#This Row],[Final Revenue]]&gt;1000,"Selected","Not Selected")</f>
        <v>Selected</v>
      </c>
    </row>
    <row r="152" spans="1:19" x14ac:dyDescent="0.35">
      <c r="A152" s="6" t="s">
        <v>1969</v>
      </c>
      <c r="B152" s="20">
        <v>45812</v>
      </c>
      <c r="C152" s="1" t="str">
        <f>TEXT(Salesdta[[#This Row],[Order_Date]],"mmmm")</f>
        <v>June</v>
      </c>
      <c r="D152" s="1" t="s">
        <v>292</v>
      </c>
      <c r="E152" s="1" t="str">
        <f>VLOOKUP(Salesdta[[#This Row],[Customer_ID]],Customer_Data_[],6,TRUE)</f>
        <v>Female</v>
      </c>
      <c r="F152" s="1" t="str">
        <f>VLOOKUP(Salesdta[[#This Row],[Customer_ID]],Customer_Data_[],8,TRUE)</f>
        <v>Arizona</v>
      </c>
      <c r="G152" s="1" t="s">
        <v>1634</v>
      </c>
      <c r="H152" s="1" t="str">
        <f>VLOOKUP(Salesdta[[#This Row],[Product_ID]],Product_Data_1[],2,TRUE)</f>
        <v>High-Grip Football</v>
      </c>
      <c r="I152" s="1" t="str">
        <f>VLOOKUP(Salesdta[[#This Row],[Product_ID]],Product_Data_1[],3,TRUE)</f>
        <v>Sports</v>
      </c>
      <c r="J152" s="1">
        <f>VLOOKUP(Salesdta[[#This Row],[Product_ID]],Product_Data_1[],7,TRUE)</f>
        <v>319</v>
      </c>
      <c r="K152" s="1" t="s">
        <v>1748</v>
      </c>
      <c r="L152" s="1" t="str">
        <f>VLOOKUP(Salesdta[[#This Row],[Store_ID]],Store_Data_1[],3,TRUE)</f>
        <v>East</v>
      </c>
      <c r="M152" s="1">
        <v>2</v>
      </c>
      <c r="N152" s="1">
        <v>522</v>
      </c>
      <c r="O152" s="12">
        <v>0.27</v>
      </c>
      <c r="P152" s="1" t="s">
        <v>1817</v>
      </c>
      <c r="Q152" s="1">
        <v>762</v>
      </c>
      <c r="R152" s="1">
        <f>Salesdta[[#This Row],[Final Revenue]]-Salesdta[[#This Row],[Product cost]]</f>
        <v>443</v>
      </c>
      <c r="S152" s="1" t="str">
        <f>IF(Salesdta[[#This Row],[Final Revenue]]&gt;1000,"Selected","Not Selected")</f>
        <v>Not Selected</v>
      </c>
    </row>
    <row r="153" spans="1:19" x14ac:dyDescent="0.35">
      <c r="A153" s="6" t="s">
        <v>1970</v>
      </c>
      <c r="B153" s="20">
        <v>45235</v>
      </c>
      <c r="C153" s="1" t="str">
        <f>TEXT(Salesdta[[#This Row],[Order_Date]],"mmmm")</f>
        <v>November</v>
      </c>
      <c r="D153" s="1" t="s">
        <v>1468</v>
      </c>
      <c r="E153" s="1" t="str">
        <f>VLOOKUP(Salesdta[[#This Row],[Customer_ID]],Customer_Data_[],6,TRUE)</f>
        <v>Male</v>
      </c>
      <c r="F153" s="1" t="str">
        <f>VLOOKUP(Salesdta[[#This Row],[Customer_ID]],Customer_Data_[],8,TRUE)</f>
        <v>South Dakota</v>
      </c>
      <c r="G153" s="1" t="s">
        <v>1622</v>
      </c>
      <c r="H153" s="1" t="str">
        <f>VLOOKUP(Salesdta[[#This Row],[Product_ID]],Product_Data_1[],2,TRUE)</f>
        <v>Portable Power Bank</v>
      </c>
      <c r="I153" s="1" t="str">
        <f>VLOOKUP(Salesdta[[#This Row],[Product_ID]],Product_Data_1[],3,TRUE)</f>
        <v>Electronics</v>
      </c>
      <c r="J153" s="1">
        <f>VLOOKUP(Salesdta[[#This Row],[Product_ID]],Product_Data_1[],7,TRUE)</f>
        <v>326</v>
      </c>
      <c r="K153" s="1" t="s">
        <v>1790</v>
      </c>
      <c r="L153" s="1" t="str">
        <f>VLOOKUP(Salesdta[[#This Row],[Store_ID]],Store_Data_1[],3,TRUE)</f>
        <v>North</v>
      </c>
      <c r="M153" s="1">
        <v>3</v>
      </c>
      <c r="N153" s="1">
        <v>954</v>
      </c>
      <c r="O153" s="12">
        <v>0.27</v>
      </c>
      <c r="P153" s="1" t="s">
        <v>1817</v>
      </c>
      <c r="Q153" s="1">
        <v>2090</v>
      </c>
      <c r="R153" s="1">
        <f>Salesdta[[#This Row],[Final Revenue]]-Salesdta[[#This Row],[Product cost]]</f>
        <v>1764</v>
      </c>
      <c r="S153" s="1" t="str">
        <f>IF(Salesdta[[#This Row],[Final Revenue]]&gt;1000,"Selected","Not Selected")</f>
        <v>Selected</v>
      </c>
    </row>
    <row r="154" spans="1:19" x14ac:dyDescent="0.35">
      <c r="A154" s="6" t="s">
        <v>1971</v>
      </c>
      <c r="B154" s="20">
        <v>45710</v>
      </c>
      <c r="C154" s="1" t="str">
        <f>TEXT(Salesdta[[#This Row],[Order_Date]],"mmmm")</f>
        <v>February</v>
      </c>
      <c r="D154" s="1" t="s">
        <v>1421</v>
      </c>
      <c r="E154" s="1" t="str">
        <f>VLOOKUP(Salesdta[[#This Row],[Customer_ID]],Customer_Data_[],6,TRUE)</f>
        <v>Female</v>
      </c>
      <c r="F154" s="1" t="str">
        <f>VLOOKUP(Salesdta[[#This Row],[Customer_ID]],Customer_Data_[],8,TRUE)</f>
        <v>West Virginia</v>
      </c>
      <c r="G154" s="1" t="s">
        <v>1610</v>
      </c>
      <c r="H154" s="1" t="str">
        <f>VLOOKUP(Salesdta[[#This Row],[Product_ID]],Product_Data_1[],2,TRUE)</f>
        <v>Modern Wall Clock</v>
      </c>
      <c r="I154" s="1" t="str">
        <f>VLOOKUP(Salesdta[[#This Row],[Product_ID]],Product_Data_1[],3,TRUE)</f>
        <v>Home</v>
      </c>
      <c r="J154" s="1">
        <f>VLOOKUP(Salesdta[[#This Row],[Product_ID]],Product_Data_1[],7,TRUE)</f>
        <v>180</v>
      </c>
      <c r="K154" s="1" t="s">
        <v>1793</v>
      </c>
      <c r="L154" s="1" t="str">
        <f>VLOOKUP(Salesdta[[#This Row],[Store_ID]],Store_Data_1[],3,TRUE)</f>
        <v>North</v>
      </c>
      <c r="M154" s="1">
        <v>3</v>
      </c>
      <c r="N154" s="1">
        <v>54</v>
      </c>
      <c r="O154" s="12">
        <v>0.15</v>
      </c>
      <c r="P154" s="1" t="s">
        <v>1819</v>
      </c>
      <c r="Q154" s="1">
        <v>137</v>
      </c>
      <c r="R154" s="1">
        <f>Salesdta[[#This Row],[Final Revenue]]-Salesdta[[#This Row],[Product cost]]</f>
        <v>-43</v>
      </c>
      <c r="S154" s="1" t="str">
        <f>IF(Salesdta[[#This Row],[Final Revenue]]&gt;1000,"Selected","Not Selected")</f>
        <v>Not Selected</v>
      </c>
    </row>
    <row r="155" spans="1:19" x14ac:dyDescent="0.35">
      <c r="A155" s="6" t="s">
        <v>1972</v>
      </c>
      <c r="B155" s="20">
        <v>45594</v>
      </c>
      <c r="C155" s="1" t="str">
        <f>TEXT(Salesdta[[#This Row],[Order_Date]],"mmmm")</f>
        <v>October</v>
      </c>
      <c r="D155" s="1" t="s">
        <v>132</v>
      </c>
      <c r="E155" s="1" t="str">
        <f>VLOOKUP(Salesdta[[#This Row],[Customer_ID]],Customer_Data_[],6,TRUE)</f>
        <v>Male</v>
      </c>
      <c r="F155" s="1" t="str">
        <f>VLOOKUP(Salesdta[[#This Row],[Customer_ID]],Customer_Data_[],8,TRUE)</f>
        <v>Oklahoma</v>
      </c>
      <c r="G155" s="1" t="s">
        <v>1636</v>
      </c>
      <c r="H155" s="1" t="str">
        <f>VLOOKUP(Salesdta[[#This Row],[Product_ID]],Product_Data_1[],2,TRUE)</f>
        <v>Men's Winter Jacket</v>
      </c>
      <c r="I155" s="1" t="str">
        <f>VLOOKUP(Salesdta[[#This Row],[Product_ID]],Product_Data_1[],3,TRUE)</f>
        <v>Clothing</v>
      </c>
      <c r="J155" s="1">
        <f>VLOOKUP(Salesdta[[#This Row],[Product_ID]],Product_Data_1[],7,TRUE)</f>
        <v>167</v>
      </c>
      <c r="K155" s="1" t="s">
        <v>1762</v>
      </c>
      <c r="L155" s="1" t="str">
        <f>VLOOKUP(Salesdta[[#This Row],[Store_ID]],Store_Data_1[],3,TRUE)</f>
        <v>North</v>
      </c>
      <c r="M155" s="1">
        <v>1</v>
      </c>
      <c r="N155" s="1">
        <v>547</v>
      </c>
      <c r="O155" s="12">
        <v>0.01</v>
      </c>
      <c r="P155" s="1" t="s">
        <v>1819</v>
      </c>
      <c r="Q155" s="1">
        <v>542</v>
      </c>
      <c r="R155" s="1">
        <f>Salesdta[[#This Row],[Final Revenue]]-Salesdta[[#This Row],[Product cost]]</f>
        <v>375</v>
      </c>
      <c r="S155" s="1" t="str">
        <f>IF(Salesdta[[#This Row],[Final Revenue]]&gt;1000,"Selected","Not Selected")</f>
        <v>Not Selected</v>
      </c>
    </row>
    <row r="156" spans="1:19" x14ac:dyDescent="0.35">
      <c r="A156" s="6" t="s">
        <v>1973</v>
      </c>
      <c r="B156" s="20">
        <v>45686</v>
      </c>
      <c r="C156" s="1" t="str">
        <f>TEXT(Salesdta[[#This Row],[Order_Date]],"mmmm")</f>
        <v>January</v>
      </c>
      <c r="D156" s="1" t="s">
        <v>1500</v>
      </c>
      <c r="E156" s="1" t="str">
        <f>VLOOKUP(Salesdta[[#This Row],[Customer_ID]],Customer_Data_[],6,TRUE)</f>
        <v>Female</v>
      </c>
      <c r="F156" s="1" t="str">
        <f>VLOOKUP(Salesdta[[#This Row],[Customer_ID]],Customer_Data_[],8,TRUE)</f>
        <v>Indiana</v>
      </c>
      <c r="G156" s="1" t="s">
        <v>1722</v>
      </c>
      <c r="H156" s="1" t="str">
        <f>VLOOKUP(Salesdta[[#This Row],[Product_ID]],Product_Data_1[],2,TRUE)</f>
        <v>Face Foundation Kit</v>
      </c>
      <c r="I156" s="1" t="str">
        <f>VLOOKUP(Salesdta[[#This Row],[Product_ID]],Product_Data_1[],3,TRUE)</f>
        <v>Beauty</v>
      </c>
      <c r="J156" s="1">
        <f>VLOOKUP(Salesdta[[#This Row],[Product_ID]],Product_Data_1[],7,TRUE)</f>
        <v>183</v>
      </c>
      <c r="K156" s="1" t="s">
        <v>1762</v>
      </c>
      <c r="L156" s="1" t="str">
        <f>VLOOKUP(Salesdta[[#This Row],[Store_ID]],Store_Data_1[],3,TRUE)</f>
        <v>North</v>
      </c>
      <c r="M156" s="1">
        <v>1</v>
      </c>
      <c r="N156" s="1">
        <v>789</v>
      </c>
      <c r="O156" s="12">
        <v>0.14000000000000001</v>
      </c>
      <c r="P156" s="1" t="s">
        <v>1819</v>
      </c>
      <c r="Q156" s="1">
        <v>679</v>
      </c>
      <c r="R156" s="1">
        <f>Salesdta[[#This Row],[Final Revenue]]-Salesdta[[#This Row],[Product cost]]</f>
        <v>496</v>
      </c>
      <c r="S156" s="1" t="str">
        <f>IF(Salesdta[[#This Row],[Final Revenue]]&gt;1000,"Selected","Not Selected")</f>
        <v>Not Selected</v>
      </c>
    </row>
    <row r="157" spans="1:19" x14ac:dyDescent="0.35">
      <c r="A157" s="6" t="s">
        <v>1974</v>
      </c>
      <c r="B157" s="20">
        <v>45354</v>
      </c>
      <c r="C157" s="1" t="str">
        <f>TEXT(Salesdta[[#This Row],[Order_Date]],"mmmm")</f>
        <v>March</v>
      </c>
      <c r="D157" s="1" t="s">
        <v>1324</v>
      </c>
      <c r="E157" s="1" t="str">
        <f>VLOOKUP(Salesdta[[#This Row],[Customer_ID]],Customer_Data_[],6,TRUE)</f>
        <v>Female</v>
      </c>
      <c r="F157" s="1" t="str">
        <f>VLOOKUP(Salesdta[[#This Row],[Customer_ID]],Customer_Data_[],8,TRUE)</f>
        <v>Louisiana</v>
      </c>
      <c r="G157" s="1" t="s">
        <v>1670</v>
      </c>
      <c r="H157" s="1" t="str">
        <f>VLOOKUP(Salesdta[[#This Row],[Product_ID]],Product_Data_1[],2,TRUE)</f>
        <v>Organic Sunscreen Lotion</v>
      </c>
      <c r="I157" s="1" t="str">
        <f>VLOOKUP(Salesdta[[#This Row],[Product_ID]],Product_Data_1[],3,TRUE)</f>
        <v>Beauty</v>
      </c>
      <c r="J157" s="1">
        <f>VLOOKUP(Salesdta[[#This Row],[Product_ID]],Product_Data_1[],7,TRUE)</f>
        <v>267</v>
      </c>
      <c r="K157" s="1" t="s">
        <v>1762</v>
      </c>
      <c r="L157" s="1" t="str">
        <f>VLOOKUP(Salesdta[[#This Row],[Store_ID]],Store_Data_1[],3,TRUE)</f>
        <v>North</v>
      </c>
      <c r="M157" s="1">
        <v>3</v>
      </c>
      <c r="N157" s="1">
        <v>477</v>
      </c>
      <c r="O157" s="12">
        <v>0.09</v>
      </c>
      <c r="P157" s="1" t="s">
        <v>1822</v>
      </c>
      <c r="Q157" s="1">
        <v>1302</v>
      </c>
      <c r="R157" s="1">
        <f>Salesdta[[#This Row],[Final Revenue]]-Salesdta[[#This Row],[Product cost]]</f>
        <v>1035</v>
      </c>
      <c r="S157" s="1" t="str">
        <f>IF(Salesdta[[#This Row],[Final Revenue]]&gt;1000,"Selected","Not Selected")</f>
        <v>Selected</v>
      </c>
    </row>
    <row r="158" spans="1:19" x14ac:dyDescent="0.35">
      <c r="A158" s="6" t="s">
        <v>1975</v>
      </c>
      <c r="B158" s="20">
        <v>45538</v>
      </c>
      <c r="C158" s="1" t="str">
        <f>TEXT(Salesdta[[#This Row],[Order_Date]],"mmmm")</f>
        <v>September</v>
      </c>
      <c r="D158" s="1" t="s">
        <v>863</v>
      </c>
      <c r="E158" s="1" t="str">
        <f>VLOOKUP(Salesdta[[#This Row],[Customer_ID]],Customer_Data_[],6,TRUE)</f>
        <v>Female</v>
      </c>
      <c r="F158" s="1" t="str">
        <f>VLOOKUP(Salesdta[[#This Row],[Customer_ID]],Customer_Data_[],8,TRUE)</f>
        <v>California</v>
      </c>
      <c r="G158" s="1" t="s">
        <v>1706</v>
      </c>
      <c r="H158" s="1" t="str">
        <f>VLOOKUP(Salesdta[[#This Row],[Product_ID]],Product_Data_1[],2,TRUE)</f>
        <v>Badminton Racket Set</v>
      </c>
      <c r="I158" s="1" t="str">
        <f>VLOOKUP(Salesdta[[#This Row],[Product_ID]],Product_Data_1[],3,TRUE)</f>
        <v>Sports</v>
      </c>
      <c r="J158" s="1">
        <f>VLOOKUP(Salesdta[[#This Row],[Product_ID]],Product_Data_1[],7,TRUE)</f>
        <v>286</v>
      </c>
      <c r="K158" s="1" t="s">
        <v>1772</v>
      </c>
      <c r="L158" s="1" t="str">
        <f>VLOOKUP(Salesdta[[#This Row],[Store_ID]],Store_Data_1[],3,TRUE)</f>
        <v>East</v>
      </c>
      <c r="M158" s="1">
        <v>2</v>
      </c>
      <c r="N158" s="1">
        <v>549</v>
      </c>
      <c r="O158" s="12">
        <v>0.01</v>
      </c>
      <c r="P158" s="1" t="s">
        <v>1822</v>
      </c>
      <c r="Q158" s="1">
        <v>1088</v>
      </c>
      <c r="R158" s="1">
        <f>Salesdta[[#This Row],[Final Revenue]]-Salesdta[[#This Row],[Product cost]]</f>
        <v>802</v>
      </c>
      <c r="S158" s="1" t="str">
        <f>IF(Salesdta[[#This Row],[Final Revenue]]&gt;1000,"Selected","Not Selected")</f>
        <v>Selected</v>
      </c>
    </row>
    <row r="159" spans="1:19" x14ac:dyDescent="0.35">
      <c r="A159" s="6" t="s">
        <v>1976</v>
      </c>
      <c r="B159" s="20">
        <v>45411</v>
      </c>
      <c r="C159" s="1" t="str">
        <f>TEXT(Salesdta[[#This Row],[Order_Date]],"mmmm")</f>
        <v>April</v>
      </c>
      <c r="D159" s="1" t="s">
        <v>1189</v>
      </c>
      <c r="E159" s="1" t="str">
        <f>VLOOKUP(Salesdta[[#This Row],[Customer_ID]],Customer_Data_[],6,TRUE)</f>
        <v>Female</v>
      </c>
      <c r="F159" s="1" t="str">
        <f>VLOOKUP(Salesdta[[#This Row],[Customer_ID]],Customer_Data_[],8,TRUE)</f>
        <v>California</v>
      </c>
      <c r="G159" s="1" t="s">
        <v>1549</v>
      </c>
      <c r="H159" s="1" t="str">
        <f>VLOOKUP(Salesdta[[#This Row],[Product_ID]],Product_Data_1[],2,TRUE)</f>
        <v>Portable Power Bank</v>
      </c>
      <c r="I159" s="1" t="str">
        <f>VLOOKUP(Salesdta[[#This Row],[Product_ID]],Product_Data_1[],3,TRUE)</f>
        <v>Electronics</v>
      </c>
      <c r="J159" s="1">
        <f>VLOOKUP(Salesdta[[#This Row],[Product_ID]],Product_Data_1[],7,TRUE)</f>
        <v>326</v>
      </c>
      <c r="K159" s="1" t="s">
        <v>1762</v>
      </c>
      <c r="L159" s="1" t="str">
        <f>VLOOKUP(Salesdta[[#This Row],[Store_ID]],Store_Data_1[],3,TRUE)</f>
        <v>North</v>
      </c>
      <c r="M159" s="1">
        <v>3</v>
      </c>
      <c r="N159" s="1">
        <v>620</v>
      </c>
      <c r="O159" s="12">
        <v>0.04</v>
      </c>
      <c r="P159" s="1" t="s">
        <v>1817</v>
      </c>
      <c r="Q159" s="1">
        <v>1786</v>
      </c>
      <c r="R159" s="1">
        <f>Salesdta[[#This Row],[Final Revenue]]-Salesdta[[#This Row],[Product cost]]</f>
        <v>1460</v>
      </c>
      <c r="S159" s="1" t="str">
        <f>IF(Salesdta[[#This Row],[Final Revenue]]&gt;1000,"Selected","Not Selected")</f>
        <v>Selected</v>
      </c>
    </row>
    <row r="160" spans="1:19" x14ac:dyDescent="0.35">
      <c r="A160" s="6" t="s">
        <v>1977</v>
      </c>
      <c r="B160" s="20">
        <v>45411</v>
      </c>
      <c r="C160" s="1" t="str">
        <f>TEXT(Salesdta[[#This Row],[Order_Date]],"mmmm")</f>
        <v>April</v>
      </c>
      <c r="D160" s="1" t="s">
        <v>326</v>
      </c>
      <c r="E160" s="1" t="str">
        <f>VLOOKUP(Salesdta[[#This Row],[Customer_ID]],Customer_Data_[],6,TRUE)</f>
        <v>Female</v>
      </c>
      <c r="F160" s="1" t="str">
        <f>VLOOKUP(Salesdta[[#This Row],[Customer_ID]],Customer_Data_[],8,TRUE)</f>
        <v>Arizona</v>
      </c>
      <c r="G160" s="1" t="s">
        <v>1636</v>
      </c>
      <c r="H160" s="1" t="str">
        <f>VLOOKUP(Salesdta[[#This Row],[Product_ID]],Product_Data_1[],2,TRUE)</f>
        <v>Men's Winter Jacket</v>
      </c>
      <c r="I160" s="1" t="str">
        <f>VLOOKUP(Salesdta[[#This Row],[Product_ID]],Product_Data_1[],3,TRUE)</f>
        <v>Clothing</v>
      </c>
      <c r="J160" s="1">
        <f>VLOOKUP(Salesdta[[#This Row],[Product_ID]],Product_Data_1[],7,TRUE)</f>
        <v>167</v>
      </c>
      <c r="K160" s="1" t="s">
        <v>1762</v>
      </c>
      <c r="L160" s="1" t="str">
        <f>VLOOKUP(Salesdta[[#This Row],[Store_ID]],Store_Data_1[],3,TRUE)</f>
        <v>North</v>
      </c>
      <c r="M160" s="1">
        <v>1</v>
      </c>
      <c r="N160" s="1">
        <v>581</v>
      </c>
      <c r="O160" s="12">
        <v>0.1</v>
      </c>
      <c r="P160" s="1" t="s">
        <v>1822</v>
      </c>
      <c r="Q160" s="1">
        <v>523</v>
      </c>
      <c r="R160" s="1">
        <f>Salesdta[[#This Row],[Final Revenue]]-Salesdta[[#This Row],[Product cost]]</f>
        <v>356</v>
      </c>
      <c r="S160" s="1" t="str">
        <f>IF(Salesdta[[#This Row],[Final Revenue]]&gt;1000,"Selected","Not Selected")</f>
        <v>Not Selected</v>
      </c>
    </row>
    <row r="161" spans="1:19" x14ac:dyDescent="0.35">
      <c r="A161" s="6" t="s">
        <v>1978</v>
      </c>
      <c r="B161" s="20">
        <v>45775</v>
      </c>
      <c r="C161" s="1" t="str">
        <f>TEXT(Salesdta[[#This Row],[Order_Date]],"mmmm")</f>
        <v>April</v>
      </c>
      <c r="D161" s="1" t="s">
        <v>1047</v>
      </c>
      <c r="E161" s="1" t="str">
        <f>VLOOKUP(Salesdta[[#This Row],[Customer_ID]],Customer_Data_[],6,TRUE)</f>
        <v>Female</v>
      </c>
      <c r="F161" s="1" t="str">
        <f>VLOOKUP(Salesdta[[#This Row],[Customer_ID]],Customer_Data_[],8,TRUE)</f>
        <v>Connecticut</v>
      </c>
      <c r="G161" s="1" t="s">
        <v>1686</v>
      </c>
      <c r="H161" s="1" t="str">
        <f>VLOOKUP(Salesdta[[#This Row],[Product_ID]],Product_Data_1[],2,TRUE)</f>
        <v>Hair Repair Oil Treatment</v>
      </c>
      <c r="I161" s="1" t="str">
        <f>VLOOKUP(Salesdta[[#This Row],[Product_ID]],Product_Data_1[],3,TRUE)</f>
        <v>Beauty</v>
      </c>
      <c r="J161" s="1">
        <f>VLOOKUP(Salesdta[[#This Row],[Product_ID]],Product_Data_1[],7,TRUE)</f>
        <v>214</v>
      </c>
      <c r="K161" s="1" t="s">
        <v>1782</v>
      </c>
      <c r="L161" s="1" t="str">
        <f>VLOOKUP(Salesdta[[#This Row],[Store_ID]],Store_Data_1[],3,TRUE)</f>
        <v>South</v>
      </c>
      <c r="M161" s="1">
        <v>3</v>
      </c>
      <c r="N161" s="1">
        <v>445</v>
      </c>
      <c r="O161" s="12">
        <v>0.14000000000000001</v>
      </c>
      <c r="P161" s="1" t="s">
        <v>1819</v>
      </c>
      <c r="Q161" s="1">
        <v>1147</v>
      </c>
      <c r="R161" s="1">
        <f>Salesdta[[#This Row],[Final Revenue]]-Salesdta[[#This Row],[Product cost]]</f>
        <v>933</v>
      </c>
      <c r="S161" s="1" t="str">
        <f>IF(Salesdta[[#This Row],[Final Revenue]]&gt;1000,"Selected","Not Selected")</f>
        <v>Selected</v>
      </c>
    </row>
    <row r="162" spans="1:19" x14ac:dyDescent="0.35">
      <c r="A162" s="6" t="s">
        <v>1979</v>
      </c>
      <c r="B162" s="20">
        <v>45459</v>
      </c>
      <c r="C162" s="1" t="str">
        <f>TEXT(Salesdta[[#This Row],[Order_Date]],"mmmm")</f>
        <v>June</v>
      </c>
      <c r="D162" s="1" t="s">
        <v>467</v>
      </c>
      <c r="E162" s="1" t="str">
        <f>VLOOKUP(Salesdta[[#This Row],[Customer_ID]],Customer_Data_[],6,TRUE)</f>
        <v>Male</v>
      </c>
      <c r="F162" s="1" t="str">
        <f>VLOOKUP(Salesdta[[#This Row],[Customer_ID]],Customer_Data_[],8,TRUE)</f>
        <v>Virginia</v>
      </c>
      <c r="G162" s="1" t="s">
        <v>1636</v>
      </c>
      <c r="H162" s="1" t="str">
        <f>VLOOKUP(Salesdta[[#This Row],[Product_ID]],Product_Data_1[],2,TRUE)</f>
        <v>Men's Winter Jacket</v>
      </c>
      <c r="I162" s="1" t="str">
        <f>VLOOKUP(Salesdta[[#This Row],[Product_ID]],Product_Data_1[],3,TRUE)</f>
        <v>Clothing</v>
      </c>
      <c r="J162" s="1">
        <f>VLOOKUP(Salesdta[[#This Row],[Product_ID]],Product_Data_1[],7,TRUE)</f>
        <v>167</v>
      </c>
      <c r="K162" s="1" t="s">
        <v>1806</v>
      </c>
      <c r="L162" s="1" t="str">
        <f>VLOOKUP(Salesdta[[#This Row],[Store_ID]],Store_Data_1[],3,TRUE)</f>
        <v>North</v>
      </c>
      <c r="M162" s="1">
        <v>1</v>
      </c>
      <c r="N162" s="1">
        <v>805</v>
      </c>
      <c r="O162" s="12">
        <v>0.03</v>
      </c>
      <c r="P162" s="1" t="s">
        <v>1819</v>
      </c>
      <c r="Q162" s="1">
        <v>781</v>
      </c>
      <c r="R162" s="1">
        <f>Salesdta[[#This Row],[Final Revenue]]-Salesdta[[#This Row],[Product cost]]</f>
        <v>614</v>
      </c>
      <c r="S162" s="1" t="str">
        <f>IF(Salesdta[[#This Row],[Final Revenue]]&gt;1000,"Selected","Not Selected")</f>
        <v>Not Selected</v>
      </c>
    </row>
    <row r="163" spans="1:19" x14ac:dyDescent="0.35">
      <c r="A163" s="6" t="s">
        <v>1980</v>
      </c>
      <c r="B163" s="20">
        <v>45617</v>
      </c>
      <c r="C163" s="1" t="str">
        <f>TEXT(Salesdta[[#This Row],[Order_Date]],"mmmm")</f>
        <v>November</v>
      </c>
      <c r="D163" s="1" t="s">
        <v>1312</v>
      </c>
      <c r="E163" s="1" t="str">
        <f>VLOOKUP(Salesdta[[#This Row],[Customer_ID]],Customer_Data_[],6,TRUE)</f>
        <v>Male</v>
      </c>
      <c r="F163" s="1" t="str">
        <f>VLOOKUP(Salesdta[[#This Row],[Customer_ID]],Customer_Data_[],8,TRUE)</f>
        <v>North Carolina</v>
      </c>
      <c r="G163" s="1" t="s">
        <v>1728</v>
      </c>
      <c r="H163" s="1" t="str">
        <f>VLOOKUP(Salesdta[[#This Row],[Product_ID]],Product_Data_1[],2,TRUE)</f>
        <v>Microwave Oven</v>
      </c>
      <c r="I163" s="1" t="str">
        <f>VLOOKUP(Salesdta[[#This Row],[Product_ID]],Product_Data_1[],3,TRUE)</f>
        <v>Home</v>
      </c>
      <c r="J163" s="1">
        <f>VLOOKUP(Salesdta[[#This Row],[Product_ID]],Product_Data_1[],7,TRUE)</f>
        <v>447</v>
      </c>
      <c r="K163" s="1" t="s">
        <v>1795</v>
      </c>
      <c r="L163" s="1" t="str">
        <f>VLOOKUP(Salesdta[[#This Row],[Store_ID]],Store_Data_1[],3,TRUE)</f>
        <v>North</v>
      </c>
      <c r="M163" s="1">
        <v>3</v>
      </c>
      <c r="N163" s="1">
        <v>362</v>
      </c>
      <c r="O163" s="12">
        <v>0.15</v>
      </c>
      <c r="P163" s="1" t="s">
        <v>1822</v>
      </c>
      <c r="Q163" s="1">
        <v>922</v>
      </c>
      <c r="R163" s="1">
        <f>Salesdta[[#This Row],[Final Revenue]]-Salesdta[[#This Row],[Product cost]]</f>
        <v>475</v>
      </c>
      <c r="S163" s="1" t="str">
        <f>IF(Salesdta[[#This Row],[Final Revenue]]&gt;1000,"Selected","Not Selected")</f>
        <v>Not Selected</v>
      </c>
    </row>
    <row r="164" spans="1:19" x14ac:dyDescent="0.35">
      <c r="A164" s="6" t="s">
        <v>1981</v>
      </c>
      <c r="B164" s="20">
        <v>45618</v>
      </c>
      <c r="C164" s="1" t="str">
        <f>TEXT(Salesdta[[#This Row],[Order_Date]],"mmmm")</f>
        <v>November</v>
      </c>
      <c r="D164" s="1" t="s">
        <v>1014</v>
      </c>
      <c r="E164" s="1" t="str">
        <f>VLOOKUP(Salesdta[[#This Row],[Customer_ID]],Customer_Data_[],6,TRUE)</f>
        <v>Female</v>
      </c>
      <c r="F164" s="1" t="str">
        <f>VLOOKUP(Salesdta[[#This Row],[Customer_ID]],Customer_Data_[],8,TRUE)</f>
        <v>North Carolina</v>
      </c>
      <c r="G164" s="1" t="s">
        <v>1642</v>
      </c>
      <c r="H164" s="1" t="str">
        <f>VLOOKUP(Salesdta[[#This Row],[Product_ID]],Product_Data_1[],2,TRUE)</f>
        <v>Men's Roll-On Perfume</v>
      </c>
      <c r="I164" s="1" t="str">
        <f>VLOOKUP(Salesdta[[#This Row],[Product_ID]],Product_Data_1[],3,TRUE)</f>
        <v>Beauty</v>
      </c>
      <c r="J164" s="1">
        <f>VLOOKUP(Salesdta[[#This Row],[Product_ID]],Product_Data_1[],7,TRUE)</f>
        <v>43</v>
      </c>
      <c r="K164" s="1" t="s">
        <v>1785</v>
      </c>
      <c r="L164" s="1" t="str">
        <f>VLOOKUP(Salesdta[[#This Row],[Store_ID]],Store_Data_1[],3,TRUE)</f>
        <v>North</v>
      </c>
      <c r="M164" s="1">
        <v>3</v>
      </c>
      <c r="N164" s="1">
        <v>958</v>
      </c>
      <c r="O164" s="12">
        <v>0.24</v>
      </c>
      <c r="P164" s="1" t="s">
        <v>1822</v>
      </c>
      <c r="Q164" s="1">
        <v>2185</v>
      </c>
      <c r="R164" s="1">
        <f>Salesdta[[#This Row],[Final Revenue]]-Salesdta[[#This Row],[Product cost]]</f>
        <v>2142</v>
      </c>
      <c r="S164" s="1" t="str">
        <f>IF(Salesdta[[#This Row],[Final Revenue]]&gt;1000,"Selected","Not Selected")</f>
        <v>Selected</v>
      </c>
    </row>
    <row r="165" spans="1:19" x14ac:dyDescent="0.35">
      <c r="A165" s="6" t="s">
        <v>1982</v>
      </c>
      <c r="B165" s="20">
        <v>45227</v>
      </c>
      <c r="C165" s="1" t="str">
        <f>TEXT(Salesdta[[#This Row],[Order_Date]],"mmmm")</f>
        <v>October</v>
      </c>
      <c r="D165" s="1" t="s">
        <v>458</v>
      </c>
      <c r="E165" s="1" t="str">
        <f>VLOOKUP(Salesdta[[#This Row],[Customer_ID]],Customer_Data_[],6,TRUE)</f>
        <v>Female</v>
      </c>
      <c r="F165" s="1" t="str">
        <f>VLOOKUP(Salesdta[[#This Row],[Customer_ID]],Customer_Data_[],8,TRUE)</f>
        <v>Michigan</v>
      </c>
      <c r="G165" s="1" t="s">
        <v>1632</v>
      </c>
      <c r="H165" s="1" t="str">
        <f>VLOOKUP(Salesdta[[#This Row],[Product_ID]],Product_Data_1[],2,TRUE)</f>
        <v>Adjustable Jump Rope</v>
      </c>
      <c r="I165" s="1" t="str">
        <f>VLOOKUP(Salesdta[[#This Row],[Product_ID]],Product_Data_1[],3,TRUE)</f>
        <v>Sports</v>
      </c>
      <c r="J165" s="1">
        <f>VLOOKUP(Salesdta[[#This Row],[Product_ID]],Product_Data_1[],7,TRUE)</f>
        <v>167</v>
      </c>
      <c r="K165" s="1" t="s">
        <v>1788</v>
      </c>
      <c r="L165" s="1" t="str">
        <f>VLOOKUP(Salesdta[[#This Row],[Store_ID]],Store_Data_1[],3,TRUE)</f>
        <v>North</v>
      </c>
      <c r="M165" s="1">
        <v>1</v>
      </c>
      <c r="N165" s="1">
        <v>541</v>
      </c>
      <c r="O165" s="12">
        <v>0.03</v>
      </c>
      <c r="P165" s="1" t="s">
        <v>1819</v>
      </c>
      <c r="Q165" s="1">
        <v>525</v>
      </c>
      <c r="R165" s="1">
        <f>Salesdta[[#This Row],[Final Revenue]]-Salesdta[[#This Row],[Product cost]]</f>
        <v>358</v>
      </c>
      <c r="S165" s="1" t="str">
        <f>IF(Salesdta[[#This Row],[Final Revenue]]&gt;1000,"Selected","Not Selected")</f>
        <v>Not Selected</v>
      </c>
    </row>
    <row r="166" spans="1:19" x14ac:dyDescent="0.35">
      <c r="A166" s="6" t="s">
        <v>1983</v>
      </c>
      <c r="B166" s="20">
        <v>45600</v>
      </c>
      <c r="C166" s="1" t="str">
        <f>TEXT(Salesdta[[#This Row],[Order_Date]],"mmmm")</f>
        <v>November</v>
      </c>
      <c r="D166" s="1" t="s">
        <v>1382</v>
      </c>
      <c r="E166" s="1" t="str">
        <f>VLOOKUP(Salesdta[[#This Row],[Customer_ID]],Customer_Data_[],6,TRUE)</f>
        <v>Female</v>
      </c>
      <c r="F166" s="1" t="str">
        <f>VLOOKUP(Salesdta[[#This Row],[Customer_ID]],Customer_Data_[],8,TRUE)</f>
        <v>Wyoming</v>
      </c>
      <c r="G166" s="1" t="s">
        <v>1706</v>
      </c>
      <c r="H166" s="1" t="str">
        <f>VLOOKUP(Salesdta[[#This Row],[Product_ID]],Product_Data_1[],2,TRUE)</f>
        <v>Badminton Racket Set</v>
      </c>
      <c r="I166" s="1" t="str">
        <f>VLOOKUP(Salesdta[[#This Row],[Product_ID]],Product_Data_1[],3,TRUE)</f>
        <v>Sports</v>
      </c>
      <c r="J166" s="1">
        <f>VLOOKUP(Salesdta[[#This Row],[Product_ID]],Product_Data_1[],7,TRUE)</f>
        <v>286</v>
      </c>
      <c r="K166" s="1" t="s">
        <v>1772</v>
      </c>
      <c r="L166" s="1" t="str">
        <f>VLOOKUP(Salesdta[[#This Row],[Store_ID]],Store_Data_1[],3,TRUE)</f>
        <v>East</v>
      </c>
      <c r="M166" s="1">
        <v>1</v>
      </c>
      <c r="N166" s="1">
        <v>455</v>
      </c>
      <c r="O166" s="12">
        <v>0.16</v>
      </c>
      <c r="P166" s="1" t="s">
        <v>1819</v>
      </c>
      <c r="Q166" s="1">
        <v>382</v>
      </c>
      <c r="R166" s="1">
        <f>Salesdta[[#This Row],[Final Revenue]]-Salesdta[[#This Row],[Product cost]]</f>
        <v>96</v>
      </c>
      <c r="S166" s="1" t="str">
        <f>IF(Salesdta[[#This Row],[Final Revenue]]&gt;1000,"Selected","Not Selected")</f>
        <v>Not Selected</v>
      </c>
    </row>
    <row r="167" spans="1:19" x14ac:dyDescent="0.35">
      <c r="A167" s="6" t="s">
        <v>1984</v>
      </c>
      <c r="B167" s="20">
        <v>45646</v>
      </c>
      <c r="C167" s="1" t="str">
        <f>TEXT(Salesdta[[#This Row],[Order_Date]],"mmmm")</f>
        <v>December</v>
      </c>
      <c r="D167" s="1" t="s">
        <v>148</v>
      </c>
      <c r="E167" s="1" t="str">
        <f>VLOOKUP(Salesdta[[#This Row],[Customer_ID]],Customer_Data_[],6,TRUE)</f>
        <v>Female</v>
      </c>
      <c r="F167" s="1" t="str">
        <f>VLOOKUP(Salesdta[[#This Row],[Customer_ID]],Customer_Data_[],8,TRUE)</f>
        <v>North Dakota</v>
      </c>
      <c r="G167" s="1" t="s">
        <v>1676</v>
      </c>
      <c r="H167" s="1" t="str">
        <f>VLOOKUP(Salesdta[[#This Row],[Product_ID]],Product_Data_1[],2,TRUE)</f>
        <v>Women's Hair Dryer Brush</v>
      </c>
      <c r="I167" s="1" t="str">
        <f>VLOOKUP(Salesdta[[#This Row],[Product_ID]],Product_Data_1[],3,TRUE)</f>
        <v>Beauty</v>
      </c>
      <c r="J167" s="1">
        <f>VLOOKUP(Salesdta[[#This Row],[Product_ID]],Product_Data_1[],7,TRUE)</f>
        <v>340</v>
      </c>
      <c r="K167" s="1" t="s">
        <v>1769</v>
      </c>
      <c r="L167" s="1" t="str">
        <f>VLOOKUP(Salesdta[[#This Row],[Store_ID]],Store_Data_1[],3,TRUE)</f>
        <v>North</v>
      </c>
      <c r="M167" s="1">
        <v>2</v>
      </c>
      <c r="N167" s="1">
        <v>398</v>
      </c>
      <c r="O167" s="12">
        <v>0.26</v>
      </c>
      <c r="P167" s="1" t="s">
        <v>1817</v>
      </c>
      <c r="Q167" s="1">
        <v>588</v>
      </c>
      <c r="R167" s="1">
        <f>Salesdta[[#This Row],[Final Revenue]]-Salesdta[[#This Row],[Product cost]]</f>
        <v>248</v>
      </c>
      <c r="S167" s="1" t="str">
        <f>IF(Salesdta[[#This Row],[Final Revenue]]&gt;1000,"Selected","Not Selected")</f>
        <v>Not Selected</v>
      </c>
    </row>
    <row r="168" spans="1:19" x14ac:dyDescent="0.35">
      <c r="A168" s="6" t="s">
        <v>1985</v>
      </c>
      <c r="B168" s="20">
        <v>45725</v>
      </c>
      <c r="C168" s="1" t="str">
        <f>TEXT(Salesdta[[#This Row],[Order_Date]],"mmmm")</f>
        <v>March</v>
      </c>
      <c r="D168" s="1" t="s">
        <v>562</v>
      </c>
      <c r="E168" s="1" t="str">
        <f>VLOOKUP(Salesdta[[#This Row],[Customer_ID]],Customer_Data_[],6,TRUE)</f>
        <v>Male</v>
      </c>
      <c r="F168" s="1" t="str">
        <f>VLOOKUP(Salesdta[[#This Row],[Customer_ID]],Customer_Data_[],8,TRUE)</f>
        <v>Missouri</v>
      </c>
      <c r="G168" s="1" t="s">
        <v>1710</v>
      </c>
      <c r="H168" s="1" t="str">
        <f>VLOOKUP(Salesdta[[#This Row],[Product_ID]],Product_Data_1[],2,TRUE)</f>
        <v>Hydrating Face Cleanser</v>
      </c>
      <c r="I168" s="1" t="str">
        <f>VLOOKUP(Salesdta[[#This Row],[Product_ID]],Product_Data_1[],3,TRUE)</f>
        <v>Beauty</v>
      </c>
      <c r="J168" s="1">
        <f>VLOOKUP(Salesdta[[#This Row],[Product_ID]],Product_Data_1[],7,TRUE)</f>
        <v>254</v>
      </c>
      <c r="K168" s="1" t="s">
        <v>1772</v>
      </c>
      <c r="L168" s="1" t="str">
        <f>VLOOKUP(Salesdta[[#This Row],[Store_ID]],Store_Data_1[],3,TRUE)</f>
        <v>East</v>
      </c>
      <c r="M168" s="1">
        <v>3</v>
      </c>
      <c r="N168" s="1">
        <v>749</v>
      </c>
      <c r="O168" s="12">
        <v>0.26</v>
      </c>
      <c r="P168" s="1" t="s">
        <v>1819</v>
      </c>
      <c r="Q168" s="1">
        <v>1662</v>
      </c>
      <c r="R168" s="1">
        <f>Salesdta[[#This Row],[Final Revenue]]-Salesdta[[#This Row],[Product cost]]</f>
        <v>1408</v>
      </c>
      <c r="S168" s="1" t="str">
        <f>IF(Salesdta[[#This Row],[Final Revenue]]&gt;1000,"Selected","Not Selected")</f>
        <v>Selected</v>
      </c>
    </row>
    <row r="169" spans="1:19" x14ac:dyDescent="0.35">
      <c r="A169" s="6" t="s">
        <v>1986</v>
      </c>
      <c r="B169" s="20">
        <v>45327</v>
      </c>
      <c r="C169" s="1" t="str">
        <f>TEXT(Salesdta[[#This Row],[Order_Date]],"mmmm")</f>
        <v>February</v>
      </c>
      <c r="D169" s="1" t="s">
        <v>1451</v>
      </c>
      <c r="E169" s="1" t="str">
        <f>VLOOKUP(Salesdta[[#This Row],[Customer_ID]],Customer_Data_[],6,TRUE)</f>
        <v>Male</v>
      </c>
      <c r="F169" s="1" t="str">
        <f>VLOOKUP(Salesdta[[#This Row],[Customer_ID]],Customer_Data_[],8,TRUE)</f>
        <v>Massachusetts</v>
      </c>
      <c r="G169" s="1" t="s">
        <v>1612</v>
      </c>
      <c r="H169" s="1" t="str">
        <f>VLOOKUP(Salesdta[[#This Row],[Product_ID]],Product_Data_1[],2,TRUE)</f>
        <v>Gaming Mechanical Keyboard</v>
      </c>
      <c r="I169" s="1" t="str">
        <f>VLOOKUP(Salesdta[[#This Row],[Product_ID]],Product_Data_1[],3,TRUE)</f>
        <v>Electronics</v>
      </c>
      <c r="J169" s="1">
        <f>VLOOKUP(Salesdta[[#This Row],[Product_ID]],Product_Data_1[],7,TRUE)</f>
        <v>419</v>
      </c>
      <c r="K169" s="1" t="s">
        <v>1782</v>
      </c>
      <c r="L169" s="1" t="str">
        <f>VLOOKUP(Salesdta[[#This Row],[Store_ID]],Store_Data_1[],3,TRUE)</f>
        <v>South</v>
      </c>
      <c r="M169" s="1">
        <v>2</v>
      </c>
      <c r="N169" s="1">
        <v>597</v>
      </c>
      <c r="O169" s="12">
        <v>0.28000000000000003</v>
      </c>
      <c r="P169" s="1" t="s">
        <v>1819</v>
      </c>
      <c r="Q169" s="1">
        <v>860</v>
      </c>
      <c r="R169" s="1">
        <f>Salesdta[[#This Row],[Final Revenue]]-Salesdta[[#This Row],[Product cost]]</f>
        <v>441</v>
      </c>
      <c r="S169" s="1" t="str">
        <f>IF(Salesdta[[#This Row],[Final Revenue]]&gt;1000,"Selected","Not Selected")</f>
        <v>Not Selected</v>
      </c>
    </row>
    <row r="170" spans="1:19" x14ac:dyDescent="0.35">
      <c r="A170" s="6" t="s">
        <v>1987</v>
      </c>
      <c r="B170" s="20">
        <v>45883</v>
      </c>
      <c r="C170" s="1" t="str">
        <f>TEXT(Salesdta[[#This Row],[Order_Date]],"mmmm")</f>
        <v>August</v>
      </c>
      <c r="D170" s="1" t="s">
        <v>1351</v>
      </c>
      <c r="E170" s="1" t="str">
        <f>VLOOKUP(Salesdta[[#This Row],[Customer_ID]],Customer_Data_[],6,TRUE)</f>
        <v>Female</v>
      </c>
      <c r="F170" s="1" t="str">
        <f>VLOOKUP(Salesdta[[#This Row],[Customer_ID]],Customer_Data_[],8,TRUE)</f>
        <v>New Hampshire</v>
      </c>
      <c r="G170" s="1" t="s">
        <v>1720</v>
      </c>
      <c r="H170" s="1" t="str">
        <f>VLOOKUP(Salesdta[[#This Row],[Product_ID]],Product_Data_1[],2,TRUE)</f>
        <v>Sports Wrist Sweatbands</v>
      </c>
      <c r="I170" s="1" t="str">
        <f>VLOOKUP(Salesdta[[#This Row],[Product_ID]],Product_Data_1[],3,TRUE)</f>
        <v>Sports</v>
      </c>
      <c r="J170" s="1">
        <f>VLOOKUP(Salesdta[[#This Row],[Product_ID]],Product_Data_1[],7,TRUE)</f>
        <v>131</v>
      </c>
      <c r="K170" s="1" t="s">
        <v>1769</v>
      </c>
      <c r="L170" s="1" t="str">
        <f>VLOOKUP(Salesdta[[#This Row],[Store_ID]],Store_Data_1[],3,TRUE)</f>
        <v>North</v>
      </c>
      <c r="M170" s="1">
        <v>1</v>
      </c>
      <c r="N170" s="1">
        <v>480</v>
      </c>
      <c r="O170" s="12">
        <v>0.22</v>
      </c>
      <c r="P170" s="1" t="s">
        <v>1817</v>
      </c>
      <c r="Q170" s="1">
        <v>374</v>
      </c>
      <c r="R170" s="1">
        <f>Salesdta[[#This Row],[Final Revenue]]-Salesdta[[#This Row],[Product cost]]</f>
        <v>243</v>
      </c>
      <c r="S170" s="1" t="str">
        <f>IF(Salesdta[[#This Row],[Final Revenue]]&gt;1000,"Selected","Not Selected")</f>
        <v>Not Selected</v>
      </c>
    </row>
    <row r="171" spans="1:19" x14ac:dyDescent="0.35">
      <c r="A171" s="6" t="s">
        <v>1988</v>
      </c>
      <c r="B171" s="20">
        <v>45640</v>
      </c>
      <c r="C171" s="1" t="str">
        <f>TEXT(Salesdta[[#This Row],[Order_Date]],"mmmm")</f>
        <v>December</v>
      </c>
      <c r="D171" s="1" t="s">
        <v>607</v>
      </c>
      <c r="E171" s="1" t="str">
        <f>VLOOKUP(Salesdta[[#This Row],[Customer_ID]],Customer_Data_[],6,TRUE)</f>
        <v>Female</v>
      </c>
      <c r="F171" s="1" t="str">
        <f>VLOOKUP(Salesdta[[#This Row],[Customer_ID]],Customer_Data_[],8,TRUE)</f>
        <v>New Jersey</v>
      </c>
      <c r="G171" s="1" t="s">
        <v>1702</v>
      </c>
      <c r="H171" s="1" t="str">
        <f>VLOOKUP(Salesdta[[#This Row],[Product_ID]],Product_Data_1[],2,TRUE)</f>
        <v>Decorative Lamp Shade</v>
      </c>
      <c r="I171" s="1" t="str">
        <f>VLOOKUP(Salesdta[[#This Row],[Product_ID]],Product_Data_1[],3,TRUE)</f>
        <v>Home</v>
      </c>
      <c r="J171" s="1">
        <f>VLOOKUP(Salesdta[[#This Row],[Product_ID]],Product_Data_1[],7,TRUE)</f>
        <v>229</v>
      </c>
      <c r="K171" s="1" t="s">
        <v>1762</v>
      </c>
      <c r="L171" s="1" t="str">
        <f>VLOOKUP(Salesdta[[#This Row],[Store_ID]],Store_Data_1[],3,TRUE)</f>
        <v>North</v>
      </c>
      <c r="M171" s="1">
        <v>1</v>
      </c>
      <c r="N171" s="1">
        <v>127</v>
      </c>
      <c r="O171" s="12">
        <v>0.01</v>
      </c>
      <c r="P171" s="1" t="s">
        <v>1819</v>
      </c>
      <c r="Q171" s="1">
        <v>126</v>
      </c>
      <c r="R171" s="1">
        <f>Salesdta[[#This Row],[Final Revenue]]-Salesdta[[#This Row],[Product cost]]</f>
        <v>-103</v>
      </c>
      <c r="S171" s="1" t="str">
        <f>IF(Salesdta[[#This Row],[Final Revenue]]&gt;1000,"Selected","Not Selected")</f>
        <v>Not Selected</v>
      </c>
    </row>
    <row r="172" spans="1:19" x14ac:dyDescent="0.35">
      <c r="A172" s="6" t="s">
        <v>1989</v>
      </c>
      <c r="B172" s="20">
        <v>45411</v>
      </c>
      <c r="C172" s="1" t="str">
        <f>TEXT(Salesdta[[#This Row],[Order_Date]],"mmmm")</f>
        <v>April</v>
      </c>
      <c r="D172" s="1" t="s">
        <v>604</v>
      </c>
      <c r="E172" s="1" t="str">
        <f>VLOOKUP(Salesdta[[#This Row],[Customer_ID]],Customer_Data_[],6,TRUE)</f>
        <v>Female</v>
      </c>
      <c r="F172" s="1" t="str">
        <f>VLOOKUP(Salesdta[[#This Row],[Customer_ID]],Customer_Data_[],8,TRUE)</f>
        <v>North Dakota</v>
      </c>
      <c r="G172" s="1" t="s">
        <v>1612</v>
      </c>
      <c r="H172" s="1" t="str">
        <f>VLOOKUP(Salesdta[[#This Row],[Product_ID]],Product_Data_1[],2,TRUE)</f>
        <v>Gaming Mechanical Keyboard</v>
      </c>
      <c r="I172" s="1" t="str">
        <f>VLOOKUP(Salesdta[[#This Row],[Product_ID]],Product_Data_1[],3,TRUE)</f>
        <v>Electronics</v>
      </c>
      <c r="J172" s="1">
        <f>VLOOKUP(Salesdta[[#This Row],[Product_ID]],Product_Data_1[],7,TRUE)</f>
        <v>419</v>
      </c>
      <c r="K172" s="1" t="s">
        <v>1803</v>
      </c>
      <c r="L172" s="1" t="str">
        <f>VLOOKUP(Salesdta[[#This Row],[Store_ID]],Store_Data_1[],3,TRUE)</f>
        <v>North</v>
      </c>
      <c r="M172" s="1">
        <v>4</v>
      </c>
      <c r="N172" s="1">
        <v>931</v>
      </c>
      <c r="O172" s="12">
        <v>0.04</v>
      </c>
      <c r="P172" s="1" t="s">
        <v>1817</v>
      </c>
      <c r="Q172" s="1">
        <v>3576</v>
      </c>
      <c r="R172" s="1">
        <f>Salesdta[[#This Row],[Final Revenue]]-Salesdta[[#This Row],[Product cost]]</f>
        <v>3157</v>
      </c>
      <c r="S172" s="1" t="str">
        <f>IF(Salesdta[[#This Row],[Final Revenue]]&gt;1000,"Selected","Not Selected")</f>
        <v>Selected</v>
      </c>
    </row>
    <row r="173" spans="1:19" x14ac:dyDescent="0.35">
      <c r="A173" s="6" t="s">
        <v>1990</v>
      </c>
      <c r="B173" s="20">
        <v>45224</v>
      </c>
      <c r="C173" s="1" t="str">
        <f>TEXT(Salesdta[[#This Row],[Order_Date]],"mmmm")</f>
        <v>October</v>
      </c>
      <c r="D173" s="1" t="s">
        <v>1156</v>
      </c>
      <c r="E173" s="1" t="str">
        <f>VLOOKUP(Salesdta[[#This Row],[Customer_ID]],Customer_Data_[],6,TRUE)</f>
        <v>Female</v>
      </c>
      <c r="F173" s="1" t="str">
        <f>VLOOKUP(Salesdta[[#This Row],[Customer_ID]],Customer_Data_[],8,TRUE)</f>
        <v>New Hampshire</v>
      </c>
      <c r="G173" s="1" t="s">
        <v>1678</v>
      </c>
      <c r="H173" s="1" t="str">
        <f>VLOOKUP(Salesdta[[#This Row],[Product_ID]],Product_Data_1[],2,TRUE)</f>
        <v>Smart LED Light Strip</v>
      </c>
      <c r="I173" s="1" t="str">
        <f>VLOOKUP(Salesdta[[#This Row],[Product_ID]],Product_Data_1[],3,TRUE)</f>
        <v>Electronics</v>
      </c>
      <c r="J173" s="1">
        <f>VLOOKUP(Salesdta[[#This Row],[Product_ID]],Product_Data_1[],7,TRUE)</f>
        <v>349</v>
      </c>
      <c r="K173" s="1" t="s">
        <v>1778</v>
      </c>
      <c r="L173" s="1" t="str">
        <f>VLOOKUP(Salesdta[[#This Row],[Store_ID]],Store_Data_1[],3,TRUE)</f>
        <v>West</v>
      </c>
      <c r="M173" s="1">
        <v>1</v>
      </c>
      <c r="N173" s="1">
        <v>621</v>
      </c>
      <c r="O173" s="12">
        <v>0.04</v>
      </c>
      <c r="P173" s="1" t="s">
        <v>1819</v>
      </c>
      <c r="Q173" s="1">
        <v>596</v>
      </c>
      <c r="R173" s="1">
        <f>Salesdta[[#This Row],[Final Revenue]]-Salesdta[[#This Row],[Product cost]]</f>
        <v>247</v>
      </c>
      <c r="S173" s="1" t="str">
        <f>IF(Salesdta[[#This Row],[Final Revenue]]&gt;1000,"Selected","Not Selected")</f>
        <v>Not Selected</v>
      </c>
    </row>
    <row r="174" spans="1:19" x14ac:dyDescent="0.35">
      <c r="A174" s="6" t="s">
        <v>1991</v>
      </c>
      <c r="B174" s="20">
        <v>45807</v>
      </c>
      <c r="C174" s="1" t="str">
        <f>TEXT(Salesdta[[#This Row],[Order_Date]],"mmmm")</f>
        <v>May</v>
      </c>
      <c r="D174" s="1" t="s">
        <v>57</v>
      </c>
      <c r="E174" s="1" t="str">
        <f>VLOOKUP(Salesdta[[#This Row],[Customer_ID]],Customer_Data_[],6,TRUE)</f>
        <v>Female</v>
      </c>
      <c r="F174" s="1" t="str">
        <f>VLOOKUP(Salesdta[[#This Row],[Customer_ID]],Customer_Data_[],8,TRUE)</f>
        <v>Kansas</v>
      </c>
      <c r="G174" s="1" t="s">
        <v>1598</v>
      </c>
      <c r="H174" s="1" t="str">
        <f>VLOOKUP(Salesdta[[#This Row],[Product_ID]],Product_Data_1[],2,TRUE)</f>
        <v>Decorative Floor Vase</v>
      </c>
      <c r="I174" s="1" t="str">
        <f>VLOOKUP(Salesdta[[#This Row],[Product_ID]],Product_Data_1[],3,TRUE)</f>
        <v>Home</v>
      </c>
      <c r="J174" s="1">
        <f>VLOOKUP(Salesdta[[#This Row],[Product_ID]],Product_Data_1[],7,TRUE)</f>
        <v>254</v>
      </c>
      <c r="K174" s="1" t="s">
        <v>1778</v>
      </c>
      <c r="L174" s="1" t="str">
        <f>VLOOKUP(Salesdta[[#This Row],[Store_ID]],Store_Data_1[],3,TRUE)</f>
        <v>West</v>
      </c>
      <c r="M174" s="1">
        <v>3</v>
      </c>
      <c r="N174" s="1">
        <v>681</v>
      </c>
      <c r="O174" s="12">
        <v>0.27</v>
      </c>
      <c r="P174" s="1" t="s">
        <v>1822</v>
      </c>
      <c r="Q174" s="1">
        <v>1491</v>
      </c>
      <c r="R174" s="1">
        <f>Salesdta[[#This Row],[Final Revenue]]-Salesdta[[#This Row],[Product cost]]</f>
        <v>1237</v>
      </c>
      <c r="S174" s="1" t="str">
        <f>IF(Salesdta[[#This Row],[Final Revenue]]&gt;1000,"Selected","Not Selected")</f>
        <v>Selected</v>
      </c>
    </row>
    <row r="175" spans="1:19" x14ac:dyDescent="0.35">
      <c r="A175" s="6" t="s">
        <v>1992</v>
      </c>
      <c r="B175" s="20">
        <v>45942</v>
      </c>
      <c r="C175" s="1" t="str">
        <f>TEXT(Salesdta[[#This Row],[Order_Date]],"mmmm")</f>
        <v>October</v>
      </c>
      <c r="D175" s="1" t="s">
        <v>1364</v>
      </c>
      <c r="E175" s="1" t="str">
        <f>VLOOKUP(Salesdta[[#This Row],[Customer_ID]],Customer_Data_[],6,TRUE)</f>
        <v>Female</v>
      </c>
      <c r="F175" s="1" t="str">
        <f>VLOOKUP(Salesdta[[#This Row],[Customer_ID]],Customer_Data_[],8,TRUE)</f>
        <v>Oregon</v>
      </c>
      <c r="G175" s="1" t="s">
        <v>1656</v>
      </c>
      <c r="H175" s="1" t="str">
        <f>VLOOKUP(Salesdta[[#This Row],[Product_ID]],Product_Data_1[],2,TRUE)</f>
        <v>Premium Blanket Throw</v>
      </c>
      <c r="I175" s="1" t="str">
        <f>VLOOKUP(Salesdta[[#This Row],[Product_ID]],Product_Data_1[],3,TRUE)</f>
        <v>Home</v>
      </c>
      <c r="J175" s="1">
        <f>VLOOKUP(Salesdta[[#This Row],[Product_ID]],Product_Data_1[],7,TRUE)</f>
        <v>461</v>
      </c>
      <c r="K175" s="1" t="s">
        <v>1809</v>
      </c>
      <c r="L175" s="1" t="str">
        <f>VLOOKUP(Salesdta[[#This Row],[Store_ID]],Store_Data_1[],3,TRUE)</f>
        <v>North</v>
      </c>
      <c r="M175" s="1">
        <v>4</v>
      </c>
      <c r="N175" s="1">
        <v>120</v>
      </c>
      <c r="O175" s="12">
        <v>0.13</v>
      </c>
      <c r="P175" s="1" t="s">
        <v>1817</v>
      </c>
      <c r="Q175" s="1">
        <v>417</v>
      </c>
      <c r="R175" s="1">
        <f>Salesdta[[#This Row],[Final Revenue]]-Salesdta[[#This Row],[Product cost]]</f>
        <v>-44</v>
      </c>
      <c r="S175" s="1" t="str">
        <f>IF(Salesdta[[#This Row],[Final Revenue]]&gt;1000,"Selected","Not Selected")</f>
        <v>Not Selected</v>
      </c>
    </row>
    <row r="176" spans="1:19" x14ac:dyDescent="0.35">
      <c r="A176" s="6" t="s">
        <v>1993</v>
      </c>
      <c r="B176" s="20">
        <v>45943</v>
      </c>
      <c r="C176" s="1" t="str">
        <f>TEXT(Salesdta[[#This Row],[Order_Date]],"mmmm")</f>
        <v>October</v>
      </c>
      <c r="D176" s="1" t="s">
        <v>648</v>
      </c>
      <c r="E176" s="1" t="str">
        <f>VLOOKUP(Salesdta[[#This Row],[Customer_ID]],Customer_Data_[],6,TRUE)</f>
        <v>Male</v>
      </c>
      <c r="F176" s="1" t="str">
        <f>VLOOKUP(Salesdta[[#This Row],[Customer_ID]],Customer_Data_[],8,TRUE)</f>
        <v>Tennessee</v>
      </c>
      <c r="G176" s="1" t="s">
        <v>1640</v>
      </c>
      <c r="H176" s="1" t="str">
        <f>VLOOKUP(Salesdta[[#This Row],[Product_ID]],Product_Data_1[],2,TRUE)</f>
        <v>Car Dashboard Phone Holder</v>
      </c>
      <c r="I176" s="1" t="str">
        <f>VLOOKUP(Salesdta[[#This Row],[Product_ID]],Product_Data_1[],3,TRUE)</f>
        <v>Electronics</v>
      </c>
      <c r="J176" s="1">
        <f>VLOOKUP(Salesdta[[#This Row],[Product_ID]],Product_Data_1[],7,TRUE)</f>
        <v>178</v>
      </c>
      <c r="K176" s="1" t="s">
        <v>1800</v>
      </c>
      <c r="L176" s="1" t="str">
        <f>VLOOKUP(Salesdta[[#This Row],[Store_ID]],Store_Data_1[],3,TRUE)</f>
        <v>North</v>
      </c>
      <c r="M176" s="1">
        <v>1</v>
      </c>
      <c r="N176" s="1">
        <v>776</v>
      </c>
      <c r="O176" s="12">
        <v>0.26</v>
      </c>
      <c r="P176" s="1" t="s">
        <v>1817</v>
      </c>
      <c r="Q176" s="1">
        <v>574</v>
      </c>
      <c r="R176" s="1">
        <f>Salesdta[[#This Row],[Final Revenue]]-Salesdta[[#This Row],[Product cost]]</f>
        <v>396</v>
      </c>
      <c r="S176" s="1" t="str">
        <f>IF(Salesdta[[#This Row],[Final Revenue]]&gt;1000,"Selected","Not Selected")</f>
        <v>Not Selected</v>
      </c>
    </row>
    <row r="177" spans="1:19" x14ac:dyDescent="0.35">
      <c r="A177" s="6" t="s">
        <v>1994</v>
      </c>
      <c r="B177" s="20">
        <v>45854</v>
      </c>
      <c r="C177" s="1" t="str">
        <f>TEXT(Salesdta[[#This Row],[Order_Date]],"mmmm")</f>
        <v>July</v>
      </c>
      <c r="D177" s="1" t="s">
        <v>511</v>
      </c>
      <c r="E177" s="1" t="str">
        <f>VLOOKUP(Salesdta[[#This Row],[Customer_ID]],Customer_Data_[],6,TRUE)</f>
        <v>Male</v>
      </c>
      <c r="F177" s="1" t="str">
        <f>VLOOKUP(Salesdta[[#This Row],[Customer_ID]],Customer_Data_[],8,TRUE)</f>
        <v>North Dakota</v>
      </c>
      <c r="G177" s="1" t="s">
        <v>1688</v>
      </c>
      <c r="H177" s="1" t="str">
        <f>VLOOKUP(Salesdta[[#This Row],[Product_ID]],Product_Data_1[],2,TRUE)</f>
        <v>Professional Jump Rope</v>
      </c>
      <c r="I177" s="1" t="str">
        <f>VLOOKUP(Salesdta[[#This Row],[Product_ID]],Product_Data_1[],3,TRUE)</f>
        <v>Sports</v>
      </c>
      <c r="J177" s="1">
        <f>VLOOKUP(Salesdta[[#This Row],[Product_ID]],Product_Data_1[],7,TRUE)</f>
        <v>478</v>
      </c>
      <c r="K177" s="1" t="s">
        <v>1778</v>
      </c>
      <c r="L177" s="1" t="str">
        <f>VLOOKUP(Salesdta[[#This Row],[Store_ID]],Store_Data_1[],3,TRUE)</f>
        <v>West</v>
      </c>
      <c r="M177" s="1">
        <v>3</v>
      </c>
      <c r="N177" s="1">
        <v>142</v>
      </c>
      <c r="O177" s="12">
        <v>0.08</v>
      </c>
      <c r="P177" s="1" t="s">
        <v>1822</v>
      </c>
      <c r="Q177" s="1">
        <v>391</v>
      </c>
      <c r="R177" s="1">
        <f>Salesdta[[#This Row],[Final Revenue]]-Salesdta[[#This Row],[Product cost]]</f>
        <v>-87</v>
      </c>
      <c r="S177" s="1" t="str">
        <f>IF(Salesdta[[#This Row],[Final Revenue]]&gt;1000,"Selected","Not Selected")</f>
        <v>Not Selected</v>
      </c>
    </row>
    <row r="178" spans="1:19" x14ac:dyDescent="0.35">
      <c r="A178" s="6" t="s">
        <v>1995</v>
      </c>
      <c r="B178" s="20">
        <v>45219</v>
      </c>
      <c r="C178" s="1" t="str">
        <f>TEXT(Salesdta[[#This Row],[Order_Date]],"mmmm")</f>
        <v>October</v>
      </c>
      <c r="D178" s="1" t="s">
        <v>846</v>
      </c>
      <c r="E178" s="1" t="str">
        <f>VLOOKUP(Salesdta[[#This Row],[Customer_ID]],Customer_Data_[],6,TRUE)</f>
        <v>Female</v>
      </c>
      <c r="F178" s="1" t="str">
        <f>VLOOKUP(Salesdta[[#This Row],[Customer_ID]],Customer_Data_[],8,TRUE)</f>
        <v>Kentucky</v>
      </c>
      <c r="G178" s="1" t="s">
        <v>1574</v>
      </c>
      <c r="H178" s="1" t="str">
        <f>VLOOKUP(Salesdta[[#This Row],[Product_ID]],Product_Data_1[],2,TRUE)</f>
        <v>4K Home Projector</v>
      </c>
      <c r="I178" s="1" t="str">
        <f>VLOOKUP(Salesdta[[#This Row],[Product_ID]],Product_Data_1[],3,TRUE)</f>
        <v>Electronics</v>
      </c>
      <c r="J178" s="1">
        <f>VLOOKUP(Salesdta[[#This Row],[Product_ID]],Product_Data_1[],7,TRUE)</f>
        <v>465</v>
      </c>
      <c r="K178" s="1" t="s">
        <v>1809</v>
      </c>
      <c r="L178" s="1" t="str">
        <f>VLOOKUP(Salesdta[[#This Row],[Store_ID]],Store_Data_1[],3,TRUE)</f>
        <v>North</v>
      </c>
      <c r="M178" s="1">
        <v>1</v>
      </c>
      <c r="N178" s="1">
        <v>333</v>
      </c>
      <c r="O178" s="12">
        <v>0.14000000000000001</v>
      </c>
      <c r="P178" s="1" t="s">
        <v>1819</v>
      </c>
      <c r="Q178" s="1">
        <v>286</v>
      </c>
      <c r="R178" s="1">
        <f>Salesdta[[#This Row],[Final Revenue]]-Salesdta[[#This Row],[Product cost]]</f>
        <v>-179</v>
      </c>
      <c r="S178" s="1" t="str">
        <f>IF(Salesdta[[#This Row],[Final Revenue]]&gt;1000,"Selected","Not Selected")</f>
        <v>Not Selected</v>
      </c>
    </row>
    <row r="179" spans="1:19" x14ac:dyDescent="0.35">
      <c r="A179" s="6" t="s">
        <v>1996</v>
      </c>
      <c r="B179" s="20">
        <v>45447</v>
      </c>
      <c r="C179" s="1" t="str">
        <f>TEXT(Salesdta[[#This Row],[Order_Date]],"mmmm")</f>
        <v>June</v>
      </c>
      <c r="D179" s="1" t="s">
        <v>785</v>
      </c>
      <c r="E179" s="1" t="str">
        <f>VLOOKUP(Salesdta[[#This Row],[Customer_ID]],Customer_Data_[],6,TRUE)</f>
        <v>Male</v>
      </c>
      <c r="F179" s="1" t="str">
        <f>VLOOKUP(Salesdta[[#This Row],[Customer_ID]],Customer_Data_[],8,TRUE)</f>
        <v>Arkansas</v>
      </c>
      <c r="G179" s="1" t="s">
        <v>1688</v>
      </c>
      <c r="H179" s="1" t="str">
        <f>VLOOKUP(Salesdta[[#This Row],[Product_ID]],Product_Data_1[],2,TRUE)</f>
        <v>Professional Jump Rope</v>
      </c>
      <c r="I179" s="1" t="str">
        <f>VLOOKUP(Salesdta[[#This Row],[Product_ID]],Product_Data_1[],3,TRUE)</f>
        <v>Sports</v>
      </c>
      <c r="J179" s="1">
        <f>VLOOKUP(Salesdta[[#This Row],[Product_ID]],Product_Data_1[],7,TRUE)</f>
        <v>478</v>
      </c>
      <c r="K179" s="1" t="s">
        <v>1753</v>
      </c>
      <c r="L179" s="1" t="str">
        <f>VLOOKUP(Salesdta[[#This Row],[Store_ID]],Store_Data_1[],3,TRUE)</f>
        <v>North</v>
      </c>
      <c r="M179" s="1">
        <v>4</v>
      </c>
      <c r="N179" s="1">
        <v>641</v>
      </c>
      <c r="O179" s="12">
        <v>0.11</v>
      </c>
      <c r="P179" s="1" t="s">
        <v>1822</v>
      </c>
      <c r="Q179" s="1">
        <v>2282</v>
      </c>
      <c r="R179" s="1">
        <f>Salesdta[[#This Row],[Final Revenue]]-Salesdta[[#This Row],[Product cost]]</f>
        <v>1804</v>
      </c>
      <c r="S179" s="1" t="str">
        <f>IF(Salesdta[[#This Row],[Final Revenue]]&gt;1000,"Selected","Not Selected")</f>
        <v>Selected</v>
      </c>
    </row>
    <row r="180" spans="1:19" x14ac:dyDescent="0.35">
      <c r="A180" s="6" t="s">
        <v>1997</v>
      </c>
      <c r="B180" s="20">
        <v>45754</v>
      </c>
      <c r="C180" s="1" t="str">
        <f>TEXT(Salesdta[[#This Row],[Order_Date]],"mmmm")</f>
        <v>April</v>
      </c>
      <c r="D180" s="1" t="s">
        <v>272</v>
      </c>
      <c r="E180" s="1" t="str">
        <f>VLOOKUP(Salesdta[[#This Row],[Customer_ID]],Customer_Data_[],6,TRUE)</f>
        <v>Female</v>
      </c>
      <c r="F180" s="1" t="str">
        <f>VLOOKUP(Salesdta[[#This Row],[Customer_ID]],Customer_Data_[],8,TRUE)</f>
        <v>California</v>
      </c>
      <c r="G180" s="1" t="s">
        <v>1576</v>
      </c>
      <c r="H180" s="1" t="str">
        <f>VLOOKUP(Salesdta[[#This Row],[Product_ID]],Product_Data_1[],2,TRUE)</f>
        <v>Beard Grooming Kit</v>
      </c>
      <c r="I180" s="1" t="str">
        <f>VLOOKUP(Salesdta[[#This Row],[Product_ID]],Product_Data_1[],3,TRUE)</f>
        <v>Beauty</v>
      </c>
      <c r="J180" s="1">
        <f>VLOOKUP(Salesdta[[#This Row],[Product_ID]],Product_Data_1[],7,TRUE)</f>
        <v>337</v>
      </c>
      <c r="K180" s="1" t="s">
        <v>1806</v>
      </c>
      <c r="L180" s="1" t="str">
        <f>VLOOKUP(Salesdta[[#This Row],[Store_ID]],Store_Data_1[],3,TRUE)</f>
        <v>North</v>
      </c>
      <c r="M180" s="1">
        <v>3</v>
      </c>
      <c r="N180" s="1">
        <v>435</v>
      </c>
      <c r="O180" s="12">
        <v>0.08</v>
      </c>
      <c r="P180" s="1" t="s">
        <v>1822</v>
      </c>
      <c r="Q180" s="1">
        <v>1199</v>
      </c>
      <c r="R180" s="1">
        <f>Salesdta[[#This Row],[Final Revenue]]-Salesdta[[#This Row],[Product cost]]</f>
        <v>862</v>
      </c>
      <c r="S180" s="1" t="str">
        <f>IF(Salesdta[[#This Row],[Final Revenue]]&gt;1000,"Selected","Not Selected")</f>
        <v>Selected</v>
      </c>
    </row>
    <row r="181" spans="1:19" x14ac:dyDescent="0.35">
      <c r="A181" s="6" t="s">
        <v>1998</v>
      </c>
      <c r="B181" s="20">
        <v>45729</v>
      </c>
      <c r="C181" s="1" t="str">
        <f>TEXT(Salesdta[[#This Row],[Order_Date]],"mmmm")</f>
        <v>March</v>
      </c>
      <c r="D181" s="1" t="s">
        <v>350</v>
      </c>
      <c r="E181" s="1" t="str">
        <f>VLOOKUP(Salesdta[[#This Row],[Customer_ID]],Customer_Data_[],6,TRUE)</f>
        <v>Male</v>
      </c>
      <c r="F181" s="1" t="str">
        <f>VLOOKUP(Salesdta[[#This Row],[Customer_ID]],Customer_Data_[],8,TRUE)</f>
        <v>Tennessee</v>
      </c>
      <c r="G181" s="1" t="s">
        <v>1596</v>
      </c>
      <c r="H181" s="1" t="str">
        <f>VLOOKUP(Salesdta[[#This Row],[Product_ID]],Product_Data_1[],2,TRUE)</f>
        <v>Wireless Bluetooth Speaker</v>
      </c>
      <c r="I181" s="1" t="str">
        <f>VLOOKUP(Salesdta[[#This Row],[Product_ID]],Product_Data_1[],3,TRUE)</f>
        <v>Electronics</v>
      </c>
      <c r="J181" s="1">
        <f>VLOOKUP(Salesdta[[#This Row],[Product_ID]],Product_Data_1[],7,TRUE)</f>
        <v>322</v>
      </c>
      <c r="K181" s="1" t="s">
        <v>1795</v>
      </c>
      <c r="L181" s="1" t="str">
        <f>VLOOKUP(Salesdta[[#This Row],[Store_ID]],Store_Data_1[],3,TRUE)</f>
        <v>North</v>
      </c>
      <c r="M181" s="1">
        <v>4</v>
      </c>
      <c r="N181" s="1">
        <v>652</v>
      </c>
      <c r="O181" s="12">
        <v>0.15</v>
      </c>
      <c r="P181" s="1" t="s">
        <v>1817</v>
      </c>
      <c r="Q181" s="1">
        <v>2218</v>
      </c>
      <c r="R181" s="1">
        <f>Salesdta[[#This Row],[Final Revenue]]-Salesdta[[#This Row],[Product cost]]</f>
        <v>1896</v>
      </c>
      <c r="S181" s="1" t="str">
        <f>IF(Salesdta[[#This Row],[Final Revenue]]&gt;1000,"Selected","Not Selected")</f>
        <v>Selected</v>
      </c>
    </row>
    <row r="182" spans="1:19" x14ac:dyDescent="0.35">
      <c r="A182" s="6" t="s">
        <v>1999</v>
      </c>
      <c r="B182" s="20">
        <v>45361</v>
      </c>
      <c r="C182" s="1" t="str">
        <f>TEXT(Salesdta[[#This Row],[Order_Date]],"mmmm")</f>
        <v>March</v>
      </c>
      <c r="D182" s="1" t="s">
        <v>1517</v>
      </c>
      <c r="E182" s="1" t="str">
        <f>VLOOKUP(Salesdta[[#This Row],[Customer_ID]],Customer_Data_[],6,TRUE)</f>
        <v>Female</v>
      </c>
      <c r="F182" s="1" t="str">
        <f>VLOOKUP(Salesdta[[#This Row],[Customer_ID]],Customer_Data_[],8,TRUE)</f>
        <v>Delaware</v>
      </c>
      <c r="G182" s="1" t="s">
        <v>1666</v>
      </c>
      <c r="H182" s="1" t="str">
        <f>VLOOKUP(Salesdta[[#This Row],[Product_ID]],Product_Data_1[],2,TRUE)</f>
        <v>Tennis Ball 3-Pack</v>
      </c>
      <c r="I182" s="1" t="str">
        <f>VLOOKUP(Salesdta[[#This Row],[Product_ID]],Product_Data_1[],3,TRUE)</f>
        <v>Sports</v>
      </c>
      <c r="J182" s="1">
        <f>VLOOKUP(Salesdta[[#This Row],[Product_ID]],Product_Data_1[],7,TRUE)</f>
        <v>103</v>
      </c>
      <c r="K182" s="1" t="s">
        <v>1797</v>
      </c>
      <c r="L182" s="1" t="str">
        <f>VLOOKUP(Salesdta[[#This Row],[Store_ID]],Store_Data_1[],3,TRUE)</f>
        <v>North</v>
      </c>
      <c r="M182" s="1">
        <v>4</v>
      </c>
      <c r="N182" s="1">
        <v>386</v>
      </c>
      <c r="O182" s="12">
        <v>0.03</v>
      </c>
      <c r="P182" s="1" t="s">
        <v>1819</v>
      </c>
      <c r="Q182" s="1">
        <v>1496</v>
      </c>
      <c r="R182" s="1">
        <f>Salesdta[[#This Row],[Final Revenue]]-Salesdta[[#This Row],[Product cost]]</f>
        <v>1393</v>
      </c>
      <c r="S182" s="1" t="str">
        <f>IF(Salesdta[[#This Row],[Final Revenue]]&gt;1000,"Selected","Not Selected")</f>
        <v>Selected</v>
      </c>
    </row>
    <row r="183" spans="1:19" x14ac:dyDescent="0.35">
      <c r="A183" s="6" t="s">
        <v>2000</v>
      </c>
      <c r="B183" s="20">
        <v>45915</v>
      </c>
      <c r="C183" s="1" t="str">
        <f>TEXT(Salesdta[[#This Row],[Order_Date]],"mmmm")</f>
        <v>September</v>
      </c>
      <c r="D183" s="1" t="s">
        <v>341</v>
      </c>
      <c r="E183" s="1" t="str">
        <f>VLOOKUP(Salesdta[[#This Row],[Customer_ID]],Customer_Data_[],6,TRUE)</f>
        <v>Female</v>
      </c>
      <c r="F183" s="1" t="str">
        <f>VLOOKUP(Salesdta[[#This Row],[Customer_ID]],Customer_Data_[],8,TRUE)</f>
        <v>Louisiana</v>
      </c>
      <c r="G183" s="1" t="s">
        <v>1674</v>
      </c>
      <c r="H183" s="1" t="str">
        <f>VLOOKUP(Salesdta[[#This Row],[Product_ID]],Product_Data_1[],2,TRUE)</f>
        <v>Adjustable Dumbbells 20kg</v>
      </c>
      <c r="I183" s="1" t="str">
        <f>VLOOKUP(Salesdta[[#This Row],[Product_ID]],Product_Data_1[],3,TRUE)</f>
        <v>Sports</v>
      </c>
      <c r="J183" s="1">
        <f>VLOOKUP(Salesdta[[#This Row],[Product_ID]],Product_Data_1[],7,TRUE)</f>
        <v>241</v>
      </c>
      <c r="K183" s="1" t="s">
        <v>1772</v>
      </c>
      <c r="L183" s="1" t="str">
        <f>VLOOKUP(Salesdta[[#This Row],[Store_ID]],Store_Data_1[],3,TRUE)</f>
        <v>East</v>
      </c>
      <c r="M183" s="1">
        <v>3</v>
      </c>
      <c r="N183" s="1">
        <v>548</v>
      </c>
      <c r="O183" s="12">
        <v>0.12</v>
      </c>
      <c r="P183" s="1" t="s">
        <v>1817</v>
      </c>
      <c r="Q183" s="1">
        <v>1447</v>
      </c>
      <c r="R183" s="1">
        <f>Salesdta[[#This Row],[Final Revenue]]-Salesdta[[#This Row],[Product cost]]</f>
        <v>1206</v>
      </c>
      <c r="S183" s="1" t="str">
        <f>IF(Salesdta[[#This Row],[Final Revenue]]&gt;1000,"Selected","Not Selected")</f>
        <v>Selected</v>
      </c>
    </row>
    <row r="184" spans="1:19" x14ac:dyDescent="0.35">
      <c r="A184" s="6" t="s">
        <v>2001</v>
      </c>
      <c r="B184" s="20">
        <v>45607</v>
      </c>
      <c r="C184" s="1" t="str">
        <f>TEXT(Salesdta[[#This Row],[Order_Date]],"mmmm")</f>
        <v>November</v>
      </c>
      <c r="D184" s="1" t="s">
        <v>252</v>
      </c>
      <c r="E184" s="1" t="str">
        <f>VLOOKUP(Salesdta[[#This Row],[Customer_ID]],Customer_Data_[],6,TRUE)</f>
        <v>Female</v>
      </c>
      <c r="F184" s="1" t="str">
        <f>VLOOKUP(Salesdta[[#This Row],[Customer_ID]],Customer_Data_[],8,TRUE)</f>
        <v>New Jersey</v>
      </c>
      <c r="G184" s="1" t="s">
        <v>1690</v>
      </c>
      <c r="H184" s="1" t="str">
        <f>VLOOKUP(Salesdta[[#This Row],[Product_ID]],Product_Data_1[],2,TRUE)</f>
        <v>Shin Guards – Adult</v>
      </c>
      <c r="I184" s="1" t="str">
        <f>VLOOKUP(Salesdta[[#This Row],[Product_ID]],Product_Data_1[],3,TRUE)</f>
        <v>Sports</v>
      </c>
      <c r="J184" s="1">
        <f>VLOOKUP(Salesdta[[#This Row],[Product_ID]],Product_Data_1[],7,TRUE)</f>
        <v>107</v>
      </c>
      <c r="K184" s="1" t="s">
        <v>1782</v>
      </c>
      <c r="L184" s="1" t="str">
        <f>VLOOKUP(Salesdta[[#This Row],[Store_ID]],Store_Data_1[],3,TRUE)</f>
        <v>South</v>
      </c>
      <c r="M184" s="1">
        <v>3</v>
      </c>
      <c r="N184" s="1">
        <v>928</v>
      </c>
      <c r="O184" s="12">
        <v>0.09</v>
      </c>
      <c r="P184" s="1" t="s">
        <v>1817</v>
      </c>
      <c r="Q184" s="1">
        <v>2532</v>
      </c>
      <c r="R184" s="1">
        <f>Salesdta[[#This Row],[Final Revenue]]-Salesdta[[#This Row],[Product cost]]</f>
        <v>2425</v>
      </c>
      <c r="S184" s="1" t="str">
        <f>IF(Salesdta[[#This Row],[Final Revenue]]&gt;1000,"Selected","Not Selected")</f>
        <v>Selected</v>
      </c>
    </row>
    <row r="185" spans="1:19" x14ac:dyDescent="0.35">
      <c r="A185" s="6" t="s">
        <v>2002</v>
      </c>
      <c r="B185" s="20">
        <v>45284</v>
      </c>
      <c r="C185" s="1" t="str">
        <f>TEXT(Salesdta[[#This Row],[Order_Date]],"mmmm")</f>
        <v>December</v>
      </c>
      <c r="D185" s="1" t="s">
        <v>375</v>
      </c>
      <c r="E185" s="1" t="str">
        <f>VLOOKUP(Salesdta[[#This Row],[Customer_ID]],Customer_Data_[],6,TRUE)</f>
        <v>Female</v>
      </c>
      <c r="F185" s="1" t="str">
        <f>VLOOKUP(Salesdta[[#This Row],[Customer_ID]],Customer_Data_[],8,TRUE)</f>
        <v>North Dakota</v>
      </c>
      <c r="G185" s="1" t="s">
        <v>1694</v>
      </c>
      <c r="H185" s="1" t="str">
        <f>VLOOKUP(Salesdta[[#This Row],[Product_ID]],Product_Data_1[],2,TRUE)</f>
        <v>Women's Ankle Boots</v>
      </c>
      <c r="I185" s="1" t="str">
        <f>VLOOKUP(Salesdta[[#This Row],[Product_ID]],Product_Data_1[],3,TRUE)</f>
        <v>Clothing</v>
      </c>
      <c r="J185" s="1">
        <f>VLOOKUP(Salesdta[[#This Row],[Product_ID]],Product_Data_1[],7,TRUE)</f>
        <v>158</v>
      </c>
      <c r="K185" s="1" t="s">
        <v>1762</v>
      </c>
      <c r="L185" s="1" t="str">
        <f>VLOOKUP(Salesdta[[#This Row],[Store_ID]],Store_Data_1[],3,TRUE)</f>
        <v>North</v>
      </c>
      <c r="M185" s="1">
        <v>2</v>
      </c>
      <c r="N185" s="1">
        <v>849</v>
      </c>
      <c r="O185" s="12">
        <v>0.04</v>
      </c>
      <c r="P185" s="1" t="s">
        <v>1819</v>
      </c>
      <c r="Q185" s="1">
        <v>1630</v>
      </c>
      <c r="R185" s="1">
        <f>Salesdta[[#This Row],[Final Revenue]]-Salesdta[[#This Row],[Product cost]]</f>
        <v>1472</v>
      </c>
      <c r="S185" s="1" t="str">
        <f>IF(Salesdta[[#This Row],[Final Revenue]]&gt;1000,"Selected","Not Selected")</f>
        <v>Selected</v>
      </c>
    </row>
    <row r="186" spans="1:19" x14ac:dyDescent="0.35">
      <c r="A186" s="6" t="s">
        <v>2003</v>
      </c>
      <c r="B186" s="20">
        <v>45676</v>
      </c>
      <c r="C186" s="1" t="str">
        <f>TEXT(Salesdta[[#This Row],[Order_Date]],"mmmm")</f>
        <v>January</v>
      </c>
      <c r="D186" s="1" t="s">
        <v>186</v>
      </c>
      <c r="E186" s="1" t="str">
        <f>VLOOKUP(Salesdta[[#This Row],[Customer_ID]],Customer_Data_[],6,TRUE)</f>
        <v>Female</v>
      </c>
      <c r="F186" s="1" t="str">
        <f>VLOOKUP(Salesdta[[#This Row],[Customer_ID]],Customer_Data_[],8,TRUE)</f>
        <v>Ohio</v>
      </c>
      <c r="G186" s="1" t="s">
        <v>1640</v>
      </c>
      <c r="H186" s="1" t="str">
        <f>VLOOKUP(Salesdta[[#This Row],[Product_ID]],Product_Data_1[],2,TRUE)</f>
        <v>Car Dashboard Phone Holder</v>
      </c>
      <c r="I186" s="1" t="str">
        <f>VLOOKUP(Salesdta[[#This Row],[Product_ID]],Product_Data_1[],3,TRUE)</f>
        <v>Electronics</v>
      </c>
      <c r="J186" s="1">
        <f>VLOOKUP(Salesdta[[#This Row],[Product_ID]],Product_Data_1[],7,TRUE)</f>
        <v>178</v>
      </c>
      <c r="K186" s="1" t="s">
        <v>1793</v>
      </c>
      <c r="L186" s="1" t="str">
        <f>VLOOKUP(Salesdta[[#This Row],[Store_ID]],Store_Data_1[],3,TRUE)</f>
        <v>North</v>
      </c>
      <c r="M186" s="1">
        <v>3</v>
      </c>
      <c r="N186" s="1">
        <v>450</v>
      </c>
      <c r="O186" s="12">
        <v>0.1</v>
      </c>
      <c r="P186" s="1" t="s">
        <v>1819</v>
      </c>
      <c r="Q186" s="1">
        <v>1215</v>
      </c>
      <c r="R186" s="1">
        <f>Salesdta[[#This Row],[Final Revenue]]-Salesdta[[#This Row],[Product cost]]</f>
        <v>1037</v>
      </c>
      <c r="S186" s="1" t="str">
        <f>IF(Salesdta[[#This Row],[Final Revenue]]&gt;1000,"Selected","Not Selected")</f>
        <v>Selected</v>
      </c>
    </row>
    <row r="187" spans="1:19" x14ac:dyDescent="0.35">
      <c r="A187" s="6" t="s">
        <v>2004</v>
      </c>
      <c r="B187" s="20">
        <v>45863</v>
      </c>
      <c r="C187" s="1" t="str">
        <f>TEXT(Salesdta[[#This Row],[Order_Date]],"mmmm")</f>
        <v>July</v>
      </c>
      <c r="D187" s="1" t="s">
        <v>872</v>
      </c>
      <c r="E187" s="1" t="str">
        <f>VLOOKUP(Salesdta[[#This Row],[Customer_ID]],Customer_Data_[],6,TRUE)</f>
        <v>Male</v>
      </c>
      <c r="F187" s="1" t="str">
        <f>VLOOKUP(Salesdta[[#This Row],[Customer_ID]],Customer_Data_[],8,TRUE)</f>
        <v>Kentucky</v>
      </c>
      <c r="G187" s="1" t="s">
        <v>1682</v>
      </c>
      <c r="H187" s="1" t="str">
        <f>VLOOKUP(Salesdta[[#This Row],[Product_ID]],Product_Data_1[],2,TRUE)</f>
        <v>Men's Sports Shorts</v>
      </c>
      <c r="I187" s="1" t="str">
        <f>VLOOKUP(Salesdta[[#This Row],[Product_ID]],Product_Data_1[],3,TRUE)</f>
        <v>Clothing</v>
      </c>
      <c r="J187" s="1">
        <f>VLOOKUP(Salesdta[[#This Row],[Product_ID]],Product_Data_1[],7,TRUE)</f>
        <v>218</v>
      </c>
      <c r="K187" s="1" t="s">
        <v>1790</v>
      </c>
      <c r="L187" s="1" t="str">
        <f>VLOOKUP(Salesdta[[#This Row],[Store_ID]],Store_Data_1[],3,TRUE)</f>
        <v>North</v>
      </c>
      <c r="M187" s="1">
        <v>4</v>
      </c>
      <c r="N187" s="1">
        <v>384</v>
      </c>
      <c r="O187" s="12">
        <v>0.01</v>
      </c>
      <c r="P187" s="1" t="s">
        <v>1817</v>
      </c>
      <c r="Q187" s="1">
        <v>1520</v>
      </c>
      <c r="R187" s="1">
        <f>Salesdta[[#This Row],[Final Revenue]]-Salesdta[[#This Row],[Product cost]]</f>
        <v>1302</v>
      </c>
      <c r="S187" s="1" t="str">
        <f>IF(Salesdta[[#This Row],[Final Revenue]]&gt;1000,"Selected","Not Selected")</f>
        <v>Selected</v>
      </c>
    </row>
    <row r="188" spans="1:19" x14ac:dyDescent="0.35">
      <c r="A188" s="6" t="s">
        <v>2005</v>
      </c>
      <c r="B188" s="20">
        <v>45809</v>
      </c>
      <c r="C188" s="1" t="str">
        <f>TEXT(Salesdta[[#This Row],[Order_Date]],"mmmm")</f>
        <v>June</v>
      </c>
      <c r="D188" s="1" t="s">
        <v>559</v>
      </c>
      <c r="E188" s="1" t="str">
        <f>VLOOKUP(Salesdta[[#This Row],[Customer_ID]],Customer_Data_[],6,TRUE)</f>
        <v>Male</v>
      </c>
      <c r="F188" s="1" t="str">
        <f>VLOOKUP(Salesdta[[#This Row],[Customer_ID]],Customer_Data_[],8,TRUE)</f>
        <v>New Hampshire</v>
      </c>
      <c r="G188" s="1" t="s">
        <v>1578</v>
      </c>
      <c r="H188" s="1" t="str">
        <f>VLOOKUP(Salesdta[[#This Row],[Product_ID]],Product_Data_1[],2,TRUE)</f>
        <v>Soccer Training Cone Set</v>
      </c>
      <c r="I188" s="1" t="str">
        <f>VLOOKUP(Salesdta[[#This Row],[Product_ID]],Product_Data_1[],3,TRUE)</f>
        <v>Sports</v>
      </c>
      <c r="J188" s="1">
        <f>VLOOKUP(Salesdta[[#This Row],[Product_ID]],Product_Data_1[],7,TRUE)</f>
        <v>145</v>
      </c>
      <c r="K188" s="1" t="s">
        <v>1748</v>
      </c>
      <c r="L188" s="1" t="str">
        <f>VLOOKUP(Salesdta[[#This Row],[Store_ID]],Store_Data_1[],3,TRUE)</f>
        <v>East</v>
      </c>
      <c r="M188" s="1">
        <v>4</v>
      </c>
      <c r="N188" s="1">
        <v>470</v>
      </c>
      <c r="O188" s="12">
        <v>0.19</v>
      </c>
      <c r="P188" s="1" t="s">
        <v>1817</v>
      </c>
      <c r="Q188" s="1">
        <v>1522</v>
      </c>
      <c r="R188" s="1">
        <f>Salesdta[[#This Row],[Final Revenue]]-Salesdta[[#This Row],[Product cost]]</f>
        <v>1377</v>
      </c>
      <c r="S188" s="1" t="str">
        <f>IF(Salesdta[[#This Row],[Final Revenue]]&gt;1000,"Selected","Not Selected")</f>
        <v>Selected</v>
      </c>
    </row>
    <row r="189" spans="1:19" x14ac:dyDescent="0.35">
      <c r="A189" s="6" t="s">
        <v>2006</v>
      </c>
      <c r="B189" s="20">
        <v>45559</v>
      </c>
      <c r="C189" s="1" t="str">
        <f>TEXT(Salesdta[[#This Row],[Order_Date]],"mmmm")</f>
        <v>September</v>
      </c>
      <c r="D189" s="1" t="s">
        <v>1514</v>
      </c>
      <c r="E189" s="1" t="str">
        <f>VLOOKUP(Salesdta[[#This Row],[Customer_ID]],Customer_Data_[],6,TRUE)</f>
        <v>Male</v>
      </c>
      <c r="F189" s="1" t="str">
        <f>VLOOKUP(Salesdta[[#This Row],[Customer_ID]],Customer_Data_[],8,TRUE)</f>
        <v>Texas</v>
      </c>
      <c r="G189" s="1" t="s">
        <v>1600</v>
      </c>
      <c r="H189" s="1" t="str">
        <f>VLOOKUP(Salesdta[[#This Row],[Product_ID]],Product_Data_1[],2,TRUE)</f>
        <v>Sports Stopwatch Timer</v>
      </c>
      <c r="I189" s="1" t="str">
        <f>VLOOKUP(Salesdta[[#This Row],[Product_ID]],Product_Data_1[],3,TRUE)</f>
        <v>Sports</v>
      </c>
      <c r="J189" s="1">
        <f>VLOOKUP(Salesdta[[#This Row],[Product_ID]],Product_Data_1[],7,TRUE)</f>
        <v>39</v>
      </c>
      <c r="K189" s="1" t="s">
        <v>1803</v>
      </c>
      <c r="L189" s="1" t="str">
        <f>VLOOKUP(Salesdta[[#This Row],[Store_ID]],Store_Data_1[],3,TRUE)</f>
        <v>North</v>
      </c>
      <c r="M189" s="1">
        <v>4</v>
      </c>
      <c r="N189" s="1">
        <v>321</v>
      </c>
      <c r="O189" s="12">
        <v>0.2</v>
      </c>
      <c r="P189" s="1" t="s">
        <v>1822</v>
      </c>
      <c r="Q189" s="1">
        <v>1026</v>
      </c>
      <c r="R189" s="1">
        <f>Salesdta[[#This Row],[Final Revenue]]-Salesdta[[#This Row],[Product cost]]</f>
        <v>987</v>
      </c>
      <c r="S189" s="1" t="str">
        <f>IF(Salesdta[[#This Row],[Final Revenue]]&gt;1000,"Selected","Not Selected")</f>
        <v>Selected</v>
      </c>
    </row>
    <row r="190" spans="1:19" x14ac:dyDescent="0.35">
      <c r="A190" s="6" t="s">
        <v>2007</v>
      </c>
      <c r="B190" s="20">
        <v>45861</v>
      </c>
      <c r="C190" s="1" t="str">
        <f>TEXT(Salesdta[[#This Row],[Order_Date]],"mmmm")</f>
        <v>July</v>
      </c>
      <c r="D190" s="1" t="s">
        <v>699</v>
      </c>
      <c r="E190" s="1" t="str">
        <f>VLOOKUP(Salesdta[[#This Row],[Customer_ID]],Customer_Data_[],6,TRUE)</f>
        <v>Male</v>
      </c>
      <c r="F190" s="1" t="str">
        <f>VLOOKUP(Salesdta[[#This Row],[Customer_ID]],Customer_Data_[],8,TRUE)</f>
        <v>California</v>
      </c>
      <c r="G190" s="1" t="s">
        <v>1716</v>
      </c>
      <c r="H190" s="1" t="str">
        <f>VLOOKUP(Salesdta[[#This Row],[Product_ID]],Product_Data_1[],2,TRUE)</f>
        <v>Kitchen Cutting Board</v>
      </c>
      <c r="I190" s="1" t="str">
        <f>VLOOKUP(Salesdta[[#This Row],[Product_ID]],Product_Data_1[],3,TRUE)</f>
        <v>Home</v>
      </c>
      <c r="J190" s="1">
        <f>VLOOKUP(Salesdta[[#This Row],[Product_ID]],Product_Data_1[],7,TRUE)</f>
        <v>176</v>
      </c>
      <c r="K190" s="1" t="s">
        <v>1778</v>
      </c>
      <c r="L190" s="1" t="str">
        <f>VLOOKUP(Salesdta[[#This Row],[Store_ID]],Store_Data_1[],3,TRUE)</f>
        <v>West</v>
      </c>
      <c r="M190" s="1">
        <v>3</v>
      </c>
      <c r="N190" s="1">
        <v>92</v>
      </c>
      <c r="O190" s="12">
        <v>0.08</v>
      </c>
      <c r="P190" s="1" t="s">
        <v>1822</v>
      </c>
      <c r="Q190" s="1">
        <v>253</v>
      </c>
      <c r="R190" s="1">
        <f>Salesdta[[#This Row],[Final Revenue]]-Salesdta[[#This Row],[Product cost]]</f>
        <v>77</v>
      </c>
      <c r="S190" s="1" t="str">
        <f>IF(Salesdta[[#This Row],[Final Revenue]]&gt;1000,"Selected","Not Selected")</f>
        <v>Not Selected</v>
      </c>
    </row>
    <row r="191" spans="1:19" x14ac:dyDescent="0.35">
      <c r="A191" s="6" t="s">
        <v>2008</v>
      </c>
      <c r="B191" s="20">
        <v>45917</v>
      </c>
      <c r="C191" s="1" t="str">
        <f>TEXT(Salesdta[[#This Row],[Order_Date]],"mmmm")</f>
        <v>September</v>
      </c>
      <c r="D191" s="1" t="s">
        <v>125</v>
      </c>
      <c r="E191" s="1" t="str">
        <f>VLOOKUP(Salesdta[[#This Row],[Customer_ID]],Customer_Data_[],6,TRUE)</f>
        <v>Male</v>
      </c>
      <c r="F191" s="1" t="str">
        <f>VLOOKUP(Salesdta[[#This Row],[Customer_ID]],Customer_Data_[],8,TRUE)</f>
        <v>Oregon</v>
      </c>
      <c r="G191" s="1" t="s">
        <v>1668</v>
      </c>
      <c r="H191" s="1" t="str">
        <f>VLOOKUP(Salesdta[[#This Row],[Product_ID]],Product_Data_1[],2,TRUE)</f>
        <v>Laptop Cooling Pad</v>
      </c>
      <c r="I191" s="1" t="str">
        <f>VLOOKUP(Salesdta[[#This Row],[Product_ID]],Product_Data_1[],3,TRUE)</f>
        <v>Electronics</v>
      </c>
      <c r="J191" s="1">
        <f>VLOOKUP(Salesdta[[#This Row],[Product_ID]],Product_Data_1[],7,TRUE)</f>
        <v>86</v>
      </c>
      <c r="K191" s="1" t="s">
        <v>1790</v>
      </c>
      <c r="L191" s="1" t="str">
        <f>VLOOKUP(Salesdta[[#This Row],[Store_ID]],Store_Data_1[],3,TRUE)</f>
        <v>North</v>
      </c>
      <c r="M191" s="1">
        <v>3</v>
      </c>
      <c r="N191" s="1">
        <v>741</v>
      </c>
      <c r="O191" s="12">
        <v>0.03</v>
      </c>
      <c r="P191" s="1" t="s">
        <v>1817</v>
      </c>
      <c r="Q191" s="1">
        <v>2157</v>
      </c>
      <c r="R191" s="1">
        <f>Salesdta[[#This Row],[Final Revenue]]-Salesdta[[#This Row],[Product cost]]</f>
        <v>2071</v>
      </c>
      <c r="S191" s="1" t="str">
        <f>IF(Salesdta[[#This Row],[Final Revenue]]&gt;1000,"Selected","Not Selected")</f>
        <v>Selected</v>
      </c>
    </row>
    <row r="192" spans="1:19" x14ac:dyDescent="0.35">
      <c r="A192" s="6" t="s">
        <v>2009</v>
      </c>
      <c r="B192" s="20">
        <v>45480</v>
      </c>
      <c r="C192" s="1" t="str">
        <f>TEXT(Salesdta[[#This Row],[Order_Date]],"mmmm")</f>
        <v>July</v>
      </c>
      <c r="D192" s="1" t="s">
        <v>1136</v>
      </c>
      <c r="E192" s="1" t="str">
        <f>VLOOKUP(Salesdta[[#This Row],[Customer_ID]],Customer_Data_[],6,TRUE)</f>
        <v>Male</v>
      </c>
      <c r="F192" s="1" t="str">
        <f>VLOOKUP(Salesdta[[#This Row],[Customer_ID]],Customer_Data_[],8,TRUE)</f>
        <v>Arizona</v>
      </c>
      <c r="G192" s="1" t="s">
        <v>1674</v>
      </c>
      <c r="H192" s="1" t="str">
        <f>VLOOKUP(Salesdta[[#This Row],[Product_ID]],Product_Data_1[],2,TRUE)</f>
        <v>Adjustable Dumbbells 20kg</v>
      </c>
      <c r="I192" s="1" t="str">
        <f>VLOOKUP(Salesdta[[#This Row],[Product_ID]],Product_Data_1[],3,TRUE)</f>
        <v>Sports</v>
      </c>
      <c r="J192" s="1">
        <f>VLOOKUP(Salesdta[[#This Row],[Product_ID]],Product_Data_1[],7,TRUE)</f>
        <v>241</v>
      </c>
      <c r="K192" s="1" t="s">
        <v>1788</v>
      </c>
      <c r="L192" s="1" t="str">
        <f>VLOOKUP(Salesdta[[#This Row],[Store_ID]],Store_Data_1[],3,TRUE)</f>
        <v>North</v>
      </c>
      <c r="M192" s="1">
        <v>2</v>
      </c>
      <c r="N192" s="1">
        <v>704</v>
      </c>
      <c r="O192" s="12">
        <v>0.03</v>
      </c>
      <c r="P192" s="1" t="s">
        <v>1817</v>
      </c>
      <c r="Q192" s="1">
        <v>1366</v>
      </c>
      <c r="R192" s="1">
        <f>Salesdta[[#This Row],[Final Revenue]]-Salesdta[[#This Row],[Product cost]]</f>
        <v>1125</v>
      </c>
      <c r="S192" s="1" t="str">
        <f>IF(Salesdta[[#This Row],[Final Revenue]]&gt;1000,"Selected","Not Selected")</f>
        <v>Selected</v>
      </c>
    </row>
    <row r="193" spans="1:19" x14ac:dyDescent="0.35">
      <c r="A193" s="6" t="s">
        <v>2010</v>
      </c>
      <c r="B193" s="20">
        <v>45349</v>
      </c>
      <c r="C193" s="1" t="str">
        <f>TEXT(Salesdta[[#This Row],[Order_Date]],"mmmm")</f>
        <v>February</v>
      </c>
      <c r="D193" s="1" t="s">
        <v>1424</v>
      </c>
      <c r="E193" s="1" t="str">
        <f>VLOOKUP(Salesdta[[#This Row],[Customer_ID]],Customer_Data_[],6,TRUE)</f>
        <v>Female</v>
      </c>
      <c r="F193" s="1" t="str">
        <f>VLOOKUP(Salesdta[[#This Row],[Customer_ID]],Customer_Data_[],8,TRUE)</f>
        <v>Connecticut</v>
      </c>
      <c r="G193" s="1" t="s">
        <v>1558</v>
      </c>
      <c r="H193" s="1" t="str">
        <f>VLOOKUP(Salesdta[[#This Row],[Product_ID]],Product_Data_1[],2,TRUE)</f>
        <v>Decorative Lamp Shade</v>
      </c>
      <c r="I193" s="1" t="str">
        <f>VLOOKUP(Salesdta[[#This Row],[Product_ID]],Product_Data_1[],3,TRUE)</f>
        <v>Home</v>
      </c>
      <c r="J193" s="1">
        <f>VLOOKUP(Salesdta[[#This Row],[Product_ID]],Product_Data_1[],7,TRUE)</f>
        <v>229</v>
      </c>
      <c r="K193" s="1" t="s">
        <v>1775</v>
      </c>
      <c r="L193" s="1" t="str">
        <f>VLOOKUP(Salesdta[[#This Row],[Store_ID]],Store_Data_1[],3,TRUE)</f>
        <v>South</v>
      </c>
      <c r="M193" s="1">
        <v>2</v>
      </c>
      <c r="N193" s="1">
        <v>377</v>
      </c>
      <c r="O193" s="12">
        <v>0.15</v>
      </c>
      <c r="P193" s="1" t="s">
        <v>1819</v>
      </c>
      <c r="Q193" s="1">
        <v>641</v>
      </c>
      <c r="R193" s="1">
        <f>Salesdta[[#This Row],[Final Revenue]]-Salesdta[[#This Row],[Product cost]]</f>
        <v>412</v>
      </c>
      <c r="S193" s="1" t="str">
        <f>IF(Salesdta[[#This Row],[Final Revenue]]&gt;1000,"Selected","Not Selected")</f>
        <v>Not Selected</v>
      </c>
    </row>
    <row r="194" spans="1:19" x14ac:dyDescent="0.35">
      <c r="A194" s="6" t="s">
        <v>2011</v>
      </c>
      <c r="B194" s="20">
        <v>45768</v>
      </c>
      <c r="C194" s="1" t="str">
        <f>TEXT(Salesdta[[#This Row],[Order_Date]],"mmmm")</f>
        <v>April</v>
      </c>
      <c r="D194" s="1" t="s">
        <v>298</v>
      </c>
      <c r="E194" s="1" t="str">
        <f>VLOOKUP(Salesdta[[#This Row],[Customer_ID]],Customer_Data_[],6,TRUE)</f>
        <v>Female</v>
      </c>
      <c r="F194" s="1" t="str">
        <f>VLOOKUP(Salesdta[[#This Row],[Customer_ID]],Customer_Data_[],8,TRUE)</f>
        <v>Georgia</v>
      </c>
      <c r="G194" s="1" t="s">
        <v>1634</v>
      </c>
      <c r="H194" s="1" t="str">
        <f>VLOOKUP(Salesdta[[#This Row],[Product_ID]],Product_Data_1[],2,TRUE)</f>
        <v>High-Grip Football</v>
      </c>
      <c r="I194" s="1" t="str">
        <f>VLOOKUP(Salesdta[[#This Row],[Product_ID]],Product_Data_1[],3,TRUE)</f>
        <v>Sports</v>
      </c>
      <c r="J194" s="1">
        <f>VLOOKUP(Salesdta[[#This Row],[Product_ID]],Product_Data_1[],7,TRUE)</f>
        <v>319</v>
      </c>
      <c r="K194" s="1" t="s">
        <v>1782</v>
      </c>
      <c r="L194" s="1" t="str">
        <f>VLOOKUP(Salesdta[[#This Row],[Store_ID]],Store_Data_1[],3,TRUE)</f>
        <v>South</v>
      </c>
      <c r="M194" s="1">
        <v>3</v>
      </c>
      <c r="N194" s="1">
        <v>499</v>
      </c>
      <c r="O194" s="12">
        <v>0.05</v>
      </c>
      <c r="P194" s="1" t="s">
        <v>1819</v>
      </c>
      <c r="Q194" s="1">
        <v>1422</v>
      </c>
      <c r="R194" s="1">
        <f>Salesdta[[#This Row],[Final Revenue]]-Salesdta[[#This Row],[Product cost]]</f>
        <v>1103</v>
      </c>
      <c r="S194" s="1" t="str">
        <f>IF(Salesdta[[#This Row],[Final Revenue]]&gt;1000,"Selected","Not Selected")</f>
        <v>Selected</v>
      </c>
    </row>
    <row r="195" spans="1:19" x14ac:dyDescent="0.35">
      <c r="A195" s="6" t="s">
        <v>2012</v>
      </c>
      <c r="B195" s="20">
        <v>45606</v>
      </c>
      <c r="C195" s="1" t="str">
        <f>TEXT(Salesdta[[#This Row],[Order_Date]],"mmmm")</f>
        <v>November</v>
      </c>
      <c r="D195" s="1" t="s">
        <v>98</v>
      </c>
      <c r="E195" s="1" t="str">
        <f>VLOOKUP(Salesdta[[#This Row],[Customer_ID]],Customer_Data_[],6,TRUE)</f>
        <v>Female</v>
      </c>
      <c r="F195" s="1" t="str">
        <f>VLOOKUP(Salesdta[[#This Row],[Customer_ID]],Customer_Data_[],8,TRUE)</f>
        <v>Oregon</v>
      </c>
      <c r="G195" s="1" t="s">
        <v>1680</v>
      </c>
      <c r="H195" s="1" t="str">
        <f>VLOOKUP(Salesdta[[#This Row],[Product_ID]],Product_Data_1[],2,TRUE)</f>
        <v>Wooden Nightstand</v>
      </c>
      <c r="I195" s="1" t="str">
        <f>VLOOKUP(Salesdta[[#This Row],[Product_ID]],Product_Data_1[],3,TRUE)</f>
        <v>Home</v>
      </c>
      <c r="J195" s="1">
        <f>VLOOKUP(Salesdta[[#This Row],[Product_ID]],Product_Data_1[],7,TRUE)</f>
        <v>244</v>
      </c>
      <c r="K195" s="1" t="s">
        <v>1762</v>
      </c>
      <c r="L195" s="1" t="str">
        <f>VLOOKUP(Salesdta[[#This Row],[Store_ID]],Store_Data_1[],3,TRUE)</f>
        <v>North</v>
      </c>
      <c r="M195" s="1">
        <v>2</v>
      </c>
      <c r="N195" s="1">
        <v>895</v>
      </c>
      <c r="O195" s="12">
        <v>0.25</v>
      </c>
      <c r="P195" s="1" t="s">
        <v>1817</v>
      </c>
      <c r="Q195" s="1">
        <v>1342</v>
      </c>
      <c r="R195" s="1">
        <f>Salesdta[[#This Row],[Final Revenue]]-Salesdta[[#This Row],[Product cost]]</f>
        <v>1098</v>
      </c>
      <c r="S195" s="1" t="str">
        <f>IF(Salesdta[[#This Row],[Final Revenue]]&gt;1000,"Selected","Not Selected")</f>
        <v>Selected</v>
      </c>
    </row>
    <row r="196" spans="1:19" x14ac:dyDescent="0.35">
      <c r="A196" s="6" t="s">
        <v>2013</v>
      </c>
      <c r="B196" s="20">
        <v>45925</v>
      </c>
      <c r="C196" s="1" t="str">
        <f>TEXT(Salesdta[[#This Row],[Order_Date]],"mmmm")</f>
        <v>September</v>
      </c>
      <c r="D196" s="1" t="s">
        <v>1385</v>
      </c>
      <c r="E196" s="1" t="str">
        <f>VLOOKUP(Salesdta[[#This Row],[Customer_ID]],Customer_Data_[],6,TRUE)</f>
        <v>Male</v>
      </c>
      <c r="F196" s="1" t="str">
        <f>VLOOKUP(Salesdta[[#This Row],[Customer_ID]],Customer_Data_[],8,TRUE)</f>
        <v>Ohio</v>
      </c>
      <c r="G196" s="1" t="s">
        <v>1740</v>
      </c>
      <c r="H196" s="1" t="str">
        <f>VLOOKUP(Salesdta[[#This Row],[Product_ID]],Product_Data_1[],2,TRUE)</f>
        <v>Portable Bluetooth Speaker</v>
      </c>
      <c r="I196" s="1" t="str">
        <f>VLOOKUP(Salesdta[[#This Row],[Product_ID]],Product_Data_1[],3,TRUE)</f>
        <v>Electronics</v>
      </c>
      <c r="J196" s="1">
        <f>VLOOKUP(Salesdta[[#This Row],[Product_ID]],Product_Data_1[],7,TRUE)</f>
        <v>432</v>
      </c>
      <c r="K196" s="1" t="s">
        <v>1809</v>
      </c>
      <c r="L196" s="1" t="str">
        <f>VLOOKUP(Salesdta[[#This Row],[Store_ID]],Store_Data_1[],3,TRUE)</f>
        <v>North</v>
      </c>
      <c r="M196" s="1">
        <v>1</v>
      </c>
      <c r="N196" s="1">
        <v>550</v>
      </c>
      <c r="O196" s="12">
        <v>0.1</v>
      </c>
      <c r="P196" s="1" t="s">
        <v>1819</v>
      </c>
      <c r="Q196" s="1">
        <v>495</v>
      </c>
      <c r="R196" s="1">
        <f>Salesdta[[#This Row],[Final Revenue]]-Salesdta[[#This Row],[Product cost]]</f>
        <v>63</v>
      </c>
      <c r="S196" s="1" t="str">
        <f>IF(Salesdta[[#This Row],[Final Revenue]]&gt;1000,"Selected","Not Selected")</f>
        <v>Not Selected</v>
      </c>
    </row>
    <row r="197" spans="1:19" x14ac:dyDescent="0.35">
      <c r="A197" s="6" t="s">
        <v>2014</v>
      </c>
      <c r="B197" s="20">
        <v>45876</v>
      </c>
      <c r="C197" s="1" t="str">
        <f>TEXT(Salesdta[[#This Row],[Order_Date]],"mmmm")</f>
        <v>August</v>
      </c>
      <c r="D197" s="1" t="s">
        <v>767</v>
      </c>
      <c r="E197" s="1" t="str">
        <f>VLOOKUP(Salesdta[[#This Row],[Customer_ID]],Customer_Data_[],6,TRUE)</f>
        <v>Female</v>
      </c>
      <c r="F197" s="1" t="str">
        <f>VLOOKUP(Salesdta[[#This Row],[Customer_ID]],Customer_Data_[],8,TRUE)</f>
        <v>Michigan</v>
      </c>
      <c r="G197" s="1" t="s">
        <v>1728</v>
      </c>
      <c r="H197" s="1" t="str">
        <f>VLOOKUP(Salesdta[[#This Row],[Product_ID]],Product_Data_1[],2,TRUE)</f>
        <v>Microwave Oven</v>
      </c>
      <c r="I197" s="1" t="str">
        <f>VLOOKUP(Salesdta[[#This Row],[Product_ID]],Product_Data_1[],3,TRUE)</f>
        <v>Home</v>
      </c>
      <c r="J197" s="1">
        <f>VLOOKUP(Salesdta[[#This Row],[Product_ID]],Product_Data_1[],7,TRUE)</f>
        <v>447</v>
      </c>
      <c r="K197" s="1" t="s">
        <v>1806</v>
      </c>
      <c r="L197" s="1" t="str">
        <f>VLOOKUP(Salesdta[[#This Row],[Store_ID]],Store_Data_1[],3,TRUE)</f>
        <v>North</v>
      </c>
      <c r="M197" s="1">
        <v>2</v>
      </c>
      <c r="N197" s="1">
        <v>240</v>
      </c>
      <c r="O197" s="12">
        <v>0.16</v>
      </c>
      <c r="P197" s="1" t="s">
        <v>1817</v>
      </c>
      <c r="Q197" s="1">
        <v>403</v>
      </c>
      <c r="R197" s="1">
        <f>Salesdta[[#This Row],[Final Revenue]]-Salesdta[[#This Row],[Product cost]]</f>
        <v>-44</v>
      </c>
      <c r="S197" s="1" t="str">
        <f>IF(Salesdta[[#This Row],[Final Revenue]]&gt;1000,"Selected","Not Selected")</f>
        <v>Not Selected</v>
      </c>
    </row>
    <row r="198" spans="1:19" x14ac:dyDescent="0.35">
      <c r="A198" s="6" t="s">
        <v>2015</v>
      </c>
      <c r="B198" s="20">
        <v>45338</v>
      </c>
      <c r="C198" s="1" t="str">
        <f>TEXT(Salesdta[[#This Row],[Order_Date]],"mmmm")</f>
        <v>February</v>
      </c>
      <c r="D198" s="1" t="s">
        <v>295</v>
      </c>
      <c r="E198" s="1" t="str">
        <f>VLOOKUP(Salesdta[[#This Row],[Customer_ID]],Customer_Data_[],6,TRUE)</f>
        <v>Male</v>
      </c>
      <c r="F198" s="1" t="str">
        <f>VLOOKUP(Salesdta[[#This Row],[Customer_ID]],Customer_Data_[],8,TRUE)</f>
        <v>Florida</v>
      </c>
      <c r="G198" s="1" t="s">
        <v>1728</v>
      </c>
      <c r="H198" s="1" t="str">
        <f>VLOOKUP(Salesdta[[#This Row],[Product_ID]],Product_Data_1[],2,TRUE)</f>
        <v>Microwave Oven</v>
      </c>
      <c r="I198" s="1" t="str">
        <f>VLOOKUP(Salesdta[[#This Row],[Product_ID]],Product_Data_1[],3,TRUE)</f>
        <v>Home</v>
      </c>
      <c r="J198" s="1">
        <f>VLOOKUP(Salesdta[[#This Row],[Product_ID]],Product_Data_1[],7,TRUE)</f>
        <v>447</v>
      </c>
      <c r="K198" s="1" t="s">
        <v>1772</v>
      </c>
      <c r="L198" s="1" t="str">
        <f>VLOOKUP(Salesdta[[#This Row],[Store_ID]],Store_Data_1[],3,TRUE)</f>
        <v>East</v>
      </c>
      <c r="M198" s="1">
        <v>2</v>
      </c>
      <c r="N198" s="1">
        <v>878</v>
      </c>
      <c r="O198" s="12">
        <v>0.11</v>
      </c>
      <c r="P198" s="1" t="s">
        <v>1819</v>
      </c>
      <c r="Q198" s="1">
        <v>1563</v>
      </c>
      <c r="R198" s="1">
        <f>Salesdta[[#This Row],[Final Revenue]]-Salesdta[[#This Row],[Product cost]]</f>
        <v>1116</v>
      </c>
      <c r="S198" s="1" t="str">
        <f>IF(Salesdta[[#This Row],[Final Revenue]]&gt;1000,"Selected","Not Selected")</f>
        <v>Selected</v>
      </c>
    </row>
    <row r="199" spans="1:19" x14ac:dyDescent="0.35">
      <c r="A199" s="6" t="s">
        <v>2016</v>
      </c>
      <c r="B199" s="20">
        <v>45746</v>
      </c>
      <c r="C199" s="1" t="str">
        <f>TEXT(Salesdta[[#This Row],[Order_Date]],"mmmm")</f>
        <v>March</v>
      </c>
      <c r="D199" s="1" t="s">
        <v>170</v>
      </c>
      <c r="E199" s="1" t="str">
        <f>VLOOKUP(Salesdta[[#This Row],[Customer_ID]],Customer_Data_[],6,TRUE)</f>
        <v>Male</v>
      </c>
      <c r="F199" s="1" t="str">
        <f>VLOOKUP(Salesdta[[#This Row],[Customer_ID]],Customer_Data_[],8,TRUE)</f>
        <v>Hawaii</v>
      </c>
      <c r="G199" s="1" t="s">
        <v>1542</v>
      </c>
      <c r="H199" s="1" t="str">
        <f>VLOOKUP(Salesdta[[#This Row],[Product_ID]],Product_Data_1[],2,TRUE)</f>
        <v>Men's Graphic T-Shirt</v>
      </c>
      <c r="I199" s="1" t="str">
        <f>VLOOKUP(Salesdta[[#This Row],[Product_ID]],Product_Data_1[],3,TRUE)</f>
        <v>Clothing</v>
      </c>
      <c r="J199" s="1">
        <f>VLOOKUP(Salesdta[[#This Row],[Product_ID]],Product_Data_1[],7,TRUE)</f>
        <v>343</v>
      </c>
      <c r="K199" s="1" t="s">
        <v>1782</v>
      </c>
      <c r="L199" s="1" t="str">
        <f>VLOOKUP(Salesdta[[#This Row],[Store_ID]],Store_Data_1[],3,TRUE)</f>
        <v>South</v>
      </c>
      <c r="M199" s="1">
        <v>3</v>
      </c>
      <c r="N199" s="1">
        <v>547</v>
      </c>
      <c r="O199" s="12">
        <v>0.19</v>
      </c>
      <c r="P199" s="1" t="s">
        <v>1817</v>
      </c>
      <c r="Q199" s="1">
        <v>1329</v>
      </c>
      <c r="R199" s="1">
        <f>Salesdta[[#This Row],[Final Revenue]]-Salesdta[[#This Row],[Product cost]]</f>
        <v>986</v>
      </c>
      <c r="S199" s="1" t="str">
        <f>IF(Salesdta[[#This Row],[Final Revenue]]&gt;1000,"Selected","Not Selected")</f>
        <v>Selected</v>
      </c>
    </row>
    <row r="200" spans="1:19" x14ac:dyDescent="0.35">
      <c r="A200" s="6" t="s">
        <v>2017</v>
      </c>
      <c r="B200" s="20">
        <v>45706</v>
      </c>
      <c r="C200" s="1" t="str">
        <f>TEXT(Salesdta[[#This Row],[Order_Date]],"mmmm")</f>
        <v>February</v>
      </c>
      <c r="D200" s="1" t="s">
        <v>1448</v>
      </c>
      <c r="E200" s="1" t="str">
        <f>VLOOKUP(Salesdta[[#This Row],[Customer_ID]],Customer_Data_[],6,TRUE)</f>
        <v>Male</v>
      </c>
      <c r="F200" s="1" t="str">
        <f>VLOOKUP(Salesdta[[#This Row],[Customer_ID]],Customer_Data_[],8,TRUE)</f>
        <v>Montana</v>
      </c>
      <c r="G200" s="1" t="s">
        <v>1578</v>
      </c>
      <c r="H200" s="1" t="str">
        <f>VLOOKUP(Salesdta[[#This Row],[Product_ID]],Product_Data_1[],2,TRUE)</f>
        <v>Soccer Training Cone Set</v>
      </c>
      <c r="I200" s="1" t="str">
        <f>VLOOKUP(Salesdta[[#This Row],[Product_ID]],Product_Data_1[],3,TRUE)</f>
        <v>Sports</v>
      </c>
      <c r="J200" s="1">
        <f>VLOOKUP(Salesdta[[#This Row],[Product_ID]],Product_Data_1[],7,TRUE)</f>
        <v>145</v>
      </c>
      <c r="K200" s="1" t="s">
        <v>1785</v>
      </c>
      <c r="L200" s="1" t="str">
        <f>VLOOKUP(Salesdta[[#This Row],[Store_ID]],Store_Data_1[],3,TRUE)</f>
        <v>North</v>
      </c>
      <c r="M200" s="1">
        <v>2</v>
      </c>
      <c r="N200" s="1">
        <v>72</v>
      </c>
      <c r="O200" s="12">
        <v>0.22</v>
      </c>
      <c r="P200" s="1" t="s">
        <v>1817</v>
      </c>
      <c r="Q200" s="1">
        <v>112</v>
      </c>
      <c r="R200" s="1">
        <f>Salesdta[[#This Row],[Final Revenue]]-Salesdta[[#This Row],[Product cost]]</f>
        <v>-33</v>
      </c>
      <c r="S200" s="1" t="str">
        <f>IF(Salesdta[[#This Row],[Final Revenue]]&gt;1000,"Selected","Not Selected")</f>
        <v>Not Selected</v>
      </c>
    </row>
    <row r="201" spans="1:19" x14ac:dyDescent="0.35">
      <c r="A201" s="6" t="s">
        <v>2018</v>
      </c>
      <c r="B201" s="20">
        <v>45717</v>
      </c>
      <c r="C201" s="1" t="str">
        <f>TEXT(Salesdta[[#This Row],[Order_Date]],"mmmm")</f>
        <v>March</v>
      </c>
      <c r="D201" s="1" t="s">
        <v>61</v>
      </c>
      <c r="E201" s="1" t="str">
        <f>VLOOKUP(Salesdta[[#This Row],[Customer_ID]],Customer_Data_[],6,TRUE)</f>
        <v>Female</v>
      </c>
      <c r="F201" s="1" t="str">
        <f>VLOOKUP(Salesdta[[#This Row],[Customer_ID]],Customer_Data_[],8,TRUE)</f>
        <v>Montana</v>
      </c>
      <c r="G201" s="1" t="s">
        <v>1592</v>
      </c>
      <c r="H201" s="1" t="str">
        <f>VLOOKUP(Salesdta[[#This Row],[Product_ID]],Product_Data_1[],2,TRUE)</f>
        <v>Foldable Camping Chair</v>
      </c>
      <c r="I201" s="1" t="str">
        <f>VLOOKUP(Salesdta[[#This Row],[Product_ID]],Product_Data_1[],3,TRUE)</f>
        <v>Sports</v>
      </c>
      <c r="J201" s="1">
        <f>VLOOKUP(Salesdta[[#This Row],[Product_ID]],Product_Data_1[],7,TRUE)</f>
        <v>166</v>
      </c>
      <c r="K201" s="1" t="s">
        <v>1753</v>
      </c>
      <c r="L201" s="1" t="str">
        <f>VLOOKUP(Salesdta[[#This Row],[Store_ID]],Store_Data_1[],3,TRUE)</f>
        <v>North</v>
      </c>
      <c r="M201" s="1">
        <v>2</v>
      </c>
      <c r="N201" s="1">
        <v>680</v>
      </c>
      <c r="O201" s="12">
        <v>0.22</v>
      </c>
      <c r="P201" s="1" t="s">
        <v>1822</v>
      </c>
      <c r="Q201" s="1">
        <v>1061</v>
      </c>
      <c r="R201" s="1">
        <f>Salesdta[[#This Row],[Final Revenue]]-Salesdta[[#This Row],[Product cost]]</f>
        <v>895</v>
      </c>
      <c r="S201" s="1" t="str">
        <f>IF(Salesdta[[#This Row],[Final Revenue]]&gt;1000,"Selected","Not Selected")</f>
        <v>Selected</v>
      </c>
    </row>
    <row r="202" spans="1:19" x14ac:dyDescent="0.35">
      <c r="A202" s="6" t="s">
        <v>2019</v>
      </c>
      <c r="B202" s="20">
        <v>45300</v>
      </c>
      <c r="C202" s="1" t="str">
        <f>TEXT(Salesdta[[#This Row],[Order_Date]],"mmmm")</f>
        <v>January</v>
      </c>
      <c r="D202" s="1" t="s">
        <v>461</v>
      </c>
      <c r="E202" s="1" t="str">
        <f>VLOOKUP(Salesdta[[#This Row],[Customer_ID]],Customer_Data_[],6,TRUE)</f>
        <v>Male</v>
      </c>
      <c r="F202" s="1" t="str">
        <f>VLOOKUP(Salesdta[[#This Row],[Customer_ID]],Customer_Data_[],8,TRUE)</f>
        <v>Nebraska</v>
      </c>
      <c r="G202" s="1" t="s">
        <v>1614</v>
      </c>
      <c r="H202" s="1" t="str">
        <f>VLOOKUP(Salesdta[[#This Row],[Product_ID]],Product_Data_1[],2,TRUE)</f>
        <v>Bedroom Table Lamp</v>
      </c>
      <c r="I202" s="1" t="str">
        <f>VLOOKUP(Salesdta[[#This Row],[Product_ID]],Product_Data_1[],3,TRUE)</f>
        <v>Home</v>
      </c>
      <c r="J202" s="1">
        <f>VLOOKUP(Salesdta[[#This Row],[Product_ID]],Product_Data_1[],7,TRUE)</f>
        <v>382</v>
      </c>
      <c r="K202" s="1" t="s">
        <v>1803</v>
      </c>
      <c r="L202" s="1" t="str">
        <f>VLOOKUP(Salesdta[[#This Row],[Store_ID]],Store_Data_1[],3,TRUE)</f>
        <v>North</v>
      </c>
      <c r="M202" s="1">
        <v>1</v>
      </c>
      <c r="N202" s="1">
        <v>223</v>
      </c>
      <c r="O202" s="12">
        <v>0.19</v>
      </c>
      <c r="P202" s="1" t="s">
        <v>1817</v>
      </c>
      <c r="Q202" s="1">
        <v>181</v>
      </c>
      <c r="R202" s="1">
        <f>Salesdta[[#This Row],[Final Revenue]]-Salesdta[[#This Row],[Product cost]]</f>
        <v>-201</v>
      </c>
      <c r="S202" s="1" t="str">
        <f>IF(Salesdta[[#This Row],[Final Revenue]]&gt;1000,"Selected","Not Selected")</f>
        <v>Not Selected</v>
      </c>
    </row>
    <row r="203" spans="1:19" x14ac:dyDescent="0.35">
      <c r="A203" s="6" t="s">
        <v>2020</v>
      </c>
      <c r="B203" s="20">
        <v>45773</v>
      </c>
      <c r="C203" s="1" t="str">
        <f>TEXT(Salesdta[[#This Row],[Order_Date]],"mmmm")</f>
        <v>April</v>
      </c>
      <c r="D203" s="1" t="s">
        <v>791</v>
      </c>
      <c r="E203" s="1" t="str">
        <f>VLOOKUP(Salesdta[[#This Row],[Customer_ID]],Customer_Data_[],6,TRUE)</f>
        <v>Male</v>
      </c>
      <c r="F203" s="1" t="str">
        <f>VLOOKUP(Salesdta[[#This Row],[Customer_ID]],Customer_Data_[],8,TRUE)</f>
        <v>Nevada</v>
      </c>
      <c r="G203" s="1" t="s">
        <v>1614</v>
      </c>
      <c r="H203" s="1" t="str">
        <f>VLOOKUP(Salesdta[[#This Row],[Product_ID]],Product_Data_1[],2,TRUE)</f>
        <v>Bedroom Table Lamp</v>
      </c>
      <c r="I203" s="1" t="str">
        <f>VLOOKUP(Salesdta[[#This Row],[Product_ID]],Product_Data_1[],3,TRUE)</f>
        <v>Home</v>
      </c>
      <c r="J203" s="1">
        <f>VLOOKUP(Salesdta[[#This Row],[Product_ID]],Product_Data_1[],7,TRUE)</f>
        <v>382</v>
      </c>
      <c r="K203" s="1" t="s">
        <v>1757</v>
      </c>
      <c r="L203" s="1" t="str">
        <f>VLOOKUP(Salesdta[[#This Row],[Store_ID]],Store_Data_1[],3,TRUE)</f>
        <v>South</v>
      </c>
      <c r="M203" s="1">
        <v>2</v>
      </c>
      <c r="N203" s="1">
        <v>355</v>
      </c>
      <c r="O203" s="12">
        <v>0</v>
      </c>
      <c r="P203" s="1" t="s">
        <v>1819</v>
      </c>
      <c r="Q203" s="1">
        <v>590</v>
      </c>
      <c r="R203" s="1">
        <f>Salesdta[[#This Row],[Final Revenue]]-Salesdta[[#This Row],[Product cost]]</f>
        <v>208</v>
      </c>
      <c r="S203" s="1" t="str">
        <f>IF(Salesdta[[#This Row],[Final Revenue]]&gt;1000,"Selected","Not Selected")</f>
        <v>Not Selected</v>
      </c>
    </row>
    <row r="204" spans="1:19" x14ac:dyDescent="0.35">
      <c r="A204" s="6" t="s">
        <v>2021</v>
      </c>
      <c r="B204" s="20">
        <v>45497</v>
      </c>
      <c r="C204" s="1" t="str">
        <f>TEXT(Salesdta[[#This Row],[Order_Date]],"mmmm")</f>
        <v>July</v>
      </c>
      <c r="D204" s="1" t="s">
        <v>363</v>
      </c>
      <c r="E204" s="1" t="str">
        <f>VLOOKUP(Salesdta[[#This Row],[Customer_ID]],Customer_Data_[],6,TRUE)</f>
        <v>Male</v>
      </c>
      <c r="F204" s="1" t="str">
        <f>VLOOKUP(Salesdta[[#This Row],[Customer_ID]],Customer_Data_[],8,TRUE)</f>
        <v>Connecticut</v>
      </c>
      <c r="G204" s="1" t="s">
        <v>1722</v>
      </c>
      <c r="H204" s="1" t="str">
        <f>VLOOKUP(Salesdta[[#This Row],[Product_ID]],Product_Data_1[],2,TRUE)</f>
        <v>Face Foundation Kit</v>
      </c>
      <c r="I204" s="1" t="str">
        <f>VLOOKUP(Salesdta[[#This Row],[Product_ID]],Product_Data_1[],3,TRUE)</f>
        <v>Beauty</v>
      </c>
      <c r="J204" s="1">
        <f>VLOOKUP(Salesdta[[#This Row],[Product_ID]],Product_Data_1[],7,TRUE)</f>
        <v>183</v>
      </c>
      <c r="K204" s="1" t="s">
        <v>1809</v>
      </c>
      <c r="L204" s="1" t="str">
        <f>VLOOKUP(Salesdta[[#This Row],[Store_ID]],Store_Data_1[],3,TRUE)</f>
        <v>North</v>
      </c>
      <c r="M204" s="1">
        <v>4</v>
      </c>
      <c r="N204" s="1">
        <v>611</v>
      </c>
      <c r="O204" s="12">
        <v>0.11</v>
      </c>
      <c r="P204" s="1" t="s">
        <v>1819</v>
      </c>
      <c r="Q204" s="1">
        <v>2176</v>
      </c>
      <c r="R204" s="1">
        <f>Salesdta[[#This Row],[Final Revenue]]-Salesdta[[#This Row],[Product cost]]</f>
        <v>1993</v>
      </c>
      <c r="S204" s="1" t="str">
        <f>IF(Salesdta[[#This Row],[Final Revenue]]&gt;1000,"Selected","Not Selected")</f>
        <v>Selected</v>
      </c>
    </row>
    <row r="205" spans="1:19" x14ac:dyDescent="0.35">
      <c r="A205" s="6" t="s">
        <v>2022</v>
      </c>
      <c r="B205" s="20">
        <v>45742</v>
      </c>
      <c r="C205" s="1" t="str">
        <f>TEXT(Salesdta[[#This Row],[Order_Date]],"mmmm")</f>
        <v>March</v>
      </c>
      <c r="D205" s="1" t="s">
        <v>1044</v>
      </c>
      <c r="E205" s="1" t="str">
        <f>VLOOKUP(Salesdta[[#This Row],[Customer_ID]],Customer_Data_[],6,TRUE)</f>
        <v>Female</v>
      </c>
      <c r="F205" s="1" t="str">
        <f>VLOOKUP(Salesdta[[#This Row],[Customer_ID]],Customer_Data_[],8,TRUE)</f>
        <v>Georgia</v>
      </c>
      <c r="G205" s="1" t="s">
        <v>1539</v>
      </c>
      <c r="H205" s="1" t="str">
        <f>VLOOKUP(Salesdta[[#This Row],[Product_ID]],Product_Data_1[],2,TRUE)</f>
        <v>Brother Laser Printer</v>
      </c>
      <c r="I205" s="1" t="str">
        <f>VLOOKUP(Salesdta[[#This Row],[Product_ID]],Product_Data_1[],3,TRUE)</f>
        <v>Electronics</v>
      </c>
      <c r="J205" s="1">
        <f>VLOOKUP(Salesdta[[#This Row],[Product_ID]],Product_Data_1[],7,TRUE)</f>
        <v>112</v>
      </c>
      <c r="K205" s="1" t="s">
        <v>1778</v>
      </c>
      <c r="L205" s="1" t="str">
        <f>VLOOKUP(Salesdta[[#This Row],[Store_ID]],Store_Data_1[],3,TRUE)</f>
        <v>West</v>
      </c>
      <c r="M205" s="1">
        <v>4</v>
      </c>
      <c r="N205" s="1">
        <v>849</v>
      </c>
      <c r="O205" s="12">
        <v>7.0000000000000007E-2</v>
      </c>
      <c r="P205" s="1" t="s">
        <v>1817</v>
      </c>
      <c r="Q205" s="1">
        <v>3159</v>
      </c>
      <c r="R205" s="1">
        <f>Salesdta[[#This Row],[Final Revenue]]-Salesdta[[#This Row],[Product cost]]</f>
        <v>3047</v>
      </c>
      <c r="S205" s="1" t="str">
        <f>IF(Salesdta[[#This Row],[Final Revenue]]&gt;1000,"Selected","Not Selected")</f>
        <v>Selected</v>
      </c>
    </row>
    <row r="206" spans="1:19" x14ac:dyDescent="0.35">
      <c r="A206" s="6" t="s">
        <v>2023</v>
      </c>
      <c r="B206" s="20">
        <v>45713</v>
      </c>
      <c r="C206" s="1" t="str">
        <f>TEXT(Salesdta[[#This Row],[Order_Date]],"mmmm")</f>
        <v>February</v>
      </c>
      <c r="D206" s="1" t="s">
        <v>678</v>
      </c>
      <c r="E206" s="1" t="str">
        <f>VLOOKUP(Salesdta[[#This Row],[Customer_ID]],Customer_Data_[],6,TRUE)</f>
        <v>Female</v>
      </c>
      <c r="F206" s="1" t="str">
        <f>VLOOKUP(Salesdta[[#This Row],[Customer_ID]],Customer_Data_[],8,TRUE)</f>
        <v>Maine</v>
      </c>
      <c r="G206" s="1" t="s">
        <v>1628</v>
      </c>
      <c r="H206" s="1" t="str">
        <f>VLOOKUP(Salesdta[[#This Row],[Product_ID]],Product_Data_1[],2,TRUE)</f>
        <v>Smart Home WiFi Camera</v>
      </c>
      <c r="I206" s="1" t="str">
        <f>VLOOKUP(Salesdta[[#This Row],[Product_ID]],Product_Data_1[],3,TRUE)</f>
        <v>Electronics</v>
      </c>
      <c r="J206" s="1">
        <f>VLOOKUP(Salesdta[[#This Row],[Product_ID]],Product_Data_1[],7,TRUE)</f>
        <v>451</v>
      </c>
      <c r="K206" s="1" t="s">
        <v>1775</v>
      </c>
      <c r="L206" s="1" t="str">
        <f>VLOOKUP(Salesdta[[#This Row],[Store_ID]],Store_Data_1[],3,TRUE)</f>
        <v>South</v>
      </c>
      <c r="M206" s="1">
        <v>3</v>
      </c>
      <c r="N206" s="1">
        <v>553</v>
      </c>
      <c r="O206" s="12">
        <v>0.28000000000000003</v>
      </c>
      <c r="P206" s="1" t="s">
        <v>1822</v>
      </c>
      <c r="Q206" s="1">
        <v>1195</v>
      </c>
      <c r="R206" s="1">
        <f>Salesdta[[#This Row],[Final Revenue]]-Salesdta[[#This Row],[Product cost]]</f>
        <v>744</v>
      </c>
      <c r="S206" s="1" t="str">
        <f>IF(Salesdta[[#This Row],[Final Revenue]]&gt;1000,"Selected","Not Selected")</f>
        <v>Selected</v>
      </c>
    </row>
    <row r="207" spans="1:19" x14ac:dyDescent="0.35">
      <c r="A207" s="6" t="s">
        <v>2024</v>
      </c>
      <c r="B207" s="20">
        <v>45826</v>
      </c>
      <c r="C207" s="1" t="str">
        <f>TEXT(Salesdta[[#This Row],[Order_Date]],"mmmm")</f>
        <v>June</v>
      </c>
      <c r="D207" s="1" t="s">
        <v>893</v>
      </c>
      <c r="E207" s="1" t="str">
        <f>VLOOKUP(Salesdta[[#This Row],[Customer_ID]],Customer_Data_[],6,TRUE)</f>
        <v>Female</v>
      </c>
      <c r="F207" s="1" t="str">
        <f>VLOOKUP(Salesdta[[#This Row],[Customer_ID]],Customer_Data_[],8,TRUE)</f>
        <v>New Jersey</v>
      </c>
      <c r="G207" s="1" t="s">
        <v>1726</v>
      </c>
      <c r="H207" s="1" t="str">
        <f>VLOOKUP(Salesdta[[#This Row],[Product_ID]],Product_Data_1[],2,TRUE)</f>
        <v>Women's High Heels</v>
      </c>
      <c r="I207" s="1" t="str">
        <f>VLOOKUP(Salesdta[[#This Row],[Product_ID]],Product_Data_1[],3,TRUE)</f>
        <v>Clothing</v>
      </c>
      <c r="J207" s="1">
        <f>VLOOKUP(Salesdta[[#This Row],[Product_ID]],Product_Data_1[],7,TRUE)</f>
        <v>438</v>
      </c>
      <c r="K207" s="1" t="s">
        <v>1782</v>
      </c>
      <c r="L207" s="1" t="str">
        <f>VLOOKUP(Salesdta[[#This Row],[Store_ID]],Store_Data_1[],3,TRUE)</f>
        <v>South</v>
      </c>
      <c r="M207" s="1">
        <v>2</v>
      </c>
      <c r="N207" s="1">
        <v>903</v>
      </c>
      <c r="O207" s="12">
        <v>0.18</v>
      </c>
      <c r="P207" s="1" t="s">
        <v>1822</v>
      </c>
      <c r="Q207" s="1">
        <v>1481</v>
      </c>
      <c r="R207" s="1">
        <f>Salesdta[[#This Row],[Final Revenue]]-Salesdta[[#This Row],[Product cost]]</f>
        <v>1043</v>
      </c>
      <c r="S207" s="1" t="str">
        <f>IF(Salesdta[[#This Row],[Final Revenue]]&gt;1000,"Selected","Not Selected")</f>
        <v>Selected</v>
      </c>
    </row>
    <row r="208" spans="1:19" x14ac:dyDescent="0.35">
      <c r="A208" s="6" t="s">
        <v>2025</v>
      </c>
      <c r="B208" s="20">
        <v>45836</v>
      </c>
      <c r="C208" s="1" t="str">
        <f>TEXT(Salesdta[[#This Row],[Order_Date]],"mmmm")</f>
        <v>June</v>
      </c>
      <c r="D208" s="1" t="s">
        <v>475</v>
      </c>
      <c r="E208" s="1" t="str">
        <f>VLOOKUP(Salesdta[[#This Row],[Customer_ID]],Customer_Data_[],6,TRUE)</f>
        <v>Male</v>
      </c>
      <c r="F208" s="1" t="str">
        <f>VLOOKUP(Salesdta[[#This Row],[Customer_ID]],Customer_Data_[],8,TRUE)</f>
        <v>California</v>
      </c>
      <c r="G208" s="1" t="s">
        <v>1586</v>
      </c>
      <c r="H208" s="1" t="str">
        <f>VLOOKUP(Salesdta[[#This Row],[Product_ID]],Product_Data_1[],2,TRUE)</f>
        <v>Multi-Purpose Storage Box</v>
      </c>
      <c r="I208" s="1" t="str">
        <f>VLOOKUP(Salesdta[[#This Row],[Product_ID]],Product_Data_1[],3,TRUE)</f>
        <v>Home</v>
      </c>
      <c r="J208" s="1">
        <f>VLOOKUP(Salesdta[[#This Row],[Product_ID]],Product_Data_1[],7,TRUE)</f>
        <v>123</v>
      </c>
      <c r="K208" s="1" t="s">
        <v>1772</v>
      </c>
      <c r="L208" s="1" t="str">
        <f>VLOOKUP(Salesdta[[#This Row],[Store_ID]],Store_Data_1[],3,TRUE)</f>
        <v>East</v>
      </c>
      <c r="M208" s="1">
        <v>1</v>
      </c>
      <c r="N208" s="1">
        <v>518</v>
      </c>
      <c r="O208" s="12">
        <v>0.25</v>
      </c>
      <c r="P208" s="1" t="s">
        <v>1817</v>
      </c>
      <c r="Q208" s="1">
        <v>389</v>
      </c>
      <c r="R208" s="1">
        <f>Salesdta[[#This Row],[Final Revenue]]-Salesdta[[#This Row],[Product cost]]</f>
        <v>266</v>
      </c>
      <c r="S208" s="1" t="str">
        <f>IF(Salesdta[[#This Row],[Final Revenue]]&gt;1000,"Selected","Not Selected")</f>
        <v>Not Selected</v>
      </c>
    </row>
    <row r="209" spans="1:19" x14ac:dyDescent="0.35">
      <c r="A209" s="6" t="s">
        <v>2026</v>
      </c>
      <c r="B209" s="20">
        <v>45437</v>
      </c>
      <c r="C209" s="1" t="str">
        <f>TEXT(Salesdta[[#This Row],[Order_Date]],"mmmm")</f>
        <v>May</v>
      </c>
      <c r="D209" s="1" t="s">
        <v>1339</v>
      </c>
      <c r="E209" s="1" t="str">
        <f>VLOOKUP(Salesdta[[#This Row],[Customer_ID]],Customer_Data_[],6,TRUE)</f>
        <v>Female</v>
      </c>
      <c r="F209" s="1" t="str">
        <f>VLOOKUP(Salesdta[[#This Row],[Customer_ID]],Customer_Data_[],8,TRUE)</f>
        <v>New York</v>
      </c>
      <c r="G209" s="1" t="s">
        <v>1672</v>
      </c>
      <c r="H209" s="1" t="str">
        <f>VLOOKUP(Salesdta[[#This Row],[Product_ID]],Product_Data_1[],2,TRUE)</f>
        <v>Matte Lipstick Set</v>
      </c>
      <c r="I209" s="1" t="str">
        <f>VLOOKUP(Salesdta[[#This Row],[Product_ID]],Product_Data_1[],3,TRUE)</f>
        <v>Beauty</v>
      </c>
      <c r="J209" s="1">
        <f>VLOOKUP(Salesdta[[#This Row],[Product_ID]],Product_Data_1[],7,TRUE)</f>
        <v>299</v>
      </c>
      <c r="K209" s="1" t="s">
        <v>1765</v>
      </c>
      <c r="L209" s="1" t="str">
        <f>VLOOKUP(Salesdta[[#This Row],[Store_ID]],Store_Data_1[],3,TRUE)</f>
        <v>South</v>
      </c>
      <c r="M209" s="1">
        <v>4</v>
      </c>
      <c r="N209" s="1">
        <v>779</v>
      </c>
      <c r="O209" s="12">
        <v>0.25</v>
      </c>
      <c r="P209" s="1" t="s">
        <v>1817</v>
      </c>
      <c r="Q209" s="1">
        <v>2338</v>
      </c>
      <c r="R209" s="1">
        <f>Salesdta[[#This Row],[Final Revenue]]-Salesdta[[#This Row],[Product cost]]</f>
        <v>2039</v>
      </c>
      <c r="S209" s="1" t="str">
        <f>IF(Salesdta[[#This Row],[Final Revenue]]&gt;1000,"Selected","Not Selected")</f>
        <v>Selected</v>
      </c>
    </row>
    <row r="210" spans="1:19" x14ac:dyDescent="0.35">
      <c r="A210" s="6" t="s">
        <v>2027</v>
      </c>
      <c r="B210" s="20">
        <v>45807</v>
      </c>
      <c r="C210" s="1" t="str">
        <f>TEXT(Salesdta[[#This Row],[Order_Date]],"mmmm")</f>
        <v>May</v>
      </c>
      <c r="D210" s="1" t="s">
        <v>408</v>
      </c>
      <c r="E210" s="1" t="str">
        <f>VLOOKUP(Salesdta[[#This Row],[Customer_ID]],Customer_Data_[],6,TRUE)</f>
        <v>Male</v>
      </c>
      <c r="F210" s="1" t="str">
        <f>VLOOKUP(Salesdta[[#This Row],[Customer_ID]],Customer_Data_[],8,TRUE)</f>
        <v>Nebraska</v>
      </c>
      <c r="G210" s="1" t="s">
        <v>1710</v>
      </c>
      <c r="H210" s="1" t="str">
        <f>VLOOKUP(Salesdta[[#This Row],[Product_ID]],Product_Data_1[],2,TRUE)</f>
        <v>Hydrating Face Cleanser</v>
      </c>
      <c r="I210" s="1" t="str">
        <f>VLOOKUP(Salesdta[[#This Row],[Product_ID]],Product_Data_1[],3,TRUE)</f>
        <v>Beauty</v>
      </c>
      <c r="J210" s="1">
        <f>VLOOKUP(Salesdta[[#This Row],[Product_ID]],Product_Data_1[],7,TRUE)</f>
        <v>254</v>
      </c>
      <c r="K210" s="1" t="s">
        <v>1775</v>
      </c>
      <c r="L210" s="1" t="str">
        <f>VLOOKUP(Salesdta[[#This Row],[Store_ID]],Store_Data_1[],3,TRUE)</f>
        <v>South</v>
      </c>
      <c r="M210" s="1">
        <v>2</v>
      </c>
      <c r="N210" s="1">
        <v>468</v>
      </c>
      <c r="O210" s="12">
        <v>0.26</v>
      </c>
      <c r="P210" s="1" t="s">
        <v>1817</v>
      </c>
      <c r="Q210" s="1">
        <v>692</v>
      </c>
      <c r="R210" s="1">
        <f>Salesdta[[#This Row],[Final Revenue]]-Salesdta[[#This Row],[Product cost]]</f>
        <v>438</v>
      </c>
      <c r="S210" s="1" t="str">
        <f>IF(Salesdta[[#This Row],[Final Revenue]]&gt;1000,"Selected","Not Selected")</f>
        <v>Not Selected</v>
      </c>
    </row>
    <row r="211" spans="1:19" x14ac:dyDescent="0.35">
      <c r="A211" s="6" t="s">
        <v>2028</v>
      </c>
      <c r="B211" s="20">
        <v>45803</v>
      </c>
      <c r="C211" s="1" t="str">
        <f>TEXT(Salesdta[[#This Row],[Order_Date]],"mmmm")</f>
        <v>May</v>
      </c>
      <c r="D211" s="1" t="s">
        <v>708</v>
      </c>
      <c r="E211" s="1" t="str">
        <f>VLOOKUP(Salesdta[[#This Row],[Customer_ID]],Customer_Data_[],6,TRUE)</f>
        <v>Female</v>
      </c>
      <c r="F211" s="1" t="str">
        <f>VLOOKUP(Salesdta[[#This Row],[Customer_ID]],Customer_Data_[],8,TRUE)</f>
        <v>New Jersey</v>
      </c>
      <c r="G211" s="1" t="s">
        <v>1618</v>
      </c>
      <c r="H211" s="1" t="str">
        <f>VLOOKUP(Salesdta[[#This Row],[Product_ID]],Product_Data_1[],2,TRUE)</f>
        <v>Men's Casual Sneakers</v>
      </c>
      <c r="I211" s="1" t="str">
        <f>VLOOKUP(Salesdta[[#This Row],[Product_ID]],Product_Data_1[],3,TRUE)</f>
        <v>Clothing</v>
      </c>
      <c r="J211" s="1">
        <f>VLOOKUP(Salesdta[[#This Row],[Product_ID]],Product_Data_1[],7,TRUE)</f>
        <v>353</v>
      </c>
      <c r="K211" s="1" t="s">
        <v>1748</v>
      </c>
      <c r="L211" s="1" t="str">
        <f>VLOOKUP(Salesdta[[#This Row],[Store_ID]],Store_Data_1[],3,TRUE)</f>
        <v>East</v>
      </c>
      <c r="M211" s="1">
        <v>4</v>
      </c>
      <c r="N211" s="1">
        <v>747</v>
      </c>
      <c r="O211" s="12">
        <v>0.13</v>
      </c>
      <c r="P211" s="1" t="s">
        <v>1819</v>
      </c>
      <c r="Q211" s="1">
        <v>2600</v>
      </c>
      <c r="R211" s="1">
        <f>Salesdta[[#This Row],[Final Revenue]]-Salesdta[[#This Row],[Product cost]]</f>
        <v>2247</v>
      </c>
      <c r="S211" s="1" t="str">
        <f>IF(Salesdta[[#This Row],[Final Revenue]]&gt;1000,"Selected","Not Selected")</f>
        <v>Selected</v>
      </c>
    </row>
    <row r="212" spans="1:19" x14ac:dyDescent="0.35">
      <c r="A212" s="6" t="s">
        <v>2029</v>
      </c>
      <c r="B212" s="20">
        <v>45735</v>
      </c>
      <c r="C212" s="1" t="str">
        <f>TEXT(Salesdta[[#This Row],[Order_Date]],"mmmm")</f>
        <v>March</v>
      </c>
      <c r="D212" s="1" t="s">
        <v>357</v>
      </c>
      <c r="E212" s="1" t="str">
        <f>VLOOKUP(Salesdta[[#This Row],[Customer_ID]],Customer_Data_[],6,TRUE)</f>
        <v>Male</v>
      </c>
      <c r="F212" s="1" t="str">
        <f>VLOOKUP(Salesdta[[#This Row],[Customer_ID]],Customer_Data_[],8,TRUE)</f>
        <v>Utah</v>
      </c>
      <c r="G212" s="1" t="s">
        <v>1722</v>
      </c>
      <c r="H212" s="1" t="str">
        <f>VLOOKUP(Salesdta[[#This Row],[Product_ID]],Product_Data_1[],2,TRUE)</f>
        <v>Face Foundation Kit</v>
      </c>
      <c r="I212" s="1" t="str">
        <f>VLOOKUP(Salesdta[[#This Row],[Product_ID]],Product_Data_1[],3,TRUE)</f>
        <v>Beauty</v>
      </c>
      <c r="J212" s="1">
        <f>VLOOKUP(Salesdta[[#This Row],[Product_ID]],Product_Data_1[],7,TRUE)</f>
        <v>183</v>
      </c>
      <c r="K212" s="1" t="s">
        <v>1790</v>
      </c>
      <c r="L212" s="1" t="str">
        <f>VLOOKUP(Salesdta[[#This Row],[Store_ID]],Store_Data_1[],3,TRUE)</f>
        <v>North</v>
      </c>
      <c r="M212" s="1">
        <v>4</v>
      </c>
      <c r="N212" s="1">
        <v>462</v>
      </c>
      <c r="O212" s="12">
        <v>0.28000000000000003</v>
      </c>
      <c r="P212" s="1" t="s">
        <v>1819</v>
      </c>
      <c r="Q212" s="1">
        <v>1330</v>
      </c>
      <c r="R212" s="1">
        <f>Salesdta[[#This Row],[Final Revenue]]-Salesdta[[#This Row],[Product cost]]</f>
        <v>1147</v>
      </c>
      <c r="S212" s="1" t="str">
        <f>IF(Salesdta[[#This Row],[Final Revenue]]&gt;1000,"Selected","Not Selected")</f>
        <v>Selected</v>
      </c>
    </row>
    <row r="213" spans="1:19" x14ac:dyDescent="0.35">
      <c r="A213" s="6" t="s">
        <v>2030</v>
      </c>
      <c r="B213" s="20">
        <v>45750</v>
      </c>
      <c r="C213" s="1" t="str">
        <f>TEXT(Salesdta[[#This Row],[Order_Date]],"mmmm")</f>
        <v>April</v>
      </c>
      <c r="D213" s="1" t="s">
        <v>455</v>
      </c>
      <c r="E213" s="1" t="str">
        <f>VLOOKUP(Salesdta[[#This Row],[Customer_ID]],Customer_Data_[],6,TRUE)</f>
        <v>Male</v>
      </c>
      <c r="F213" s="1" t="str">
        <f>VLOOKUP(Salesdta[[#This Row],[Customer_ID]],Customer_Data_[],8,TRUE)</f>
        <v>Washington</v>
      </c>
      <c r="G213" s="1" t="s">
        <v>1684</v>
      </c>
      <c r="H213" s="1" t="str">
        <f>VLOOKUP(Salesdta[[#This Row],[Product_ID]],Product_Data_1[],2,TRUE)</f>
        <v>Kitchen Storage Rack</v>
      </c>
      <c r="I213" s="1" t="str">
        <f>VLOOKUP(Salesdta[[#This Row],[Product_ID]],Product_Data_1[],3,TRUE)</f>
        <v>Home</v>
      </c>
      <c r="J213" s="1">
        <f>VLOOKUP(Salesdta[[#This Row],[Product_ID]],Product_Data_1[],7,TRUE)</f>
        <v>138</v>
      </c>
      <c r="K213" s="1" t="s">
        <v>1778</v>
      </c>
      <c r="L213" s="1" t="str">
        <f>VLOOKUP(Salesdta[[#This Row],[Store_ID]],Store_Data_1[],3,TRUE)</f>
        <v>West</v>
      </c>
      <c r="M213" s="1">
        <v>2</v>
      </c>
      <c r="N213" s="1">
        <v>105</v>
      </c>
      <c r="O213" s="12">
        <v>0.06</v>
      </c>
      <c r="P213" s="1" t="s">
        <v>1817</v>
      </c>
      <c r="Q213" s="1">
        <v>198</v>
      </c>
      <c r="R213" s="1">
        <f>Salesdta[[#This Row],[Final Revenue]]-Salesdta[[#This Row],[Product cost]]</f>
        <v>60</v>
      </c>
      <c r="S213" s="1" t="str">
        <f>IF(Salesdta[[#This Row],[Final Revenue]]&gt;1000,"Selected","Not Selected")</f>
        <v>Not Selected</v>
      </c>
    </row>
    <row r="214" spans="1:19" x14ac:dyDescent="0.35">
      <c r="A214" s="6" t="s">
        <v>2031</v>
      </c>
      <c r="B214" s="20">
        <v>45667</v>
      </c>
      <c r="C214" s="1" t="str">
        <f>TEXT(Salesdta[[#This Row],[Order_Date]],"mmmm")</f>
        <v>January</v>
      </c>
      <c r="D214" s="1" t="s">
        <v>981</v>
      </c>
      <c r="E214" s="1" t="str">
        <f>VLOOKUP(Salesdta[[#This Row],[Customer_ID]],Customer_Data_[],6,TRUE)</f>
        <v>Female</v>
      </c>
      <c r="F214" s="1" t="str">
        <f>VLOOKUP(Salesdta[[#This Row],[Customer_ID]],Customer_Data_[],8,TRUE)</f>
        <v>Delaware</v>
      </c>
      <c r="G214" s="1" t="s">
        <v>1692</v>
      </c>
      <c r="H214" s="1" t="str">
        <f>VLOOKUP(Salesdta[[#This Row],[Product_ID]],Product_Data_1[],2,TRUE)</f>
        <v>Bluetooth Car Audio System</v>
      </c>
      <c r="I214" s="1" t="str">
        <f>VLOOKUP(Salesdta[[#This Row],[Product_ID]],Product_Data_1[],3,TRUE)</f>
        <v>Electronics</v>
      </c>
      <c r="J214" s="1">
        <f>VLOOKUP(Salesdta[[#This Row],[Product_ID]],Product_Data_1[],7,TRUE)</f>
        <v>404</v>
      </c>
      <c r="K214" s="1" t="s">
        <v>1778</v>
      </c>
      <c r="L214" s="1" t="str">
        <f>VLOOKUP(Salesdta[[#This Row],[Store_ID]],Store_Data_1[],3,TRUE)</f>
        <v>West</v>
      </c>
      <c r="M214" s="1">
        <v>1</v>
      </c>
      <c r="N214" s="1">
        <v>872</v>
      </c>
      <c r="O214" s="12">
        <v>7.0000000000000007E-2</v>
      </c>
      <c r="P214" s="1" t="s">
        <v>1819</v>
      </c>
      <c r="Q214" s="1">
        <v>811</v>
      </c>
      <c r="R214" s="1">
        <f>Salesdta[[#This Row],[Final Revenue]]-Salesdta[[#This Row],[Product cost]]</f>
        <v>407</v>
      </c>
      <c r="S214" s="1" t="str">
        <f>IF(Salesdta[[#This Row],[Final Revenue]]&gt;1000,"Selected","Not Selected")</f>
        <v>Not Selected</v>
      </c>
    </row>
    <row r="215" spans="1:19" x14ac:dyDescent="0.35">
      <c r="A215" s="6" t="s">
        <v>2032</v>
      </c>
      <c r="B215" s="20">
        <v>45661</v>
      </c>
      <c r="C215" s="1" t="str">
        <f>TEXT(Salesdta[[#This Row],[Order_Date]],"mmmm")</f>
        <v>January</v>
      </c>
      <c r="D215" s="1" t="s">
        <v>1485</v>
      </c>
      <c r="E215" s="1" t="str">
        <f>VLOOKUP(Salesdta[[#This Row],[Customer_ID]],Customer_Data_[],6,TRUE)</f>
        <v>Male</v>
      </c>
      <c r="F215" s="1" t="str">
        <f>VLOOKUP(Salesdta[[#This Row],[Customer_ID]],Customer_Data_[],8,TRUE)</f>
        <v>Massachusetts</v>
      </c>
      <c r="G215" s="1" t="s">
        <v>1698</v>
      </c>
      <c r="H215" s="1" t="str">
        <f>VLOOKUP(Salesdta[[#This Row],[Product_ID]],Product_Data_1[],2,TRUE)</f>
        <v>WiFi Mesh Router</v>
      </c>
      <c r="I215" s="1" t="str">
        <f>VLOOKUP(Salesdta[[#This Row],[Product_ID]],Product_Data_1[],3,TRUE)</f>
        <v>Electronics</v>
      </c>
      <c r="J215" s="1">
        <f>VLOOKUP(Salesdta[[#This Row],[Product_ID]],Product_Data_1[],7,TRUE)</f>
        <v>481</v>
      </c>
      <c r="K215" s="1" t="s">
        <v>1806</v>
      </c>
      <c r="L215" s="1" t="str">
        <f>VLOOKUP(Salesdta[[#This Row],[Store_ID]],Store_Data_1[],3,TRUE)</f>
        <v>North</v>
      </c>
      <c r="M215" s="1">
        <v>4</v>
      </c>
      <c r="N215" s="1">
        <v>463</v>
      </c>
      <c r="O215" s="12">
        <v>0.06</v>
      </c>
      <c r="P215" s="1" t="s">
        <v>1819</v>
      </c>
      <c r="Q215" s="1">
        <v>1742</v>
      </c>
      <c r="R215" s="1">
        <f>Salesdta[[#This Row],[Final Revenue]]-Salesdta[[#This Row],[Product cost]]</f>
        <v>1261</v>
      </c>
      <c r="S215" s="1" t="str">
        <f>IF(Salesdta[[#This Row],[Final Revenue]]&gt;1000,"Selected","Not Selected")</f>
        <v>Selected</v>
      </c>
    </row>
    <row r="216" spans="1:19" x14ac:dyDescent="0.35">
      <c r="A216" s="6" t="s">
        <v>2033</v>
      </c>
      <c r="B216" s="20">
        <v>45798</v>
      </c>
      <c r="C216" s="1" t="str">
        <f>TEXT(Salesdta[[#This Row],[Order_Date]],"mmmm")</f>
        <v>May</v>
      </c>
      <c r="D216" s="1" t="s">
        <v>993</v>
      </c>
      <c r="E216" s="1" t="str">
        <f>VLOOKUP(Salesdta[[#This Row],[Customer_ID]],Customer_Data_[],6,TRUE)</f>
        <v>Male</v>
      </c>
      <c r="F216" s="1" t="str">
        <f>VLOOKUP(Salesdta[[#This Row],[Customer_ID]],Customer_Data_[],8,TRUE)</f>
        <v>Maryland</v>
      </c>
      <c r="G216" s="1" t="s">
        <v>1594</v>
      </c>
      <c r="H216" s="1" t="str">
        <f>VLOOKUP(Salesdta[[#This Row],[Product_ID]],Product_Data_1[],2,TRUE)</f>
        <v>Women's Scarf Set</v>
      </c>
      <c r="I216" s="1" t="str">
        <f>VLOOKUP(Salesdta[[#This Row],[Product_ID]],Product_Data_1[],3,TRUE)</f>
        <v>Clothing</v>
      </c>
      <c r="J216" s="1">
        <f>VLOOKUP(Salesdta[[#This Row],[Product_ID]],Product_Data_1[],7,TRUE)</f>
        <v>174</v>
      </c>
      <c r="K216" s="1" t="s">
        <v>1775</v>
      </c>
      <c r="L216" s="1" t="str">
        <f>VLOOKUP(Salesdta[[#This Row],[Store_ID]],Store_Data_1[],3,TRUE)</f>
        <v>South</v>
      </c>
      <c r="M216" s="1">
        <v>4</v>
      </c>
      <c r="N216" s="1">
        <v>286</v>
      </c>
      <c r="O216" s="12">
        <v>0.18</v>
      </c>
      <c r="P216" s="1" t="s">
        <v>1819</v>
      </c>
      <c r="Q216" s="1">
        <v>937</v>
      </c>
      <c r="R216" s="1">
        <f>Salesdta[[#This Row],[Final Revenue]]-Salesdta[[#This Row],[Product cost]]</f>
        <v>763</v>
      </c>
      <c r="S216" s="1" t="str">
        <f>IF(Salesdta[[#This Row],[Final Revenue]]&gt;1000,"Selected","Not Selected")</f>
        <v>Not Selected</v>
      </c>
    </row>
    <row r="217" spans="1:19" x14ac:dyDescent="0.35">
      <c r="A217" s="6" t="s">
        <v>2034</v>
      </c>
      <c r="B217" s="20">
        <v>45868</v>
      </c>
      <c r="C217" s="1" t="str">
        <f>TEXT(Salesdta[[#This Row],[Order_Date]],"mmmm")</f>
        <v>July</v>
      </c>
      <c r="D217" s="1" t="s">
        <v>1023</v>
      </c>
      <c r="E217" s="1" t="str">
        <f>VLOOKUP(Salesdta[[#This Row],[Customer_ID]],Customer_Data_[],6,TRUE)</f>
        <v>Female</v>
      </c>
      <c r="F217" s="1" t="str">
        <f>VLOOKUP(Salesdta[[#This Row],[Customer_ID]],Customer_Data_[],8,TRUE)</f>
        <v>Rhode Island</v>
      </c>
      <c r="G217" s="1" t="s">
        <v>1618</v>
      </c>
      <c r="H217" s="1" t="str">
        <f>VLOOKUP(Salesdta[[#This Row],[Product_ID]],Product_Data_1[],2,TRUE)</f>
        <v>Men's Casual Sneakers</v>
      </c>
      <c r="I217" s="1" t="str">
        <f>VLOOKUP(Salesdta[[#This Row],[Product_ID]],Product_Data_1[],3,TRUE)</f>
        <v>Clothing</v>
      </c>
      <c r="J217" s="1">
        <f>VLOOKUP(Salesdta[[#This Row],[Product_ID]],Product_Data_1[],7,TRUE)</f>
        <v>353</v>
      </c>
      <c r="K217" s="1" t="s">
        <v>1788</v>
      </c>
      <c r="L217" s="1" t="str">
        <f>VLOOKUP(Salesdta[[#This Row],[Store_ID]],Store_Data_1[],3,TRUE)</f>
        <v>North</v>
      </c>
      <c r="M217" s="1">
        <v>3</v>
      </c>
      <c r="N217" s="1">
        <v>995</v>
      </c>
      <c r="O217" s="12">
        <v>0.1</v>
      </c>
      <c r="P217" s="1" t="s">
        <v>1819</v>
      </c>
      <c r="Q217" s="1">
        <v>2688</v>
      </c>
      <c r="R217" s="1">
        <f>Salesdta[[#This Row],[Final Revenue]]-Salesdta[[#This Row],[Product cost]]</f>
        <v>2335</v>
      </c>
      <c r="S217" s="1" t="str">
        <f>IF(Salesdta[[#This Row],[Final Revenue]]&gt;1000,"Selected","Not Selected")</f>
        <v>Selected</v>
      </c>
    </row>
    <row r="218" spans="1:19" x14ac:dyDescent="0.35">
      <c r="A218" s="6" t="s">
        <v>2035</v>
      </c>
      <c r="B218" s="20">
        <v>45475</v>
      </c>
      <c r="C218" s="1" t="str">
        <f>TEXT(Salesdta[[#This Row],[Order_Date]],"mmmm")</f>
        <v>July</v>
      </c>
      <c r="D218" s="1" t="s">
        <v>1503</v>
      </c>
      <c r="E218" s="1" t="str">
        <f>VLOOKUP(Salesdta[[#This Row],[Customer_ID]],Customer_Data_[],6,TRUE)</f>
        <v>Male</v>
      </c>
      <c r="F218" s="1" t="str">
        <f>VLOOKUP(Salesdta[[#This Row],[Customer_ID]],Customer_Data_[],8,TRUE)</f>
        <v>Maryland</v>
      </c>
      <c r="G218" s="1" t="s">
        <v>1638</v>
      </c>
      <c r="H218" s="1" t="str">
        <f>VLOOKUP(Salesdta[[#This Row],[Product_ID]],Product_Data_1[],2,TRUE)</f>
        <v>Makeup Brush Set</v>
      </c>
      <c r="I218" s="1" t="str">
        <f>VLOOKUP(Salesdta[[#This Row],[Product_ID]],Product_Data_1[],3,TRUE)</f>
        <v>Beauty</v>
      </c>
      <c r="J218" s="1">
        <f>VLOOKUP(Salesdta[[#This Row],[Product_ID]],Product_Data_1[],7,TRUE)</f>
        <v>254</v>
      </c>
      <c r="K218" s="1" t="s">
        <v>1800</v>
      </c>
      <c r="L218" s="1" t="str">
        <f>VLOOKUP(Salesdta[[#This Row],[Store_ID]],Store_Data_1[],3,TRUE)</f>
        <v>North</v>
      </c>
      <c r="M218" s="1">
        <v>3</v>
      </c>
      <c r="N218" s="1">
        <v>64</v>
      </c>
      <c r="O218" s="12">
        <v>0.08</v>
      </c>
      <c r="P218" s="1" t="s">
        <v>1822</v>
      </c>
      <c r="Q218" s="1">
        <v>177</v>
      </c>
      <c r="R218" s="1">
        <f>Salesdta[[#This Row],[Final Revenue]]-Salesdta[[#This Row],[Product cost]]</f>
        <v>-77</v>
      </c>
      <c r="S218" s="1" t="str">
        <f>IF(Salesdta[[#This Row],[Final Revenue]]&gt;1000,"Selected","Not Selected")</f>
        <v>Not Selected</v>
      </c>
    </row>
    <row r="219" spans="1:19" x14ac:dyDescent="0.35">
      <c r="A219" s="6" t="s">
        <v>2036</v>
      </c>
      <c r="B219" s="20">
        <v>45829</v>
      </c>
      <c r="C219" s="1" t="str">
        <f>TEXT(Salesdta[[#This Row],[Order_Date]],"mmmm")</f>
        <v>June</v>
      </c>
      <c r="D219" s="1" t="s">
        <v>833</v>
      </c>
      <c r="E219" s="1" t="str">
        <f>VLOOKUP(Salesdta[[#This Row],[Customer_ID]],Customer_Data_[],6,TRUE)</f>
        <v>Female</v>
      </c>
      <c r="F219" s="1" t="str">
        <f>VLOOKUP(Salesdta[[#This Row],[Customer_ID]],Customer_Data_[],8,TRUE)</f>
        <v>Montana</v>
      </c>
      <c r="G219" s="1" t="s">
        <v>1566</v>
      </c>
      <c r="H219" s="1" t="str">
        <f>VLOOKUP(Salesdta[[#This Row],[Product_ID]],Product_Data_1[],2,TRUE)</f>
        <v>HD Smart TV Stick</v>
      </c>
      <c r="I219" s="1" t="str">
        <f>VLOOKUP(Salesdta[[#This Row],[Product_ID]],Product_Data_1[],3,TRUE)</f>
        <v>Electronics</v>
      </c>
      <c r="J219" s="1">
        <f>VLOOKUP(Salesdta[[#This Row],[Product_ID]],Product_Data_1[],7,TRUE)</f>
        <v>449</v>
      </c>
      <c r="K219" s="1" t="s">
        <v>1793</v>
      </c>
      <c r="L219" s="1" t="str">
        <f>VLOOKUP(Salesdta[[#This Row],[Store_ID]],Store_Data_1[],3,TRUE)</f>
        <v>North</v>
      </c>
      <c r="M219" s="1">
        <v>3</v>
      </c>
      <c r="N219" s="1">
        <v>697</v>
      </c>
      <c r="O219" s="12">
        <v>0.25</v>
      </c>
      <c r="P219" s="1" t="s">
        <v>1822</v>
      </c>
      <c r="Q219" s="1">
        <v>1569</v>
      </c>
      <c r="R219" s="1">
        <f>Salesdta[[#This Row],[Final Revenue]]-Salesdta[[#This Row],[Product cost]]</f>
        <v>1120</v>
      </c>
      <c r="S219" s="1" t="str">
        <f>IF(Salesdta[[#This Row],[Final Revenue]]&gt;1000,"Selected","Not Selected")</f>
        <v>Selected</v>
      </c>
    </row>
    <row r="220" spans="1:19" x14ac:dyDescent="0.35">
      <c r="A220" s="6" t="s">
        <v>2037</v>
      </c>
      <c r="B220" s="20">
        <v>45518</v>
      </c>
      <c r="C220" s="1" t="str">
        <f>TEXT(Salesdta[[#This Row],[Order_Date]],"mmmm")</f>
        <v>August</v>
      </c>
      <c r="D220" s="1" t="s">
        <v>827</v>
      </c>
      <c r="E220" s="1" t="str">
        <f>VLOOKUP(Salesdta[[#This Row],[Customer_ID]],Customer_Data_[],6,TRUE)</f>
        <v>Female</v>
      </c>
      <c r="F220" s="1" t="str">
        <f>VLOOKUP(Salesdta[[#This Row],[Customer_ID]],Customer_Data_[],8,TRUE)</f>
        <v>Arizona</v>
      </c>
      <c r="G220" s="1" t="s">
        <v>1712</v>
      </c>
      <c r="H220" s="1" t="str">
        <f>VLOOKUP(Salesdta[[#This Row],[Product_ID]],Product_Data_1[],2,TRUE)</f>
        <v>Wooden Bookshelf</v>
      </c>
      <c r="I220" s="1" t="str">
        <f>VLOOKUP(Salesdta[[#This Row],[Product_ID]],Product_Data_1[],3,TRUE)</f>
        <v>Home</v>
      </c>
      <c r="J220" s="1">
        <f>VLOOKUP(Salesdta[[#This Row],[Product_ID]],Product_Data_1[],7,TRUE)</f>
        <v>388</v>
      </c>
      <c r="K220" s="1" t="s">
        <v>1793</v>
      </c>
      <c r="L220" s="1" t="str">
        <f>VLOOKUP(Salesdta[[#This Row],[Store_ID]],Store_Data_1[],3,TRUE)</f>
        <v>North</v>
      </c>
      <c r="M220" s="1">
        <v>1</v>
      </c>
      <c r="N220" s="1">
        <v>521</v>
      </c>
      <c r="O220" s="12">
        <v>0.15</v>
      </c>
      <c r="P220" s="1" t="s">
        <v>1817</v>
      </c>
      <c r="Q220" s="1">
        <v>443</v>
      </c>
      <c r="R220" s="1">
        <f>Salesdta[[#This Row],[Final Revenue]]-Salesdta[[#This Row],[Product cost]]</f>
        <v>55</v>
      </c>
      <c r="S220" s="1" t="str">
        <f>IF(Salesdta[[#This Row],[Final Revenue]]&gt;1000,"Selected","Not Selected")</f>
        <v>Not Selected</v>
      </c>
    </row>
    <row r="221" spans="1:19" x14ac:dyDescent="0.35">
      <c r="A221" s="6" t="s">
        <v>2038</v>
      </c>
      <c r="B221" s="20">
        <v>45721</v>
      </c>
      <c r="C221" s="1" t="str">
        <f>TEXT(Salesdta[[#This Row],[Order_Date]],"mmmm")</f>
        <v>March</v>
      </c>
      <c r="D221" s="1" t="s">
        <v>724</v>
      </c>
      <c r="E221" s="1" t="str">
        <f>VLOOKUP(Salesdta[[#This Row],[Customer_ID]],Customer_Data_[],6,TRUE)</f>
        <v>Female</v>
      </c>
      <c r="F221" s="1" t="str">
        <f>VLOOKUP(Salesdta[[#This Row],[Customer_ID]],Customer_Data_[],8,TRUE)</f>
        <v>Utah</v>
      </c>
      <c r="G221" s="1" t="s">
        <v>1582</v>
      </c>
      <c r="H221" s="1" t="str">
        <f>VLOOKUP(Salesdta[[#This Row],[Product_ID]],Product_Data_1[],2,TRUE)</f>
        <v>Knee Support Brace</v>
      </c>
      <c r="I221" s="1" t="str">
        <f>VLOOKUP(Salesdta[[#This Row],[Product_ID]],Product_Data_1[],3,TRUE)</f>
        <v>Sports</v>
      </c>
      <c r="J221" s="1">
        <f>VLOOKUP(Salesdta[[#This Row],[Product_ID]],Product_Data_1[],7,TRUE)</f>
        <v>21</v>
      </c>
      <c r="K221" s="1" t="s">
        <v>1775</v>
      </c>
      <c r="L221" s="1" t="str">
        <f>VLOOKUP(Salesdta[[#This Row],[Store_ID]],Store_Data_1[],3,TRUE)</f>
        <v>South</v>
      </c>
      <c r="M221" s="1">
        <v>2</v>
      </c>
      <c r="N221" s="1">
        <v>350</v>
      </c>
      <c r="O221" s="12">
        <v>0.21</v>
      </c>
      <c r="P221" s="1" t="s">
        <v>1822</v>
      </c>
      <c r="Q221" s="1">
        <v>553</v>
      </c>
      <c r="R221" s="1">
        <f>Salesdta[[#This Row],[Final Revenue]]-Salesdta[[#This Row],[Product cost]]</f>
        <v>532</v>
      </c>
      <c r="S221" s="1" t="str">
        <f>IF(Salesdta[[#This Row],[Final Revenue]]&gt;1000,"Selected","Not Selected")</f>
        <v>Not Selected</v>
      </c>
    </row>
    <row r="222" spans="1:19" x14ac:dyDescent="0.35">
      <c r="A222" s="6" t="s">
        <v>2039</v>
      </c>
      <c r="B222" s="20">
        <v>45308</v>
      </c>
      <c r="C222" s="1" t="str">
        <f>TEXT(Salesdta[[#This Row],[Order_Date]],"mmmm")</f>
        <v>January</v>
      </c>
      <c r="D222" s="1" t="s">
        <v>1433</v>
      </c>
      <c r="E222" s="1" t="str">
        <f>VLOOKUP(Salesdta[[#This Row],[Customer_ID]],Customer_Data_[],6,TRUE)</f>
        <v>Male</v>
      </c>
      <c r="F222" s="1" t="str">
        <f>VLOOKUP(Salesdta[[#This Row],[Customer_ID]],Customer_Data_[],8,TRUE)</f>
        <v>Minnesota</v>
      </c>
      <c r="G222" s="1" t="s">
        <v>1640</v>
      </c>
      <c r="H222" s="1" t="str">
        <f>VLOOKUP(Salesdta[[#This Row],[Product_ID]],Product_Data_1[],2,TRUE)</f>
        <v>Car Dashboard Phone Holder</v>
      </c>
      <c r="I222" s="1" t="str">
        <f>VLOOKUP(Salesdta[[#This Row],[Product_ID]],Product_Data_1[],3,TRUE)</f>
        <v>Electronics</v>
      </c>
      <c r="J222" s="1">
        <f>VLOOKUP(Salesdta[[#This Row],[Product_ID]],Product_Data_1[],7,TRUE)</f>
        <v>178</v>
      </c>
      <c r="K222" s="1" t="s">
        <v>1809</v>
      </c>
      <c r="L222" s="1" t="str">
        <f>VLOOKUP(Salesdta[[#This Row],[Store_ID]],Store_Data_1[],3,TRUE)</f>
        <v>North</v>
      </c>
      <c r="M222" s="1">
        <v>3</v>
      </c>
      <c r="N222" s="1">
        <v>808</v>
      </c>
      <c r="O222" s="12">
        <v>0.1</v>
      </c>
      <c r="P222" s="1" t="s">
        <v>1819</v>
      </c>
      <c r="Q222" s="1">
        <v>2181</v>
      </c>
      <c r="R222" s="1">
        <f>Salesdta[[#This Row],[Final Revenue]]-Salesdta[[#This Row],[Product cost]]</f>
        <v>2003</v>
      </c>
      <c r="S222" s="1" t="str">
        <f>IF(Salesdta[[#This Row],[Final Revenue]]&gt;1000,"Selected","Not Selected")</f>
        <v>Selected</v>
      </c>
    </row>
    <row r="223" spans="1:19" x14ac:dyDescent="0.35">
      <c r="A223" s="6" t="s">
        <v>2040</v>
      </c>
      <c r="B223" s="20">
        <v>45438</v>
      </c>
      <c r="C223" s="1" t="str">
        <f>TEXT(Salesdta[[#This Row],[Order_Date]],"mmmm")</f>
        <v>May</v>
      </c>
      <c r="D223" s="1" t="s">
        <v>836</v>
      </c>
      <c r="E223" s="1" t="str">
        <f>VLOOKUP(Salesdta[[#This Row],[Customer_ID]],Customer_Data_[],6,TRUE)</f>
        <v>Male</v>
      </c>
      <c r="F223" s="1" t="str">
        <f>VLOOKUP(Salesdta[[#This Row],[Customer_ID]],Customer_Data_[],8,TRUE)</f>
        <v>Louisiana</v>
      </c>
      <c r="G223" s="1" t="s">
        <v>1674</v>
      </c>
      <c r="H223" s="1" t="str">
        <f>VLOOKUP(Salesdta[[#This Row],[Product_ID]],Product_Data_1[],2,TRUE)</f>
        <v>Adjustable Dumbbells 20kg</v>
      </c>
      <c r="I223" s="1" t="str">
        <f>VLOOKUP(Salesdta[[#This Row],[Product_ID]],Product_Data_1[],3,TRUE)</f>
        <v>Sports</v>
      </c>
      <c r="J223" s="1">
        <f>VLOOKUP(Salesdta[[#This Row],[Product_ID]],Product_Data_1[],7,TRUE)</f>
        <v>241</v>
      </c>
      <c r="K223" s="1" t="s">
        <v>1775</v>
      </c>
      <c r="L223" s="1" t="str">
        <f>VLOOKUP(Salesdta[[#This Row],[Store_ID]],Store_Data_1[],3,TRUE)</f>
        <v>South</v>
      </c>
      <c r="M223" s="1">
        <v>1</v>
      </c>
      <c r="N223" s="1">
        <v>204</v>
      </c>
      <c r="O223" s="12">
        <v>0.24</v>
      </c>
      <c r="P223" s="1" t="s">
        <v>1822</v>
      </c>
      <c r="Q223" s="1">
        <v>155</v>
      </c>
      <c r="R223" s="1">
        <f>Salesdta[[#This Row],[Final Revenue]]-Salesdta[[#This Row],[Product cost]]</f>
        <v>-86</v>
      </c>
      <c r="S223" s="1" t="str">
        <f>IF(Salesdta[[#This Row],[Final Revenue]]&gt;1000,"Selected","Not Selected")</f>
        <v>Not Selected</v>
      </c>
    </row>
    <row r="224" spans="1:19" x14ac:dyDescent="0.35">
      <c r="A224" s="6" t="s">
        <v>2041</v>
      </c>
      <c r="B224" s="20">
        <v>45856</v>
      </c>
      <c r="C224" s="1" t="str">
        <f>TEXT(Salesdta[[#This Row],[Order_Date]],"mmmm")</f>
        <v>July</v>
      </c>
      <c r="D224" s="1" t="s">
        <v>1291</v>
      </c>
      <c r="E224" s="1" t="str">
        <f>VLOOKUP(Salesdta[[#This Row],[Customer_ID]],Customer_Data_[],6,TRUE)</f>
        <v>Female</v>
      </c>
      <c r="F224" s="1" t="str">
        <f>VLOOKUP(Salesdta[[#This Row],[Customer_ID]],Customer_Data_[],8,TRUE)</f>
        <v>North Carolina</v>
      </c>
      <c r="G224" s="1" t="s">
        <v>1738</v>
      </c>
      <c r="H224" s="1" t="str">
        <f>VLOOKUP(Salesdta[[#This Row],[Product_ID]],Product_Data_1[],2,TRUE)</f>
        <v>Cricket Bat</v>
      </c>
      <c r="I224" s="1" t="str">
        <f>VLOOKUP(Salesdta[[#This Row],[Product_ID]],Product_Data_1[],3,TRUE)</f>
        <v>Sports</v>
      </c>
      <c r="J224" s="1">
        <f>VLOOKUP(Salesdta[[#This Row],[Product_ID]],Product_Data_1[],7,TRUE)</f>
        <v>246</v>
      </c>
      <c r="K224" s="1" t="s">
        <v>1797</v>
      </c>
      <c r="L224" s="1" t="str">
        <f>VLOOKUP(Salesdta[[#This Row],[Store_ID]],Store_Data_1[],3,TRUE)</f>
        <v>North</v>
      </c>
      <c r="M224" s="1">
        <v>4</v>
      </c>
      <c r="N224" s="1">
        <v>494</v>
      </c>
      <c r="O224" s="12">
        <v>0.24</v>
      </c>
      <c r="P224" s="1" t="s">
        <v>1822</v>
      </c>
      <c r="Q224" s="1">
        <v>1501</v>
      </c>
      <c r="R224" s="1">
        <f>Salesdta[[#This Row],[Final Revenue]]-Salesdta[[#This Row],[Product cost]]</f>
        <v>1255</v>
      </c>
      <c r="S224" s="1" t="str">
        <f>IF(Salesdta[[#This Row],[Final Revenue]]&gt;1000,"Selected","Not Selected")</f>
        <v>Selected</v>
      </c>
    </row>
    <row r="225" spans="1:19" x14ac:dyDescent="0.35">
      <c r="A225" s="6" t="s">
        <v>2042</v>
      </c>
      <c r="B225" s="20">
        <v>45485</v>
      </c>
      <c r="C225" s="1" t="str">
        <f>TEXT(Salesdta[[#This Row],[Order_Date]],"mmmm")</f>
        <v>July</v>
      </c>
      <c r="D225" s="1" t="s">
        <v>76</v>
      </c>
      <c r="E225" s="1" t="str">
        <f>VLOOKUP(Salesdta[[#This Row],[Customer_ID]],Customer_Data_[],6,TRUE)</f>
        <v>Female</v>
      </c>
      <c r="F225" s="1" t="str">
        <f>VLOOKUP(Salesdta[[#This Row],[Customer_ID]],Customer_Data_[],8,TRUE)</f>
        <v>Georgia</v>
      </c>
      <c r="G225" s="1" t="s">
        <v>1626</v>
      </c>
      <c r="H225" s="1" t="str">
        <f>VLOOKUP(Salesdta[[#This Row],[Product_ID]],Product_Data_1[],2,TRUE)</f>
        <v>Yoga Exercise Mat</v>
      </c>
      <c r="I225" s="1" t="str">
        <f>VLOOKUP(Salesdta[[#This Row],[Product_ID]],Product_Data_1[],3,TRUE)</f>
        <v>Sports</v>
      </c>
      <c r="J225" s="1">
        <f>VLOOKUP(Salesdta[[#This Row],[Product_ID]],Product_Data_1[],7,TRUE)</f>
        <v>313</v>
      </c>
      <c r="K225" s="1" t="s">
        <v>1803</v>
      </c>
      <c r="L225" s="1" t="str">
        <f>VLOOKUP(Salesdta[[#This Row],[Store_ID]],Store_Data_1[],3,TRUE)</f>
        <v>North</v>
      </c>
      <c r="M225" s="1">
        <v>1</v>
      </c>
      <c r="N225" s="1">
        <v>641</v>
      </c>
      <c r="O225" s="12">
        <v>0.25</v>
      </c>
      <c r="P225" s="1" t="s">
        <v>1817</v>
      </c>
      <c r="Q225" s="1">
        <v>480</v>
      </c>
      <c r="R225" s="1">
        <f>Salesdta[[#This Row],[Final Revenue]]-Salesdta[[#This Row],[Product cost]]</f>
        <v>167</v>
      </c>
      <c r="S225" s="1" t="str">
        <f>IF(Salesdta[[#This Row],[Final Revenue]]&gt;1000,"Selected","Not Selected")</f>
        <v>Not Selected</v>
      </c>
    </row>
    <row r="226" spans="1:19" x14ac:dyDescent="0.35">
      <c r="A226" s="6" t="s">
        <v>2043</v>
      </c>
      <c r="B226" s="20">
        <v>45826</v>
      </c>
      <c r="C226" s="1" t="str">
        <f>TEXT(Salesdta[[#This Row],[Order_Date]],"mmmm")</f>
        <v>June</v>
      </c>
      <c r="D226" s="1" t="s">
        <v>721</v>
      </c>
      <c r="E226" s="1" t="str">
        <f>VLOOKUP(Salesdta[[#This Row],[Customer_ID]],Customer_Data_[],6,TRUE)</f>
        <v>Male</v>
      </c>
      <c r="F226" s="1" t="str">
        <f>VLOOKUP(Salesdta[[#This Row],[Customer_ID]],Customer_Data_[],8,TRUE)</f>
        <v>Missouri</v>
      </c>
      <c r="G226" s="1" t="s">
        <v>1622</v>
      </c>
      <c r="H226" s="1" t="str">
        <f>VLOOKUP(Salesdta[[#This Row],[Product_ID]],Product_Data_1[],2,TRUE)</f>
        <v>Portable Power Bank</v>
      </c>
      <c r="I226" s="1" t="str">
        <f>VLOOKUP(Salesdta[[#This Row],[Product_ID]],Product_Data_1[],3,TRUE)</f>
        <v>Electronics</v>
      </c>
      <c r="J226" s="1">
        <f>VLOOKUP(Salesdta[[#This Row],[Product_ID]],Product_Data_1[],7,TRUE)</f>
        <v>326</v>
      </c>
      <c r="K226" s="1" t="s">
        <v>1778</v>
      </c>
      <c r="L226" s="1" t="str">
        <f>VLOOKUP(Salesdta[[#This Row],[Store_ID]],Store_Data_1[],3,TRUE)</f>
        <v>West</v>
      </c>
      <c r="M226" s="1">
        <v>4</v>
      </c>
      <c r="N226" s="1">
        <v>140</v>
      </c>
      <c r="O226" s="12">
        <v>0.24</v>
      </c>
      <c r="P226" s="1" t="s">
        <v>1817</v>
      </c>
      <c r="Q226" s="1">
        <v>425</v>
      </c>
      <c r="R226" s="1">
        <f>Salesdta[[#This Row],[Final Revenue]]-Salesdta[[#This Row],[Product cost]]</f>
        <v>99</v>
      </c>
      <c r="S226" s="1" t="str">
        <f>IF(Salesdta[[#This Row],[Final Revenue]]&gt;1000,"Selected","Not Selected")</f>
        <v>Not Selected</v>
      </c>
    </row>
    <row r="227" spans="1:19" x14ac:dyDescent="0.35">
      <c r="A227" s="6" t="s">
        <v>2044</v>
      </c>
      <c r="B227" s="20">
        <v>45556</v>
      </c>
      <c r="C227" s="1" t="str">
        <f>TEXT(Salesdta[[#This Row],[Order_Date]],"mmmm")</f>
        <v>September</v>
      </c>
      <c r="D227" s="1" t="s">
        <v>684</v>
      </c>
      <c r="E227" s="1" t="str">
        <f>VLOOKUP(Salesdta[[#This Row],[Customer_ID]],Customer_Data_[],6,TRUE)</f>
        <v>Female</v>
      </c>
      <c r="F227" s="1" t="str">
        <f>VLOOKUP(Salesdta[[#This Row],[Customer_ID]],Customer_Data_[],8,TRUE)</f>
        <v>Delaware</v>
      </c>
      <c r="G227" s="1" t="s">
        <v>1714</v>
      </c>
      <c r="H227" s="1" t="str">
        <f>VLOOKUP(Salesdta[[#This Row],[Product_ID]],Product_Data_1[],2,TRUE)</f>
        <v>Women's Beanie Hat</v>
      </c>
      <c r="I227" s="1" t="str">
        <f>VLOOKUP(Salesdta[[#This Row],[Product_ID]],Product_Data_1[],3,TRUE)</f>
        <v>Clothing</v>
      </c>
      <c r="J227" s="1">
        <f>VLOOKUP(Salesdta[[#This Row],[Product_ID]],Product_Data_1[],7,TRUE)</f>
        <v>120</v>
      </c>
      <c r="K227" s="1" t="s">
        <v>1803</v>
      </c>
      <c r="L227" s="1" t="str">
        <f>VLOOKUP(Salesdta[[#This Row],[Store_ID]],Store_Data_1[],3,TRUE)</f>
        <v>North</v>
      </c>
      <c r="M227" s="1">
        <v>4</v>
      </c>
      <c r="N227" s="1">
        <v>626</v>
      </c>
      <c r="O227" s="12">
        <v>0.25</v>
      </c>
      <c r="P227" s="1" t="s">
        <v>1822</v>
      </c>
      <c r="Q227" s="1">
        <v>1879</v>
      </c>
      <c r="R227" s="1">
        <f>Salesdta[[#This Row],[Final Revenue]]-Salesdta[[#This Row],[Product cost]]</f>
        <v>1759</v>
      </c>
      <c r="S227" s="1" t="str">
        <f>IF(Salesdta[[#This Row],[Final Revenue]]&gt;1000,"Selected","Not Selected")</f>
        <v>Selected</v>
      </c>
    </row>
    <row r="228" spans="1:19" x14ac:dyDescent="0.35">
      <c r="A228" s="6" t="s">
        <v>2045</v>
      </c>
      <c r="B228" s="20">
        <v>45871</v>
      </c>
      <c r="C228" s="1" t="str">
        <f>TEXT(Salesdta[[#This Row],[Order_Date]],"mmmm")</f>
        <v>August</v>
      </c>
      <c r="D228" s="1" t="s">
        <v>625</v>
      </c>
      <c r="E228" s="1" t="str">
        <f>VLOOKUP(Salesdta[[#This Row],[Customer_ID]],Customer_Data_[],6,TRUE)</f>
        <v>Female</v>
      </c>
      <c r="F228" s="1" t="str">
        <f>VLOOKUP(Salesdta[[#This Row],[Customer_ID]],Customer_Data_[],8,TRUE)</f>
        <v>Ohio</v>
      </c>
      <c r="G228" s="1" t="s">
        <v>1578</v>
      </c>
      <c r="H228" s="1" t="str">
        <f>VLOOKUP(Salesdta[[#This Row],[Product_ID]],Product_Data_1[],2,TRUE)</f>
        <v>Soccer Training Cone Set</v>
      </c>
      <c r="I228" s="1" t="str">
        <f>VLOOKUP(Salesdta[[#This Row],[Product_ID]],Product_Data_1[],3,TRUE)</f>
        <v>Sports</v>
      </c>
      <c r="J228" s="1">
        <f>VLOOKUP(Salesdta[[#This Row],[Product_ID]],Product_Data_1[],7,TRUE)</f>
        <v>145</v>
      </c>
      <c r="K228" s="1" t="s">
        <v>1753</v>
      </c>
      <c r="L228" s="1" t="str">
        <f>VLOOKUP(Salesdta[[#This Row],[Store_ID]],Store_Data_1[],3,TRUE)</f>
        <v>North</v>
      </c>
      <c r="M228" s="1">
        <v>4</v>
      </c>
      <c r="N228" s="1">
        <v>354</v>
      </c>
      <c r="O228" s="12">
        <v>0.03</v>
      </c>
      <c r="P228" s="1" t="s">
        <v>1822</v>
      </c>
      <c r="Q228" s="1">
        <v>1372</v>
      </c>
      <c r="R228" s="1">
        <f>Salesdta[[#This Row],[Final Revenue]]-Salesdta[[#This Row],[Product cost]]</f>
        <v>1227</v>
      </c>
      <c r="S228" s="1" t="str">
        <f>IF(Salesdta[[#This Row],[Final Revenue]]&gt;1000,"Selected","Not Selected")</f>
        <v>Selected</v>
      </c>
    </row>
    <row r="229" spans="1:19" x14ac:dyDescent="0.35">
      <c r="A229" s="6" t="s">
        <v>2046</v>
      </c>
      <c r="B229" s="20">
        <v>45268</v>
      </c>
      <c r="C229" s="1" t="str">
        <f>TEXT(Salesdta[[#This Row],[Order_Date]],"mmmm")</f>
        <v>December</v>
      </c>
      <c r="D229" s="1" t="s">
        <v>645</v>
      </c>
      <c r="E229" s="1" t="str">
        <f>VLOOKUP(Salesdta[[#This Row],[Customer_ID]],Customer_Data_[],6,TRUE)</f>
        <v>Male</v>
      </c>
      <c r="F229" s="1" t="str">
        <f>VLOOKUP(Salesdta[[#This Row],[Customer_ID]],Customer_Data_[],8,TRUE)</f>
        <v>Vermont</v>
      </c>
      <c r="G229" s="1" t="s">
        <v>1568</v>
      </c>
      <c r="H229" s="1" t="str">
        <f>VLOOKUP(Salesdta[[#This Row],[Product_ID]],Product_Data_1[],2,TRUE)</f>
        <v>Hair Strengthening Shampoo</v>
      </c>
      <c r="I229" s="1" t="str">
        <f>VLOOKUP(Salesdta[[#This Row],[Product_ID]],Product_Data_1[],3,TRUE)</f>
        <v>Beauty</v>
      </c>
      <c r="J229" s="1">
        <f>VLOOKUP(Salesdta[[#This Row],[Product_ID]],Product_Data_1[],7,TRUE)</f>
        <v>116</v>
      </c>
      <c r="K229" s="1" t="s">
        <v>1797</v>
      </c>
      <c r="L229" s="1" t="str">
        <f>VLOOKUP(Salesdta[[#This Row],[Store_ID]],Store_Data_1[],3,TRUE)</f>
        <v>North</v>
      </c>
      <c r="M229" s="1">
        <v>4</v>
      </c>
      <c r="N229" s="1">
        <v>889</v>
      </c>
      <c r="O229" s="12">
        <v>0.24</v>
      </c>
      <c r="P229" s="1" t="s">
        <v>1817</v>
      </c>
      <c r="Q229" s="1">
        <v>2704</v>
      </c>
      <c r="R229" s="1">
        <f>Salesdta[[#This Row],[Final Revenue]]-Salesdta[[#This Row],[Product cost]]</f>
        <v>2588</v>
      </c>
      <c r="S229" s="1" t="str">
        <f>IF(Salesdta[[#This Row],[Final Revenue]]&gt;1000,"Selected","Not Selected")</f>
        <v>Selected</v>
      </c>
    </row>
    <row r="230" spans="1:19" x14ac:dyDescent="0.35">
      <c r="A230" s="6" t="s">
        <v>2047</v>
      </c>
      <c r="B230" s="20">
        <v>45624</v>
      </c>
      <c r="C230" s="1" t="str">
        <f>TEXT(Salesdta[[#This Row],[Order_Date]],"mmmm")</f>
        <v>November</v>
      </c>
      <c r="D230" s="1" t="s">
        <v>1439</v>
      </c>
      <c r="E230" s="1" t="str">
        <f>VLOOKUP(Salesdta[[#This Row],[Customer_ID]],Customer_Data_[],6,TRUE)</f>
        <v>Male</v>
      </c>
      <c r="F230" s="1" t="str">
        <f>VLOOKUP(Salesdta[[#This Row],[Customer_ID]],Customer_Data_[],8,TRUE)</f>
        <v>Vermont</v>
      </c>
      <c r="G230" s="1" t="s">
        <v>1694</v>
      </c>
      <c r="H230" s="1" t="str">
        <f>VLOOKUP(Salesdta[[#This Row],[Product_ID]],Product_Data_1[],2,TRUE)</f>
        <v>Women's Ankle Boots</v>
      </c>
      <c r="I230" s="1" t="str">
        <f>VLOOKUP(Salesdta[[#This Row],[Product_ID]],Product_Data_1[],3,TRUE)</f>
        <v>Clothing</v>
      </c>
      <c r="J230" s="1">
        <f>VLOOKUP(Salesdta[[#This Row],[Product_ID]],Product_Data_1[],7,TRUE)</f>
        <v>158</v>
      </c>
      <c r="K230" s="1" t="s">
        <v>1769</v>
      </c>
      <c r="L230" s="1" t="str">
        <f>VLOOKUP(Salesdta[[#This Row],[Store_ID]],Store_Data_1[],3,TRUE)</f>
        <v>North</v>
      </c>
      <c r="M230" s="1">
        <v>2</v>
      </c>
      <c r="N230" s="1">
        <v>865</v>
      </c>
      <c r="O230" s="12">
        <v>0.2</v>
      </c>
      <c r="P230" s="1" t="s">
        <v>1819</v>
      </c>
      <c r="Q230" s="1">
        <v>1384</v>
      </c>
      <c r="R230" s="1">
        <f>Salesdta[[#This Row],[Final Revenue]]-Salesdta[[#This Row],[Product cost]]</f>
        <v>1226</v>
      </c>
      <c r="S230" s="1" t="str">
        <f>IF(Salesdta[[#This Row],[Final Revenue]]&gt;1000,"Selected","Not Selected")</f>
        <v>Selected</v>
      </c>
    </row>
    <row r="231" spans="1:19" x14ac:dyDescent="0.35">
      <c r="A231" s="6" t="s">
        <v>2048</v>
      </c>
      <c r="B231" s="20">
        <v>45615</v>
      </c>
      <c r="C231" s="1" t="str">
        <f>TEXT(Salesdta[[#This Row],[Order_Date]],"mmmm")</f>
        <v>November</v>
      </c>
      <c r="D231" s="1" t="s">
        <v>162</v>
      </c>
      <c r="E231" s="1" t="str">
        <f>VLOOKUP(Salesdta[[#This Row],[Customer_ID]],Customer_Data_[],6,TRUE)</f>
        <v>Male</v>
      </c>
      <c r="F231" s="1" t="str">
        <f>VLOOKUP(Salesdta[[#This Row],[Customer_ID]],Customer_Data_[],8,TRUE)</f>
        <v>Connecticut</v>
      </c>
      <c r="G231" s="1" t="s">
        <v>1646</v>
      </c>
      <c r="H231" s="1" t="str">
        <f>VLOOKUP(Salesdta[[#This Row],[Product_ID]],Product_Data_1[],2,TRUE)</f>
        <v>HDMI Cable – 2m</v>
      </c>
      <c r="I231" s="1" t="str">
        <f>VLOOKUP(Salesdta[[#This Row],[Product_ID]],Product_Data_1[],3,TRUE)</f>
        <v>Electronics</v>
      </c>
      <c r="J231" s="1">
        <f>VLOOKUP(Salesdta[[#This Row],[Product_ID]],Product_Data_1[],7,TRUE)</f>
        <v>88</v>
      </c>
      <c r="K231" s="1" t="s">
        <v>1790</v>
      </c>
      <c r="L231" s="1" t="str">
        <f>VLOOKUP(Salesdta[[#This Row],[Store_ID]],Store_Data_1[],3,TRUE)</f>
        <v>North</v>
      </c>
      <c r="M231" s="1">
        <v>3</v>
      </c>
      <c r="N231" s="1">
        <v>781</v>
      </c>
      <c r="O231" s="12">
        <v>0.12</v>
      </c>
      <c r="P231" s="1" t="s">
        <v>1817</v>
      </c>
      <c r="Q231" s="1">
        <v>2063</v>
      </c>
      <c r="R231" s="1">
        <f>Salesdta[[#This Row],[Final Revenue]]-Salesdta[[#This Row],[Product cost]]</f>
        <v>1975</v>
      </c>
      <c r="S231" s="1" t="str">
        <f>IF(Salesdta[[#This Row],[Final Revenue]]&gt;1000,"Selected","Not Selected")</f>
        <v>Selected</v>
      </c>
    </row>
    <row r="232" spans="1:19" x14ac:dyDescent="0.35">
      <c r="A232" s="6" t="s">
        <v>2049</v>
      </c>
      <c r="B232" s="20">
        <v>45679</v>
      </c>
      <c r="C232" s="1" t="str">
        <f>TEXT(Salesdta[[#This Row],[Order_Date]],"mmmm")</f>
        <v>January</v>
      </c>
      <c r="D232" s="1" t="s">
        <v>1477</v>
      </c>
      <c r="E232" s="1" t="str">
        <f>VLOOKUP(Salesdta[[#This Row],[Customer_ID]],Customer_Data_[],6,TRUE)</f>
        <v>Male</v>
      </c>
      <c r="F232" s="1" t="str">
        <f>VLOOKUP(Salesdta[[#This Row],[Customer_ID]],Customer_Data_[],8,TRUE)</f>
        <v>Georgia</v>
      </c>
      <c r="G232" s="1" t="s">
        <v>1668</v>
      </c>
      <c r="H232" s="1" t="str">
        <f>VLOOKUP(Salesdta[[#This Row],[Product_ID]],Product_Data_1[],2,TRUE)</f>
        <v>Laptop Cooling Pad</v>
      </c>
      <c r="I232" s="1" t="str">
        <f>VLOOKUP(Salesdta[[#This Row],[Product_ID]],Product_Data_1[],3,TRUE)</f>
        <v>Electronics</v>
      </c>
      <c r="J232" s="1">
        <f>VLOOKUP(Salesdta[[#This Row],[Product_ID]],Product_Data_1[],7,TRUE)</f>
        <v>86</v>
      </c>
      <c r="K232" s="1" t="s">
        <v>1795</v>
      </c>
      <c r="L232" s="1" t="str">
        <f>VLOOKUP(Salesdta[[#This Row],[Store_ID]],Store_Data_1[],3,TRUE)</f>
        <v>North</v>
      </c>
      <c r="M232" s="1">
        <v>2</v>
      </c>
      <c r="N232" s="1">
        <v>838</v>
      </c>
      <c r="O232" s="12">
        <v>0.03</v>
      </c>
      <c r="P232" s="1" t="s">
        <v>1822</v>
      </c>
      <c r="Q232" s="1">
        <v>1625</v>
      </c>
      <c r="R232" s="1">
        <f>Salesdta[[#This Row],[Final Revenue]]-Salesdta[[#This Row],[Product cost]]</f>
        <v>1539</v>
      </c>
      <c r="S232" s="1" t="str">
        <f>IF(Salesdta[[#This Row],[Final Revenue]]&gt;1000,"Selected","Not Selected")</f>
        <v>Selected</v>
      </c>
    </row>
    <row r="233" spans="1:19" x14ac:dyDescent="0.35">
      <c r="A233" s="6" t="s">
        <v>2050</v>
      </c>
      <c r="B233" s="20">
        <v>45842</v>
      </c>
      <c r="C233" s="1" t="str">
        <f>TEXT(Salesdta[[#This Row],[Order_Date]],"mmmm")</f>
        <v>July</v>
      </c>
      <c r="D233" s="1" t="s">
        <v>1391</v>
      </c>
      <c r="E233" s="1" t="str">
        <f>VLOOKUP(Salesdta[[#This Row],[Customer_ID]],Customer_Data_[],6,TRUE)</f>
        <v>Male</v>
      </c>
      <c r="F233" s="1" t="str">
        <f>VLOOKUP(Salesdta[[#This Row],[Customer_ID]],Customer_Data_[],8,TRUE)</f>
        <v>New Mexico</v>
      </c>
      <c r="G233" s="1" t="s">
        <v>1724</v>
      </c>
      <c r="H233" s="1" t="str">
        <f>VLOOKUP(Salesdta[[#This Row],[Product_ID]],Product_Data_1[],2,TRUE)</f>
        <v>Gaming Mouse Pad XL</v>
      </c>
      <c r="I233" s="1" t="str">
        <f>VLOOKUP(Salesdta[[#This Row],[Product_ID]],Product_Data_1[],3,TRUE)</f>
        <v>Electronics</v>
      </c>
      <c r="J233" s="1">
        <f>VLOOKUP(Salesdta[[#This Row],[Product_ID]],Product_Data_1[],7,TRUE)</f>
        <v>340</v>
      </c>
      <c r="K233" s="1" t="s">
        <v>1753</v>
      </c>
      <c r="L233" s="1" t="str">
        <f>VLOOKUP(Salesdta[[#This Row],[Store_ID]],Store_Data_1[],3,TRUE)</f>
        <v>North</v>
      </c>
      <c r="M233" s="1">
        <v>3</v>
      </c>
      <c r="N233" s="1">
        <v>136</v>
      </c>
      <c r="O233" s="12">
        <v>0.2</v>
      </c>
      <c r="P233" s="1" t="s">
        <v>1817</v>
      </c>
      <c r="Q233" s="1">
        <v>326</v>
      </c>
      <c r="R233" s="1">
        <f>Salesdta[[#This Row],[Final Revenue]]-Salesdta[[#This Row],[Product cost]]</f>
        <v>-14</v>
      </c>
      <c r="S233" s="1" t="str">
        <f>IF(Salesdta[[#This Row],[Final Revenue]]&gt;1000,"Selected","Not Selected")</f>
        <v>Not Selected</v>
      </c>
    </row>
    <row r="234" spans="1:19" x14ac:dyDescent="0.35">
      <c r="A234" s="6" t="s">
        <v>2051</v>
      </c>
      <c r="B234" s="20">
        <v>45796</v>
      </c>
      <c r="C234" s="1" t="str">
        <f>TEXT(Salesdta[[#This Row],[Order_Date]],"mmmm")</f>
        <v>May</v>
      </c>
      <c r="D234" s="1" t="s">
        <v>1471</v>
      </c>
      <c r="E234" s="1" t="str">
        <f>VLOOKUP(Salesdta[[#This Row],[Customer_ID]],Customer_Data_[],6,TRUE)</f>
        <v>Male</v>
      </c>
      <c r="F234" s="1" t="str">
        <f>VLOOKUP(Salesdta[[#This Row],[Customer_ID]],Customer_Data_[],8,TRUE)</f>
        <v>West Virginia</v>
      </c>
      <c r="G234" s="1" t="s">
        <v>1692</v>
      </c>
      <c r="H234" s="1" t="str">
        <f>VLOOKUP(Salesdta[[#This Row],[Product_ID]],Product_Data_1[],2,TRUE)</f>
        <v>Bluetooth Car Audio System</v>
      </c>
      <c r="I234" s="1" t="str">
        <f>VLOOKUP(Salesdta[[#This Row],[Product_ID]],Product_Data_1[],3,TRUE)</f>
        <v>Electronics</v>
      </c>
      <c r="J234" s="1">
        <f>VLOOKUP(Salesdta[[#This Row],[Product_ID]],Product_Data_1[],7,TRUE)</f>
        <v>404</v>
      </c>
      <c r="K234" s="1" t="s">
        <v>1753</v>
      </c>
      <c r="L234" s="1" t="str">
        <f>VLOOKUP(Salesdta[[#This Row],[Store_ID]],Store_Data_1[],3,TRUE)</f>
        <v>North</v>
      </c>
      <c r="M234" s="1">
        <v>4</v>
      </c>
      <c r="N234" s="1">
        <v>397</v>
      </c>
      <c r="O234" s="12">
        <v>7.0000000000000007E-2</v>
      </c>
      <c r="P234" s="1" t="s">
        <v>1819</v>
      </c>
      <c r="Q234" s="1">
        <v>1475</v>
      </c>
      <c r="R234" s="1">
        <f>Salesdta[[#This Row],[Final Revenue]]-Salesdta[[#This Row],[Product cost]]</f>
        <v>1071</v>
      </c>
      <c r="S234" s="1" t="str">
        <f>IF(Salesdta[[#This Row],[Final Revenue]]&gt;1000,"Selected","Not Selected")</f>
        <v>Selected</v>
      </c>
    </row>
    <row r="235" spans="1:19" x14ac:dyDescent="0.35">
      <c r="A235" s="6" t="s">
        <v>2052</v>
      </c>
      <c r="B235" s="20">
        <v>45264</v>
      </c>
      <c r="C235" s="1" t="str">
        <f>TEXT(Salesdta[[#This Row],[Order_Date]],"mmmm")</f>
        <v>December</v>
      </c>
      <c r="D235" s="1" t="s">
        <v>710</v>
      </c>
      <c r="E235" s="1" t="str">
        <f>VLOOKUP(Salesdta[[#This Row],[Customer_ID]],Customer_Data_[],6,TRUE)</f>
        <v>Female</v>
      </c>
      <c r="F235" s="1" t="str">
        <f>VLOOKUP(Salesdta[[#This Row],[Customer_ID]],Customer_Data_[],8,TRUE)</f>
        <v>Massachusetts</v>
      </c>
      <c r="G235" s="1" t="s">
        <v>1602</v>
      </c>
      <c r="H235" s="1" t="str">
        <f>VLOOKUP(Salesdta[[#This Row],[Product_ID]],Product_Data_1[],2,TRUE)</f>
        <v>Fabric Sofa Throw Blanket</v>
      </c>
      <c r="I235" s="1" t="str">
        <f>VLOOKUP(Salesdta[[#This Row],[Product_ID]],Product_Data_1[],3,TRUE)</f>
        <v>Home</v>
      </c>
      <c r="J235" s="1">
        <f>VLOOKUP(Salesdta[[#This Row],[Product_ID]],Product_Data_1[],7,TRUE)</f>
        <v>218</v>
      </c>
      <c r="K235" s="1" t="s">
        <v>1795</v>
      </c>
      <c r="L235" s="1" t="str">
        <f>VLOOKUP(Salesdta[[#This Row],[Store_ID]],Store_Data_1[],3,TRUE)</f>
        <v>North</v>
      </c>
      <c r="M235" s="1">
        <v>2</v>
      </c>
      <c r="N235" s="1">
        <v>722</v>
      </c>
      <c r="O235" s="12">
        <v>0.22</v>
      </c>
      <c r="P235" s="1" t="s">
        <v>1819</v>
      </c>
      <c r="Q235" s="1">
        <v>1127</v>
      </c>
      <c r="R235" s="1">
        <f>Salesdta[[#This Row],[Final Revenue]]-Salesdta[[#This Row],[Product cost]]</f>
        <v>909</v>
      </c>
      <c r="S235" s="1" t="str">
        <f>IF(Salesdta[[#This Row],[Final Revenue]]&gt;1000,"Selected","Not Selected")</f>
        <v>Selected</v>
      </c>
    </row>
    <row r="236" spans="1:19" x14ac:dyDescent="0.35">
      <c r="A236" s="6" t="s">
        <v>2053</v>
      </c>
      <c r="B236" s="20">
        <v>45504</v>
      </c>
      <c r="C236" s="1" t="str">
        <f>TEXT(Salesdta[[#This Row],[Order_Date]],"mmmm")</f>
        <v>July</v>
      </c>
      <c r="D236" s="1" t="s">
        <v>179</v>
      </c>
      <c r="E236" s="1" t="str">
        <f>VLOOKUP(Salesdta[[#This Row],[Customer_ID]],Customer_Data_[],6,TRUE)</f>
        <v>Female</v>
      </c>
      <c r="F236" s="1" t="str">
        <f>VLOOKUP(Salesdta[[#This Row],[Customer_ID]],Customer_Data_[],8,TRUE)</f>
        <v>Nevada</v>
      </c>
      <c r="G236" s="1" t="s">
        <v>1672</v>
      </c>
      <c r="H236" s="1" t="str">
        <f>VLOOKUP(Salesdta[[#This Row],[Product_ID]],Product_Data_1[],2,TRUE)</f>
        <v>Matte Lipstick Set</v>
      </c>
      <c r="I236" s="1" t="str">
        <f>VLOOKUP(Salesdta[[#This Row],[Product_ID]],Product_Data_1[],3,TRUE)</f>
        <v>Beauty</v>
      </c>
      <c r="J236" s="1">
        <f>VLOOKUP(Salesdta[[#This Row],[Product_ID]],Product_Data_1[],7,TRUE)</f>
        <v>299</v>
      </c>
      <c r="K236" s="1" t="s">
        <v>1757</v>
      </c>
      <c r="L236" s="1" t="str">
        <f>VLOOKUP(Salesdta[[#This Row],[Store_ID]],Store_Data_1[],3,TRUE)</f>
        <v>South</v>
      </c>
      <c r="M236" s="1">
        <v>2</v>
      </c>
      <c r="N236" s="1">
        <v>138</v>
      </c>
      <c r="O236" s="12">
        <v>0.02</v>
      </c>
      <c r="P236" s="1" t="s">
        <v>1817</v>
      </c>
      <c r="Q236" s="1">
        <v>271</v>
      </c>
      <c r="R236" s="1">
        <f>Salesdta[[#This Row],[Final Revenue]]-Salesdta[[#This Row],[Product cost]]</f>
        <v>-28</v>
      </c>
      <c r="S236" s="1" t="str">
        <f>IF(Salesdta[[#This Row],[Final Revenue]]&gt;1000,"Selected","Not Selected")</f>
        <v>Not Selected</v>
      </c>
    </row>
    <row r="237" spans="1:19" x14ac:dyDescent="0.35">
      <c r="A237" s="6" t="s">
        <v>2054</v>
      </c>
      <c r="B237" s="20">
        <v>45389</v>
      </c>
      <c r="C237" s="1" t="str">
        <f>TEXT(Salesdta[[#This Row],[Order_Date]],"mmmm")</f>
        <v>April</v>
      </c>
      <c r="D237" s="1" t="s">
        <v>957</v>
      </c>
      <c r="E237" s="1" t="str">
        <f>VLOOKUP(Salesdta[[#This Row],[Customer_ID]],Customer_Data_[],6,TRUE)</f>
        <v>Male</v>
      </c>
      <c r="F237" s="1" t="str">
        <f>VLOOKUP(Salesdta[[#This Row],[Customer_ID]],Customer_Data_[],8,TRUE)</f>
        <v>Kansas</v>
      </c>
      <c r="G237" s="1" t="s">
        <v>1644</v>
      </c>
      <c r="H237" s="1" t="str">
        <f>VLOOKUP(Salesdta[[#This Row],[Product_ID]],Product_Data_1[],2,TRUE)</f>
        <v>Boxing Hand Wraps</v>
      </c>
      <c r="I237" s="1" t="str">
        <f>VLOOKUP(Salesdta[[#This Row],[Product_ID]],Product_Data_1[],3,TRUE)</f>
        <v>Sports</v>
      </c>
      <c r="J237" s="1">
        <f>VLOOKUP(Salesdta[[#This Row],[Product_ID]],Product_Data_1[],7,TRUE)</f>
        <v>190</v>
      </c>
      <c r="K237" s="1" t="s">
        <v>1757</v>
      </c>
      <c r="L237" s="1" t="str">
        <f>VLOOKUP(Salesdta[[#This Row],[Store_ID]],Store_Data_1[],3,TRUE)</f>
        <v>South</v>
      </c>
      <c r="M237" s="1">
        <v>1</v>
      </c>
      <c r="N237" s="1">
        <v>89</v>
      </c>
      <c r="O237" s="12">
        <v>0.19</v>
      </c>
      <c r="P237" s="1" t="s">
        <v>1819</v>
      </c>
      <c r="Q237" s="1">
        <v>72</v>
      </c>
      <c r="R237" s="1">
        <f>Salesdta[[#This Row],[Final Revenue]]-Salesdta[[#This Row],[Product cost]]</f>
        <v>-118</v>
      </c>
      <c r="S237" s="1" t="str">
        <f>IF(Salesdta[[#This Row],[Final Revenue]]&gt;1000,"Selected","Not Selected")</f>
        <v>Not Selected</v>
      </c>
    </row>
    <row r="238" spans="1:19" x14ac:dyDescent="0.35">
      <c r="A238" s="6" t="s">
        <v>2055</v>
      </c>
      <c r="B238" s="20">
        <v>45663</v>
      </c>
      <c r="C238" s="1" t="str">
        <f>TEXT(Salesdta[[#This Row],[Order_Date]],"mmmm")</f>
        <v>January</v>
      </c>
      <c r="D238" s="1" t="s">
        <v>315</v>
      </c>
      <c r="E238" s="1" t="str">
        <f>VLOOKUP(Salesdta[[#This Row],[Customer_ID]],Customer_Data_[],6,TRUE)</f>
        <v>Male</v>
      </c>
      <c r="F238" s="1" t="str">
        <f>VLOOKUP(Salesdta[[#This Row],[Customer_ID]],Customer_Data_[],8,TRUE)</f>
        <v>Arkansas</v>
      </c>
      <c r="G238" s="1" t="s">
        <v>1545</v>
      </c>
      <c r="H238" s="1" t="str">
        <f>VLOOKUP(Salesdta[[#This Row],[Product_ID]],Product_Data_1[],2,TRUE)</f>
        <v>Knee Support Brace</v>
      </c>
      <c r="I238" s="1" t="str">
        <f>VLOOKUP(Salesdta[[#This Row],[Product_ID]],Product_Data_1[],3,TRUE)</f>
        <v>Sports</v>
      </c>
      <c r="J238" s="1">
        <f>VLOOKUP(Salesdta[[#This Row],[Product_ID]],Product_Data_1[],7,TRUE)</f>
        <v>21</v>
      </c>
      <c r="K238" s="1" t="s">
        <v>1765</v>
      </c>
      <c r="L238" s="1" t="str">
        <f>VLOOKUP(Salesdta[[#This Row],[Store_ID]],Store_Data_1[],3,TRUE)</f>
        <v>South</v>
      </c>
      <c r="M238" s="1">
        <v>2</v>
      </c>
      <c r="N238" s="1">
        <v>123</v>
      </c>
      <c r="O238" s="12">
        <v>0.19</v>
      </c>
      <c r="P238" s="1" t="s">
        <v>1817</v>
      </c>
      <c r="Q238" s="1">
        <v>200</v>
      </c>
      <c r="R238" s="1">
        <f>Salesdta[[#This Row],[Final Revenue]]-Salesdta[[#This Row],[Product cost]]</f>
        <v>179</v>
      </c>
      <c r="S238" s="1" t="str">
        <f>IF(Salesdta[[#This Row],[Final Revenue]]&gt;1000,"Selected","Not Selected")</f>
        <v>Not Selected</v>
      </c>
    </row>
    <row r="239" spans="1:19" x14ac:dyDescent="0.35">
      <c r="A239" s="6" t="s">
        <v>2056</v>
      </c>
      <c r="B239" s="20">
        <v>45879</v>
      </c>
      <c r="C239" s="1" t="str">
        <f>TEXT(Salesdta[[#This Row],[Order_Date]],"mmmm")</f>
        <v>August</v>
      </c>
      <c r="D239" s="1" t="s">
        <v>1118</v>
      </c>
      <c r="E239" s="1" t="str">
        <f>VLOOKUP(Salesdta[[#This Row],[Customer_ID]],Customer_Data_[],6,TRUE)</f>
        <v>Female</v>
      </c>
      <c r="F239" s="1" t="str">
        <f>VLOOKUP(Salesdta[[#This Row],[Customer_ID]],Customer_Data_[],8,TRUE)</f>
        <v>Mississippi</v>
      </c>
      <c r="G239" s="1" t="s">
        <v>1654</v>
      </c>
      <c r="H239" s="1" t="str">
        <f>VLOOKUP(Salesdta[[#This Row],[Product_ID]],Product_Data_1[],2,TRUE)</f>
        <v>Ceramic Plant Pot</v>
      </c>
      <c r="I239" s="1" t="str">
        <f>VLOOKUP(Salesdta[[#This Row],[Product_ID]],Product_Data_1[],3,TRUE)</f>
        <v>Home</v>
      </c>
      <c r="J239" s="1">
        <f>VLOOKUP(Salesdta[[#This Row],[Product_ID]],Product_Data_1[],7,TRUE)</f>
        <v>82</v>
      </c>
      <c r="K239" s="1" t="s">
        <v>1809</v>
      </c>
      <c r="L239" s="1" t="str">
        <f>VLOOKUP(Salesdta[[#This Row],[Store_ID]],Store_Data_1[],3,TRUE)</f>
        <v>North</v>
      </c>
      <c r="M239" s="1">
        <v>1</v>
      </c>
      <c r="N239" s="1">
        <v>223</v>
      </c>
      <c r="O239" s="12">
        <v>0.02</v>
      </c>
      <c r="P239" s="1" t="s">
        <v>1819</v>
      </c>
      <c r="Q239" s="1">
        <v>218</v>
      </c>
      <c r="R239" s="1">
        <f>Salesdta[[#This Row],[Final Revenue]]-Salesdta[[#This Row],[Product cost]]</f>
        <v>136</v>
      </c>
      <c r="S239" s="1" t="str">
        <f>IF(Salesdta[[#This Row],[Final Revenue]]&gt;1000,"Selected","Not Selected")</f>
        <v>Not Selected</v>
      </c>
    </row>
    <row r="240" spans="1:19" x14ac:dyDescent="0.35">
      <c r="A240" s="6" t="s">
        <v>2057</v>
      </c>
      <c r="B240" s="20">
        <v>45840</v>
      </c>
      <c r="C240" s="1" t="str">
        <f>TEXT(Salesdta[[#This Row],[Order_Date]],"mmmm")</f>
        <v>July</v>
      </c>
      <c r="D240" s="1" t="s">
        <v>1041</v>
      </c>
      <c r="E240" s="1" t="str">
        <f>VLOOKUP(Salesdta[[#This Row],[Customer_ID]],Customer_Data_[],6,TRUE)</f>
        <v>Female</v>
      </c>
      <c r="F240" s="1" t="str">
        <f>VLOOKUP(Salesdta[[#This Row],[Customer_ID]],Customer_Data_[],8,TRUE)</f>
        <v>Hawaii</v>
      </c>
      <c r="G240" s="1" t="s">
        <v>1608</v>
      </c>
      <c r="H240" s="1" t="str">
        <f>VLOOKUP(Salesdta[[#This Row],[Product_ID]],Product_Data_1[],2,TRUE)</f>
        <v>Vitamin C Face Serum</v>
      </c>
      <c r="I240" s="1" t="str">
        <f>VLOOKUP(Salesdta[[#This Row],[Product_ID]],Product_Data_1[],3,TRUE)</f>
        <v>Beauty</v>
      </c>
      <c r="J240" s="1">
        <f>VLOOKUP(Salesdta[[#This Row],[Product_ID]],Product_Data_1[],7,TRUE)</f>
        <v>284</v>
      </c>
      <c r="K240" s="1" t="s">
        <v>1765</v>
      </c>
      <c r="L240" s="1" t="str">
        <f>VLOOKUP(Salesdta[[#This Row],[Store_ID]],Store_Data_1[],3,TRUE)</f>
        <v>South</v>
      </c>
      <c r="M240" s="1">
        <v>3</v>
      </c>
      <c r="N240" s="1">
        <v>602</v>
      </c>
      <c r="O240" s="12">
        <v>0.14000000000000001</v>
      </c>
      <c r="P240" s="1" t="s">
        <v>1817</v>
      </c>
      <c r="Q240" s="1">
        <v>1553</v>
      </c>
      <c r="R240" s="1">
        <f>Salesdta[[#This Row],[Final Revenue]]-Salesdta[[#This Row],[Product cost]]</f>
        <v>1269</v>
      </c>
      <c r="S240" s="1" t="str">
        <f>IF(Salesdta[[#This Row],[Final Revenue]]&gt;1000,"Selected","Not Selected")</f>
        <v>Selected</v>
      </c>
    </row>
    <row r="241" spans="1:19" x14ac:dyDescent="0.35">
      <c r="A241" s="6" t="s">
        <v>2058</v>
      </c>
      <c r="B241" s="20">
        <v>45380</v>
      </c>
      <c r="C241" s="1" t="str">
        <f>TEXT(Salesdta[[#This Row],[Order_Date]],"mmmm")</f>
        <v>March</v>
      </c>
      <c r="D241" s="1" t="s">
        <v>936</v>
      </c>
      <c r="E241" s="1" t="str">
        <f>VLOOKUP(Salesdta[[#This Row],[Customer_ID]],Customer_Data_[],6,TRUE)</f>
        <v>Female</v>
      </c>
      <c r="F241" s="1" t="str">
        <f>VLOOKUP(Salesdta[[#This Row],[Customer_ID]],Customer_Data_[],8,TRUE)</f>
        <v>Missouri</v>
      </c>
      <c r="G241" s="1" t="s">
        <v>1682</v>
      </c>
      <c r="H241" s="1" t="str">
        <f>VLOOKUP(Salesdta[[#This Row],[Product_ID]],Product_Data_1[],2,TRUE)</f>
        <v>Men's Sports Shorts</v>
      </c>
      <c r="I241" s="1" t="str">
        <f>VLOOKUP(Salesdta[[#This Row],[Product_ID]],Product_Data_1[],3,TRUE)</f>
        <v>Clothing</v>
      </c>
      <c r="J241" s="1">
        <f>VLOOKUP(Salesdta[[#This Row],[Product_ID]],Product_Data_1[],7,TRUE)</f>
        <v>218</v>
      </c>
      <c r="K241" s="1" t="s">
        <v>1757</v>
      </c>
      <c r="L241" s="1" t="str">
        <f>VLOOKUP(Salesdta[[#This Row],[Store_ID]],Store_Data_1[],3,TRUE)</f>
        <v>South</v>
      </c>
      <c r="M241" s="1">
        <v>1</v>
      </c>
      <c r="N241" s="1">
        <v>564</v>
      </c>
      <c r="O241" s="12">
        <v>0.03</v>
      </c>
      <c r="P241" s="1" t="s">
        <v>1817</v>
      </c>
      <c r="Q241" s="1">
        <v>547</v>
      </c>
      <c r="R241" s="1">
        <f>Salesdta[[#This Row],[Final Revenue]]-Salesdta[[#This Row],[Product cost]]</f>
        <v>329</v>
      </c>
      <c r="S241" s="1" t="str">
        <f>IF(Salesdta[[#This Row],[Final Revenue]]&gt;1000,"Selected","Not Selected")</f>
        <v>Not Selected</v>
      </c>
    </row>
    <row r="242" spans="1:19" x14ac:dyDescent="0.35">
      <c r="A242" s="6" t="s">
        <v>2059</v>
      </c>
      <c r="B242" s="20">
        <v>45497</v>
      </c>
      <c r="C242" s="1" t="str">
        <f>TEXT(Salesdta[[#This Row],[Order_Date]],"mmmm")</f>
        <v>July</v>
      </c>
      <c r="D242" s="1" t="s">
        <v>1353</v>
      </c>
      <c r="E242" s="1" t="str">
        <f>VLOOKUP(Salesdta[[#This Row],[Customer_ID]],Customer_Data_[],6,TRUE)</f>
        <v>Female</v>
      </c>
      <c r="F242" s="1" t="str">
        <f>VLOOKUP(Salesdta[[#This Row],[Customer_ID]],Customer_Data_[],8,TRUE)</f>
        <v>Tennessee</v>
      </c>
      <c r="G242" s="1" t="s">
        <v>1670</v>
      </c>
      <c r="H242" s="1" t="str">
        <f>VLOOKUP(Salesdta[[#This Row],[Product_ID]],Product_Data_1[],2,TRUE)</f>
        <v>Organic Sunscreen Lotion</v>
      </c>
      <c r="I242" s="1" t="str">
        <f>VLOOKUP(Salesdta[[#This Row],[Product_ID]],Product_Data_1[],3,TRUE)</f>
        <v>Beauty</v>
      </c>
      <c r="J242" s="1">
        <f>VLOOKUP(Salesdta[[#This Row],[Product_ID]],Product_Data_1[],7,TRUE)</f>
        <v>267</v>
      </c>
      <c r="K242" s="1" t="s">
        <v>1790</v>
      </c>
      <c r="L242" s="1" t="str">
        <f>VLOOKUP(Salesdta[[#This Row],[Store_ID]],Store_Data_1[],3,TRUE)</f>
        <v>North</v>
      </c>
      <c r="M242" s="1">
        <v>1</v>
      </c>
      <c r="N242" s="1">
        <v>935</v>
      </c>
      <c r="O242" s="12">
        <v>0.11</v>
      </c>
      <c r="P242" s="1" t="s">
        <v>1819</v>
      </c>
      <c r="Q242" s="1">
        <v>832</v>
      </c>
      <c r="R242" s="1">
        <f>Salesdta[[#This Row],[Final Revenue]]-Salesdta[[#This Row],[Product cost]]</f>
        <v>565</v>
      </c>
      <c r="S242" s="1" t="str">
        <f>IF(Salesdta[[#This Row],[Final Revenue]]&gt;1000,"Selected","Not Selected")</f>
        <v>Not Selected</v>
      </c>
    </row>
    <row r="243" spans="1:19" x14ac:dyDescent="0.35">
      <c r="A243" s="6" t="s">
        <v>2060</v>
      </c>
      <c r="B243" s="20">
        <v>45407</v>
      </c>
      <c r="C243" s="1" t="str">
        <f>TEXT(Salesdta[[#This Row],[Order_Date]],"mmmm")</f>
        <v>April</v>
      </c>
      <c r="D243" s="1" t="s">
        <v>749</v>
      </c>
      <c r="E243" s="1" t="str">
        <f>VLOOKUP(Salesdta[[#This Row],[Customer_ID]],Customer_Data_[],6,TRUE)</f>
        <v>Female</v>
      </c>
      <c r="F243" s="1" t="str">
        <f>VLOOKUP(Salesdta[[#This Row],[Customer_ID]],Customer_Data_[],8,TRUE)</f>
        <v>Kansas</v>
      </c>
      <c r="G243" s="1" t="s">
        <v>1740</v>
      </c>
      <c r="H243" s="1" t="str">
        <f>VLOOKUP(Salesdta[[#This Row],[Product_ID]],Product_Data_1[],2,TRUE)</f>
        <v>Portable Bluetooth Speaker</v>
      </c>
      <c r="I243" s="1" t="str">
        <f>VLOOKUP(Salesdta[[#This Row],[Product_ID]],Product_Data_1[],3,TRUE)</f>
        <v>Electronics</v>
      </c>
      <c r="J243" s="1">
        <f>VLOOKUP(Salesdta[[#This Row],[Product_ID]],Product_Data_1[],7,TRUE)</f>
        <v>432</v>
      </c>
      <c r="K243" s="1" t="s">
        <v>1775</v>
      </c>
      <c r="L243" s="1" t="str">
        <f>VLOOKUP(Salesdta[[#This Row],[Store_ID]],Store_Data_1[],3,TRUE)</f>
        <v>South</v>
      </c>
      <c r="M243" s="1">
        <v>4</v>
      </c>
      <c r="N243" s="1">
        <v>548</v>
      </c>
      <c r="O243" s="12">
        <v>0.05</v>
      </c>
      <c r="P243" s="1" t="s">
        <v>1819</v>
      </c>
      <c r="Q243" s="1">
        <v>2084</v>
      </c>
      <c r="R243" s="1">
        <f>Salesdta[[#This Row],[Final Revenue]]-Salesdta[[#This Row],[Product cost]]</f>
        <v>1652</v>
      </c>
      <c r="S243" s="1" t="str">
        <f>IF(Salesdta[[#This Row],[Final Revenue]]&gt;1000,"Selected","Not Selected")</f>
        <v>Selected</v>
      </c>
    </row>
    <row r="244" spans="1:19" x14ac:dyDescent="0.35">
      <c r="A244" s="6" t="s">
        <v>2061</v>
      </c>
      <c r="B244" s="20">
        <v>45756</v>
      </c>
      <c r="C244" s="1" t="str">
        <f>TEXT(Salesdta[[#This Row],[Order_Date]],"mmmm")</f>
        <v>April</v>
      </c>
      <c r="D244" s="1" t="s">
        <v>1011</v>
      </c>
      <c r="E244" s="1" t="str">
        <f>VLOOKUP(Salesdta[[#This Row],[Customer_ID]],Customer_Data_[],6,TRUE)</f>
        <v>Male</v>
      </c>
      <c r="F244" s="1" t="str">
        <f>VLOOKUP(Salesdta[[#This Row],[Customer_ID]],Customer_Data_[],8,TRUE)</f>
        <v>Wyoming</v>
      </c>
      <c r="G244" s="1" t="s">
        <v>1553</v>
      </c>
      <c r="H244" s="1" t="str">
        <f>VLOOKUP(Salesdta[[#This Row],[Product_ID]],Product_Data_1[],2,TRUE)</f>
        <v>Men's Hair Styling Gel</v>
      </c>
      <c r="I244" s="1" t="str">
        <f>VLOOKUP(Salesdta[[#This Row],[Product_ID]],Product_Data_1[],3,TRUE)</f>
        <v>Beauty</v>
      </c>
      <c r="J244" s="1">
        <f>VLOOKUP(Salesdta[[#This Row],[Product_ID]],Product_Data_1[],7,TRUE)</f>
        <v>17</v>
      </c>
      <c r="K244" s="1" t="s">
        <v>1748</v>
      </c>
      <c r="L244" s="1" t="str">
        <f>VLOOKUP(Salesdta[[#This Row],[Store_ID]],Store_Data_1[],3,TRUE)</f>
        <v>East</v>
      </c>
      <c r="M244" s="1">
        <v>4</v>
      </c>
      <c r="N244" s="1">
        <v>25</v>
      </c>
      <c r="O244" s="12">
        <v>0.28000000000000003</v>
      </c>
      <c r="P244" s="1" t="s">
        <v>1817</v>
      </c>
      <c r="Q244" s="1">
        <v>71</v>
      </c>
      <c r="R244" s="1">
        <f>Salesdta[[#This Row],[Final Revenue]]-Salesdta[[#This Row],[Product cost]]</f>
        <v>54</v>
      </c>
      <c r="S244" s="1" t="str">
        <f>IF(Salesdta[[#This Row],[Final Revenue]]&gt;1000,"Selected","Not Selected")</f>
        <v>Not Selected</v>
      </c>
    </row>
    <row r="245" spans="1:19" x14ac:dyDescent="0.35">
      <c r="A245" s="6" t="s">
        <v>2062</v>
      </c>
      <c r="B245" s="20">
        <v>45478</v>
      </c>
      <c r="C245" s="1" t="str">
        <f>TEXT(Salesdta[[#This Row],[Order_Date]],"mmmm")</f>
        <v>July</v>
      </c>
      <c r="D245" s="1" t="s">
        <v>800</v>
      </c>
      <c r="E245" s="1" t="str">
        <f>VLOOKUP(Salesdta[[#This Row],[Customer_ID]],Customer_Data_[],6,TRUE)</f>
        <v>Male</v>
      </c>
      <c r="F245" s="1" t="str">
        <f>VLOOKUP(Salesdta[[#This Row],[Customer_ID]],Customer_Data_[],8,TRUE)</f>
        <v>Alabama</v>
      </c>
      <c r="G245" s="1" t="s">
        <v>1561</v>
      </c>
      <c r="H245" s="1" t="str">
        <f>VLOOKUP(Salesdta[[#This Row],[Product_ID]],Product_Data_1[],2,TRUE)</f>
        <v>Face Foundation Kit</v>
      </c>
      <c r="I245" s="1" t="str">
        <f>VLOOKUP(Salesdta[[#This Row],[Product_ID]],Product_Data_1[],3,TRUE)</f>
        <v>Beauty</v>
      </c>
      <c r="J245" s="1">
        <f>VLOOKUP(Salesdta[[#This Row],[Product_ID]],Product_Data_1[],7,TRUE)</f>
        <v>183</v>
      </c>
      <c r="K245" s="1" t="s">
        <v>1782</v>
      </c>
      <c r="L245" s="1" t="str">
        <f>VLOOKUP(Salesdta[[#This Row],[Store_ID]],Store_Data_1[],3,TRUE)</f>
        <v>South</v>
      </c>
      <c r="M245" s="1">
        <v>3</v>
      </c>
      <c r="N245" s="1">
        <v>269</v>
      </c>
      <c r="O245" s="12">
        <v>7.0000000000000007E-2</v>
      </c>
      <c r="P245" s="1" t="s">
        <v>1822</v>
      </c>
      <c r="Q245" s="1">
        <v>750</v>
      </c>
      <c r="R245" s="1">
        <f>Salesdta[[#This Row],[Final Revenue]]-Salesdta[[#This Row],[Product cost]]</f>
        <v>567</v>
      </c>
      <c r="S245" s="1" t="str">
        <f>IF(Salesdta[[#This Row],[Final Revenue]]&gt;1000,"Selected","Not Selected")</f>
        <v>Not Selected</v>
      </c>
    </row>
    <row r="246" spans="1:19" x14ac:dyDescent="0.35">
      <c r="A246" s="6" t="s">
        <v>2063</v>
      </c>
      <c r="B246" s="20">
        <v>45815</v>
      </c>
      <c r="C246" s="1" t="str">
        <f>TEXT(Salesdta[[#This Row],[Order_Date]],"mmmm")</f>
        <v>June</v>
      </c>
      <c r="D246" s="1" t="s">
        <v>452</v>
      </c>
      <c r="E246" s="1" t="str">
        <f>VLOOKUP(Salesdta[[#This Row],[Customer_ID]],Customer_Data_[],6,TRUE)</f>
        <v>Female</v>
      </c>
      <c r="F246" s="1" t="str">
        <f>VLOOKUP(Salesdta[[#This Row],[Customer_ID]],Customer_Data_[],8,TRUE)</f>
        <v>Florida</v>
      </c>
      <c r="G246" s="1" t="s">
        <v>1616</v>
      </c>
      <c r="H246" s="1" t="str">
        <f>VLOOKUP(Salesdta[[#This Row],[Product_ID]],Product_Data_1[],2,TRUE)</f>
        <v>Women's Summer Dress</v>
      </c>
      <c r="I246" s="1" t="str">
        <f>VLOOKUP(Salesdta[[#This Row],[Product_ID]],Product_Data_1[],3,TRUE)</f>
        <v>Clothing</v>
      </c>
      <c r="J246" s="1">
        <f>VLOOKUP(Salesdta[[#This Row],[Product_ID]],Product_Data_1[],7,TRUE)</f>
        <v>223</v>
      </c>
      <c r="K246" s="1" t="s">
        <v>1765</v>
      </c>
      <c r="L246" s="1" t="str">
        <f>VLOOKUP(Salesdta[[#This Row],[Store_ID]],Store_Data_1[],3,TRUE)</f>
        <v>South</v>
      </c>
      <c r="M246" s="1">
        <v>3</v>
      </c>
      <c r="N246" s="1">
        <v>399</v>
      </c>
      <c r="O246" s="12">
        <v>0.02</v>
      </c>
      <c r="P246" s="1" t="s">
        <v>1817</v>
      </c>
      <c r="Q246" s="1">
        <v>1174</v>
      </c>
      <c r="R246" s="1">
        <f>Salesdta[[#This Row],[Final Revenue]]-Salesdta[[#This Row],[Product cost]]</f>
        <v>951</v>
      </c>
      <c r="S246" s="1" t="str">
        <f>IF(Salesdta[[#This Row],[Final Revenue]]&gt;1000,"Selected","Not Selected")</f>
        <v>Selected</v>
      </c>
    </row>
    <row r="247" spans="1:19" x14ac:dyDescent="0.35">
      <c r="A247" s="6" t="s">
        <v>2064</v>
      </c>
      <c r="B247" s="20">
        <v>45891</v>
      </c>
      <c r="C247" s="1" t="str">
        <f>TEXT(Salesdta[[#This Row],[Order_Date]],"mmmm")</f>
        <v>August</v>
      </c>
      <c r="D247" s="1" t="s">
        <v>304</v>
      </c>
      <c r="E247" s="1" t="str">
        <f>VLOOKUP(Salesdta[[#This Row],[Customer_ID]],Customer_Data_[],6,TRUE)</f>
        <v>Male</v>
      </c>
      <c r="F247" s="1" t="str">
        <f>VLOOKUP(Salesdta[[#This Row],[Customer_ID]],Customer_Data_[],8,TRUE)</f>
        <v>Pennsylvania</v>
      </c>
      <c r="G247" s="1" t="s">
        <v>1606</v>
      </c>
      <c r="H247" s="1" t="str">
        <f>VLOOKUP(Salesdta[[#This Row],[Product_ID]],Product_Data_1[],2,TRUE)</f>
        <v>Basketball</v>
      </c>
      <c r="I247" s="1" t="str">
        <f>VLOOKUP(Salesdta[[#This Row],[Product_ID]],Product_Data_1[],3,TRUE)</f>
        <v>Sports</v>
      </c>
      <c r="J247" s="1">
        <f>VLOOKUP(Salesdta[[#This Row],[Product_ID]],Product_Data_1[],7,TRUE)</f>
        <v>204</v>
      </c>
      <c r="K247" s="1" t="s">
        <v>1809</v>
      </c>
      <c r="L247" s="1" t="str">
        <f>VLOOKUP(Salesdta[[#This Row],[Store_ID]],Store_Data_1[],3,TRUE)</f>
        <v>North</v>
      </c>
      <c r="M247" s="1">
        <v>3</v>
      </c>
      <c r="N247" s="1">
        <v>456</v>
      </c>
      <c r="O247" s="12">
        <v>0.01</v>
      </c>
      <c r="P247" s="1" t="s">
        <v>1819</v>
      </c>
      <c r="Q247" s="1">
        <v>1354</v>
      </c>
      <c r="R247" s="1">
        <f>Salesdta[[#This Row],[Final Revenue]]-Salesdta[[#This Row],[Product cost]]</f>
        <v>1150</v>
      </c>
      <c r="S247" s="1" t="str">
        <f>IF(Salesdta[[#This Row],[Final Revenue]]&gt;1000,"Selected","Not Selected")</f>
        <v>Selected</v>
      </c>
    </row>
    <row r="248" spans="1:19" x14ac:dyDescent="0.35">
      <c r="A248" s="6" t="s">
        <v>2065</v>
      </c>
      <c r="B248" s="20">
        <v>45309</v>
      </c>
      <c r="C248" s="1" t="str">
        <f>TEXT(Salesdta[[#This Row],[Order_Date]],"mmmm")</f>
        <v>January</v>
      </c>
      <c r="D248" s="1" t="s">
        <v>1410</v>
      </c>
      <c r="E248" s="1" t="str">
        <f>VLOOKUP(Salesdta[[#This Row],[Customer_ID]],Customer_Data_[],6,TRUE)</f>
        <v>Female</v>
      </c>
      <c r="F248" s="1" t="str">
        <f>VLOOKUP(Salesdta[[#This Row],[Customer_ID]],Customer_Data_[],8,TRUE)</f>
        <v>Pennsylvania</v>
      </c>
      <c r="G248" s="1" t="s">
        <v>1545</v>
      </c>
      <c r="H248" s="1" t="str">
        <f>VLOOKUP(Salesdta[[#This Row],[Product_ID]],Product_Data_1[],2,TRUE)</f>
        <v>Knee Support Brace</v>
      </c>
      <c r="I248" s="1" t="str">
        <f>VLOOKUP(Salesdta[[#This Row],[Product_ID]],Product_Data_1[],3,TRUE)</f>
        <v>Sports</v>
      </c>
      <c r="J248" s="1">
        <f>VLOOKUP(Salesdta[[#This Row],[Product_ID]],Product_Data_1[],7,TRUE)</f>
        <v>21</v>
      </c>
      <c r="K248" s="1" t="s">
        <v>1795</v>
      </c>
      <c r="L248" s="1" t="str">
        <f>VLOOKUP(Salesdta[[#This Row],[Store_ID]],Store_Data_1[],3,TRUE)</f>
        <v>North</v>
      </c>
      <c r="M248" s="1">
        <v>4</v>
      </c>
      <c r="N248" s="1">
        <v>972</v>
      </c>
      <c r="O248" s="12">
        <v>0.28000000000000003</v>
      </c>
      <c r="P248" s="1" t="s">
        <v>1819</v>
      </c>
      <c r="Q248" s="1">
        <v>2799</v>
      </c>
      <c r="R248" s="1">
        <f>Salesdta[[#This Row],[Final Revenue]]-Salesdta[[#This Row],[Product cost]]</f>
        <v>2778</v>
      </c>
      <c r="S248" s="1" t="str">
        <f>IF(Salesdta[[#This Row],[Final Revenue]]&gt;1000,"Selected","Not Selected")</f>
        <v>Selected</v>
      </c>
    </row>
    <row r="249" spans="1:19" x14ac:dyDescent="0.35">
      <c r="A249" s="6" t="s">
        <v>2066</v>
      </c>
      <c r="B249" s="20">
        <v>45519</v>
      </c>
      <c r="C249" s="1" t="str">
        <f>TEXT(Salesdta[[#This Row],[Order_Date]],"mmmm")</f>
        <v>August</v>
      </c>
      <c r="D249" s="1" t="s">
        <v>135</v>
      </c>
      <c r="E249" s="1" t="str">
        <f>VLOOKUP(Salesdta[[#This Row],[Customer_ID]],Customer_Data_[],6,TRUE)</f>
        <v>Female</v>
      </c>
      <c r="F249" s="1" t="str">
        <f>VLOOKUP(Salesdta[[#This Row],[Customer_ID]],Customer_Data_[],8,TRUE)</f>
        <v>Maryland</v>
      </c>
      <c r="G249" s="1" t="s">
        <v>1600</v>
      </c>
      <c r="H249" s="1" t="str">
        <f>VLOOKUP(Salesdta[[#This Row],[Product_ID]],Product_Data_1[],2,TRUE)</f>
        <v>Sports Stopwatch Timer</v>
      </c>
      <c r="I249" s="1" t="str">
        <f>VLOOKUP(Salesdta[[#This Row],[Product_ID]],Product_Data_1[],3,TRUE)</f>
        <v>Sports</v>
      </c>
      <c r="J249" s="1">
        <f>VLOOKUP(Salesdta[[#This Row],[Product_ID]],Product_Data_1[],7,TRUE)</f>
        <v>39</v>
      </c>
      <c r="K249" s="1" t="s">
        <v>1775</v>
      </c>
      <c r="L249" s="1" t="str">
        <f>VLOOKUP(Salesdta[[#This Row],[Store_ID]],Store_Data_1[],3,TRUE)</f>
        <v>South</v>
      </c>
      <c r="M249" s="1">
        <v>3</v>
      </c>
      <c r="N249" s="1">
        <v>885</v>
      </c>
      <c r="O249" s="12">
        <v>0.06</v>
      </c>
      <c r="P249" s="1" t="s">
        <v>1819</v>
      </c>
      <c r="Q249" s="1">
        <v>2495</v>
      </c>
      <c r="R249" s="1">
        <f>Salesdta[[#This Row],[Final Revenue]]-Salesdta[[#This Row],[Product cost]]</f>
        <v>2456</v>
      </c>
      <c r="S249" s="1" t="str">
        <f>IF(Salesdta[[#This Row],[Final Revenue]]&gt;1000,"Selected","Not Selected")</f>
        <v>Selected</v>
      </c>
    </row>
    <row r="250" spans="1:19" x14ac:dyDescent="0.35">
      <c r="A250" s="6" t="s">
        <v>2067</v>
      </c>
      <c r="B250" s="20">
        <v>45303</v>
      </c>
      <c r="C250" s="1" t="str">
        <f>TEXT(Salesdta[[#This Row],[Order_Date]],"mmmm")</f>
        <v>January</v>
      </c>
      <c r="D250" s="1" t="s">
        <v>716</v>
      </c>
      <c r="E250" s="1" t="str">
        <f>VLOOKUP(Salesdta[[#This Row],[Customer_ID]],Customer_Data_[],6,TRUE)</f>
        <v>Male</v>
      </c>
      <c r="F250" s="1" t="str">
        <f>VLOOKUP(Salesdta[[#This Row],[Customer_ID]],Customer_Data_[],8,TRUE)</f>
        <v>New Mexico</v>
      </c>
      <c r="G250" s="1" t="s">
        <v>1636</v>
      </c>
      <c r="H250" s="1" t="str">
        <f>VLOOKUP(Salesdta[[#This Row],[Product_ID]],Product_Data_1[],2,TRUE)</f>
        <v>Men's Winter Jacket</v>
      </c>
      <c r="I250" s="1" t="str">
        <f>VLOOKUP(Salesdta[[#This Row],[Product_ID]],Product_Data_1[],3,TRUE)</f>
        <v>Clothing</v>
      </c>
      <c r="J250" s="1">
        <f>VLOOKUP(Salesdta[[#This Row],[Product_ID]],Product_Data_1[],7,TRUE)</f>
        <v>167</v>
      </c>
      <c r="K250" s="1" t="s">
        <v>1772</v>
      </c>
      <c r="L250" s="1" t="str">
        <f>VLOOKUP(Salesdta[[#This Row],[Store_ID]],Store_Data_1[],3,TRUE)</f>
        <v>East</v>
      </c>
      <c r="M250" s="1">
        <v>4</v>
      </c>
      <c r="N250" s="1">
        <v>344</v>
      </c>
      <c r="O250" s="12">
        <v>0.25</v>
      </c>
      <c r="P250" s="1" t="s">
        <v>1819</v>
      </c>
      <c r="Q250" s="1">
        <v>1032</v>
      </c>
      <c r="R250" s="1">
        <f>Salesdta[[#This Row],[Final Revenue]]-Salesdta[[#This Row],[Product cost]]</f>
        <v>865</v>
      </c>
      <c r="S250" s="1" t="str">
        <f>IF(Salesdta[[#This Row],[Final Revenue]]&gt;1000,"Selected","Not Selected")</f>
        <v>Selected</v>
      </c>
    </row>
    <row r="251" spans="1:19" x14ac:dyDescent="0.35">
      <c r="A251" s="6" t="s">
        <v>2068</v>
      </c>
      <c r="B251" s="20">
        <v>45727</v>
      </c>
      <c r="C251" s="1" t="str">
        <f>TEXT(Salesdta[[#This Row],[Order_Date]],"mmmm")</f>
        <v>March</v>
      </c>
      <c r="D251" s="1" t="s">
        <v>502</v>
      </c>
      <c r="E251" s="1" t="str">
        <f>VLOOKUP(Salesdta[[#This Row],[Customer_ID]],Customer_Data_[],6,TRUE)</f>
        <v>Male</v>
      </c>
      <c r="F251" s="1" t="str">
        <f>VLOOKUP(Salesdta[[#This Row],[Customer_ID]],Customer_Data_[],8,TRUE)</f>
        <v>Mississippi</v>
      </c>
      <c r="G251" s="1" t="s">
        <v>1566</v>
      </c>
      <c r="H251" s="1" t="str">
        <f>VLOOKUP(Salesdta[[#This Row],[Product_ID]],Product_Data_1[],2,TRUE)</f>
        <v>HD Smart TV Stick</v>
      </c>
      <c r="I251" s="1" t="str">
        <f>VLOOKUP(Salesdta[[#This Row],[Product_ID]],Product_Data_1[],3,TRUE)</f>
        <v>Electronics</v>
      </c>
      <c r="J251" s="1">
        <f>VLOOKUP(Salesdta[[#This Row],[Product_ID]],Product_Data_1[],7,TRUE)</f>
        <v>449</v>
      </c>
      <c r="K251" s="1" t="s">
        <v>1797</v>
      </c>
      <c r="L251" s="1" t="str">
        <f>VLOOKUP(Salesdta[[#This Row],[Store_ID]],Store_Data_1[],3,TRUE)</f>
        <v>North</v>
      </c>
      <c r="M251" s="1">
        <v>3</v>
      </c>
      <c r="N251" s="1">
        <v>122</v>
      </c>
      <c r="O251" s="12">
        <v>7.0000000000000007E-2</v>
      </c>
      <c r="P251" s="1" t="s">
        <v>1819</v>
      </c>
      <c r="Q251" s="1">
        <v>339</v>
      </c>
      <c r="R251" s="1">
        <f>Salesdta[[#This Row],[Final Revenue]]-Salesdta[[#This Row],[Product cost]]</f>
        <v>-110</v>
      </c>
      <c r="S251" s="1" t="str">
        <f>IF(Salesdta[[#This Row],[Final Revenue]]&gt;1000,"Selected","Not Selected")</f>
        <v>Not Selected</v>
      </c>
    </row>
    <row r="252" spans="1:19" x14ac:dyDescent="0.35">
      <c r="A252" s="6" t="s">
        <v>2069</v>
      </c>
      <c r="B252" s="20">
        <v>45623</v>
      </c>
      <c r="C252" s="1" t="str">
        <f>TEXT(Salesdta[[#This Row],[Order_Date]],"mmmm")</f>
        <v>November</v>
      </c>
      <c r="D252" s="1" t="s">
        <v>112</v>
      </c>
      <c r="E252" s="1" t="str">
        <f>VLOOKUP(Salesdta[[#This Row],[Customer_ID]],Customer_Data_[],6,TRUE)</f>
        <v>Male</v>
      </c>
      <c r="F252" s="1" t="str">
        <f>VLOOKUP(Salesdta[[#This Row],[Customer_ID]],Customer_Data_[],8,TRUE)</f>
        <v>Utah</v>
      </c>
      <c r="G252" s="1" t="s">
        <v>1592</v>
      </c>
      <c r="H252" s="1" t="str">
        <f>VLOOKUP(Salesdta[[#This Row],[Product_ID]],Product_Data_1[],2,TRUE)</f>
        <v>Foldable Camping Chair</v>
      </c>
      <c r="I252" s="1" t="str">
        <f>VLOOKUP(Salesdta[[#This Row],[Product_ID]],Product_Data_1[],3,TRUE)</f>
        <v>Sports</v>
      </c>
      <c r="J252" s="1">
        <f>VLOOKUP(Salesdta[[#This Row],[Product_ID]],Product_Data_1[],7,TRUE)</f>
        <v>166</v>
      </c>
      <c r="K252" s="1" t="s">
        <v>1809</v>
      </c>
      <c r="L252" s="1" t="str">
        <f>VLOOKUP(Salesdta[[#This Row],[Store_ID]],Store_Data_1[],3,TRUE)</f>
        <v>North</v>
      </c>
      <c r="M252" s="1">
        <v>3</v>
      </c>
      <c r="N252" s="1">
        <v>795</v>
      </c>
      <c r="O252" s="12">
        <v>0.03</v>
      </c>
      <c r="P252" s="1" t="s">
        <v>1819</v>
      </c>
      <c r="Q252" s="1">
        <v>2312</v>
      </c>
      <c r="R252" s="1">
        <f>Salesdta[[#This Row],[Final Revenue]]-Salesdta[[#This Row],[Product cost]]</f>
        <v>2146</v>
      </c>
      <c r="S252" s="1" t="str">
        <f>IF(Salesdta[[#This Row],[Final Revenue]]&gt;1000,"Selected","Not Selected")</f>
        <v>Selected</v>
      </c>
    </row>
    <row r="253" spans="1:19" x14ac:dyDescent="0.35">
      <c r="A253" s="6" t="s">
        <v>2070</v>
      </c>
      <c r="B253" s="20">
        <v>45224</v>
      </c>
      <c r="C253" s="1" t="str">
        <f>TEXT(Salesdta[[#This Row],[Order_Date]],"mmmm")</f>
        <v>October</v>
      </c>
      <c r="D253" s="1" t="s">
        <v>65</v>
      </c>
      <c r="E253" s="1" t="str">
        <f>VLOOKUP(Salesdta[[#This Row],[Customer_ID]],Customer_Data_[],6,TRUE)</f>
        <v>Female</v>
      </c>
      <c r="F253" s="1" t="str">
        <f>VLOOKUP(Salesdta[[#This Row],[Customer_ID]],Customer_Data_[],8,TRUE)</f>
        <v>Nebraska</v>
      </c>
      <c r="G253" s="1" t="s">
        <v>1596</v>
      </c>
      <c r="H253" s="1" t="str">
        <f>VLOOKUP(Salesdta[[#This Row],[Product_ID]],Product_Data_1[],2,TRUE)</f>
        <v>Wireless Bluetooth Speaker</v>
      </c>
      <c r="I253" s="1" t="str">
        <f>VLOOKUP(Salesdta[[#This Row],[Product_ID]],Product_Data_1[],3,TRUE)</f>
        <v>Electronics</v>
      </c>
      <c r="J253" s="1">
        <f>VLOOKUP(Salesdta[[#This Row],[Product_ID]],Product_Data_1[],7,TRUE)</f>
        <v>322</v>
      </c>
      <c r="K253" s="1" t="s">
        <v>1782</v>
      </c>
      <c r="L253" s="1" t="str">
        <f>VLOOKUP(Salesdta[[#This Row],[Store_ID]],Store_Data_1[],3,TRUE)</f>
        <v>South</v>
      </c>
      <c r="M253" s="1">
        <v>1</v>
      </c>
      <c r="N253" s="1">
        <v>908</v>
      </c>
      <c r="O253" s="12">
        <v>0.1</v>
      </c>
      <c r="P253" s="1" t="s">
        <v>1819</v>
      </c>
      <c r="Q253" s="1">
        <v>817</v>
      </c>
      <c r="R253" s="1">
        <f>Salesdta[[#This Row],[Final Revenue]]-Salesdta[[#This Row],[Product cost]]</f>
        <v>495</v>
      </c>
      <c r="S253" s="1" t="str">
        <f>IF(Salesdta[[#This Row],[Final Revenue]]&gt;1000,"Selected","Not Selected")</f>
        <v>Not Selected</v>
      </c>
    </row>
    <row r="254" spans="1:19" x14ac:dyDescent="0.35">
      <c r="A254" s="6" t="s">
        <v>2071</v>
      </c>
      <c r="B254" s="20">
        <v>45915</v>
      </c>
      <c r="C254" s="1" t="str">
        <f>TEXT(Salesdta[[#This Row],[Order_Date]],"mmmm")</f>
        <v>September</v>
      </c>
      <c r="D254" s="1" t="s">
        <v>224</v>
      </c>
      <c r="E254" s="1" t="str">
        <f>VLOOKUP(Salesdta[[#This Row],[Customer_ID]],Customer_Data_[],6,TRUE)</f>
        <v>Male</v>
      </c>
      <c r="F254" s="1" t="str">
        <f>VLOOKUP(Salesdta[[#This Row],[Customer_ID]],Customer_Data_[],8,TRUE)</f>
        <v>Missouri</v>
      </c>
      <c r="G254" s="1" t="s">
        <v>1646</v>
      </c>
      <c r="H254" s="1" t="str">
        <f>VLOOKUP(Salesdta[[#This Row],[Product_ID]],Product_Data_1[],2,TRUE)</f>
        <v>HDMI Cable – 2m</v>
      </c>
      <c r="I254" s="1" t="str">
        <f>VLOOKUP(Salesdta[[#This Row],[Product_ID]],Product_Data_1[],3,TRUE)</f>
        <v>Electronics</v>
      </c>
      <c r="J254" s="1">
        <f>VLOOKUP(Salesdta[[#This Row],[Product_ID]],Product_Data_1[],7,TRUE)</f>
        <v>88</v>
      </c>
      <c r="K254" s="1" t="s">
        <v>1778</v>
      </c>
      <c r="L254" s="1" t="str">
        <f>VLOOKUP(Salesdta[[#This Row],[Store_ID]],Store_Data_1[],3,TRUE)</f>
        <v>West</v>
      </c>
      <c r="M254" s="1">
        <v>3</v>
      </c>
      <c r="N254" s="1">
        <v>565</v>
      </c>
      <c r="O254" s="12">
        <v>0.22</v>
      </c>
      <c r="P254" s="1" t="s">
        <v>1822</v>
      </c>
      <c r="Q254" s="1">
        <v>1322</v>
      </c>
      <c r="R254" s="1">
        <f>Salesdta[[#This Row],[Final Revenue]]-Salesdta[[#This Row],[Product cost]]</f>
        <v>1234</v>
      </c>
      <c r="S254" s="1" t="str">
        <f>IF(Salesdta[[#This Row],[Final Revenue]]&gt;1000,"Selected","Not Selected")</f>
        <v>Selected</v>
      </c>
    </row>
    <row r="255" spans="1:19" x14ac:dyDescent="0.35">
      <c r="A255" s="6" t="s">
        <v>2072</v>
      </c>
      <c r="B255" s="20">
        <v>45501</v>
      </c>
      <c r="C255" s="1" t="str">
        <f>TEXT(Salesdta[[#This Row],[Order_Date]],"mmmm")</f>
        <v>July</v>
      </c>
      <c r="D255" s="1" t="s">
        <v>366</v>
      </c>
      <c r="E255" s="1" t="str">
        <f>VLOOKUP(Salesdta[[#This Row],[Customer_ID]],Customer_Data_[],6,TRUE)</f>
        <v>Male</v>
      </c>
      <c r="F255" s="1" t="str">
        <f>VLOOKUP(Salesdta[[#This Row],[Customer_ID]],Customer_Data_[],8,TRUE)</f>
        <v>Georgia</v>
      </c>
      <c r="G255" s="1" t="s">
        <v>1594</v>
      </c>
      <c r="H255" s="1" t="str">
        <f>VLOOKUP(Salesdta[[#This Row],[Product_ID]],Product_Data_1[],2,TRUE)</f>
        <v>Women's Scarf Set</v>
      </c>
      <c r="I255" s="1" t="str">
        <f>VLOOKUP(Salesdta[[#This Row],[Product_ID]],Product_Data_1[],3,TRUE)</f>
        <v>Clothing</v>
      </c>
      <c r="J255" s="1">
        <f>VLOOKUP(Salesdta[[#This Row],[Product_ID]],Product_Data_1[],7,TRUE)</f>
        <v>174</v>
      </c>
      <c r="K255" s="1" t="s">
        <v>1790</v>
      </c>
      <c r="L255" s="1" t="str">
        <f>VLOOKUP(Salesdta[[#This Row],[Store_ID]],Store_Data_1[],3,TRUE)</f>
        <v>North</v>
      </c>
      <c r="M255" s="1">
        <v>4</v>
      </c>
      <c r="N255" s="1">
        <v>176</v>
      </c>
      <c r="O255" s="12">
        <v>0.13</v>
      </c>
      <c r="P255" s="1" t="s">
        <v>1819</v>
      </c>
      <c r="Q255" s="1">
        <v>612</v>
      </c>
      <c r="R255" s="1">
        <f>Salesdta[[#This Row],[Final Revenue]]-Salesdta[[#This Row],[Product cost]]</f>
        <v>438</v>
      </c>
      <c r="S255" s="1" t="str">
        <f>IF(Salesdta[[#This Row],[Final Revenue]]&gt;1000,"Selected","Not Selected")</f>
        <v>Not Selected</v>
      </c>
    </row>
    <row r="256" spans="1:19" x14ac:dyDescent="0.35">
      <c r="A256" s="6" t="s">
        <v>2073</v>
      </c>
      <c r="B256" s="20">
        <v>45304</v>
      </c>
      <c r="C256" s="1" t="str">
        <f>TEXT(Salesdta[[#This Row],[Order_Date]],"mmmm")</f>
        <v>January</v>
      </c>
      <c r="D256" s="1" t="s">
        <v>770</v>
      </c>
      <c r="E256" s="1" t="str">
        <f>VLOOKUP(Salesdta[[#This Row],[Customer_ID]],Customer_Data_[],6,TRUE)</f>
        <v>Male</v>
      </c>
      <c r="F256" s="1" t="str">
        <f>VLOOKUP(Salesdta[[#This Row],[Customer_ID]],Customer_Data_[],8,TRUE)</f>
        <v>Virginia</v>
      </c>
      <c r="G256" s="1" t="s">
        <v>1574</v>
      </c>
      <c r="H256" s="1" t="str">
        <f>VLOOKUP(Salesdta[[#This Row],[Product_ID]],Product_Data_1[],2,TRUE)</f>
        <v>4K Home Projector</v>
      </c>
      <c r="I256" s="1" t="str">
        <f>VLOOKUP(Salesdta[[#This Row],[Product_ID]],Product_Data_1[],3,TRUE)</f>
        <v>Electronics</v>
      </c>
      <c r="J256" s="1">
        <f>VLOOKUP(Salesdta[[#This Row],[Product_ID]],Product_Data_1[],7,TRUE)</f>
        <v>465</v>
      </c>
      <c r="K256" s="1" t="s">
        <v>1797</v>
      </c>
      <c r="L256" s="1" t="str">
        <f>VLOOKUP(Salesdta[[#This Row],[Store_ID]],Store_Data_1[],3,TRUE)</f>
        <v>North</v>
      </c>
      <c r="M256" s="1">
        <v>2</v>
      </c>
      <c r="N256" s="1">
        <v>899</v>
      </c>
      <c r="O256" s="12">
        <v>0.17</v>
      </c>
      <c r="P256" s="1" t="s">
        <v>1817</v>
      </c>
      <c r="Q256" s="1">
        <v>1493</v>
      </c>
      <c r="R256" s="1">
        <f>Salesdta[[#This Row],[Final Revenue]]-Salesdta[[#This Row],[Product cost]]</f>
        <v>1028</v>
      </c>
      <c r="S256" s="1" t="str">
        <f>IF(Salesdta[[#This Row],[Final Revenue]]&gt;1000,"Selected","Not Selected")</f>
        <v>Selected</v>
      </c>
    </row>
    <row r="257" spans="1:19" x14ac:dyDescent="0.35">
      <c r="A257" s="6" t="s">
        <v>2074</v>
      </c>
      <c r="B257" s="20">
        <v>45564</v>
      </c>
      <c r="C257" s="1" t="str">
        <f>TEXT(Salesdta[[#This Row],[Order_Date]],"mmmm")</f>
        <v>September</v>
      </c>
      <c r="D257" s="1" t="s">
        <v>547</v>
      </c>
      <c r="E257" s="1" t="str">
        <f>VLOOKUP(Salesdta[[#This Row],[Customer_ID]],Customer_Data_[],6,TRUE)</f>
        <v>Female</v>
      </c>
      <c r="F257" s="1" t="str">
        <f>VLOOKUP(Salesdta[[#This Row],[Customer_ID]],Customer_Data_[],8,TRUE)</f>
        <v>Illinois</v>
      </c>
      <c r="G257" s="1" t="s">
        <v>1598</v>
      </c>
      <c r="H257" s="1" t="str">
        <f>VLOOKUP(Salesdta[[#This Row],[Product_ID]],Product_Data_1[],2,TRUE)</f>
        <v>Decorative Floor Vase</v>
      </c>
      <c r="I257" s="1" t="str">
        <f>VLOOKUP(Salesdta[[#This Row],[Product_ID]],Product_Data_1[],3,TRUE)</f>
        <v>Home</v>
      </c>
      <c r="J257" s="1">
        <f>VLOOKUP(Salesdta[[#This Row],[Product_ID]],Product_Data_1[],7,TRUE)</f>
        <v>254</v>
      </c>
      <c r="K257" s="1" t="s">
        <v>1748</v>
      </c>
      <c r="L257" s="1" t="str">
        <f>VLOOKUP(Salesdta[[#This Row],[Store_ID]],Store_Data_1[],3,TRUE)</f>
        <v>East</v>
      </c>
      <c r="M257" s="1">
        <v>3</v>
      </c>
      <c r="N257" s="1">
        <v>159</v>
      </c>
      <c r="O257" s="12">
        <v>0.13</v>
      </c>
      <c r="P257" s="1" t="s">
        <v>1817</v>
      </c>
      <c r="Q257" s="1">
        <v>414</v>
      </c>
      <c r="R257" s="1">
        <f>Salesdta[[#This Row],[Final Revenue]]-Salesdta[[#This Row],[Product cost]]</f>
        <v>160</v>
      </c>
      <c r="S257" s="1" t="str">
        <f>IF(Salesdta[[#This Row],[Final Revenue]]&gt;1000,"Selected","Not Selected")</f>
        <v>Not Selected</v>
      </c>
    </row>
    <row r="258" spans="1:19" x14ac:dyDescent="0.35">
      <c r="A258" s="6" t="s">
        <v>2075</v>
      </c>
      <c r="B258" s="20">
        <v>45413</v>
      </c>
      <c r="C258" s="1" t="str">
        <f>TEXT(Salesdta[[#This Row],[Order_Date]],"mmmm")</f>
        <v>May</v>
      </c>
      <c r="D258" s="1" t="s">
        <v>681</v>
      </c>
      <c r="E258" s="1" t="str">
        <f>VLOOKUP(Salesdta[[#This Row],[Customer_ID]],Customer_Data_[],6,TRUE)</f>
        <v>Male</v>
      </c>
      <c r="F258" s="1" t="str">
        <f>VLOOKUP(Salesdta[[#This Row],[Customer_ID]],Customer_Data_[],8,TRUE)</f>
        <v>Georgia</v>
      </c>
      <c r="G258" s="1" t="s">
        <v>1664</v>
      </c>
      <c r="H258" s="1" t="str">
        <f>VLOOKUP(Salesdta[[#This Row],[Product_ID]],Product_Data_1[],2,TRUE)</f>
        <v>Luxury Perfume Spray</v>
      </c>
      <c r="I258" s="1" t="str">
        <f>VLOOKUP(Salesdta[[#This Row],[Product_ID]],Product_Data_1[],3,TRUE)</f>
        <v>Beauty</v>
      </c>
      <c r="J258" s="1">
        <f>VLOOKUP(Salesdta[[#This Row],[Product_ID]],Product_Data_1[],7,TRUE)</f>
        <v>483</v>
      </c>
      <c r="K258" s="1" t="s">
        <v>1800</v>
      </c>
      <c r="L258" s="1" t="str">
        <f>VLOOKUP(Salesdta[[#This Row],[Store_ID]],Store_Data_1[],3,TRUE)</f>
        <v>North</v>
      </c>
      <c r="M258" s="1">
        <v>4</v>
      </c>
      <c r="N258" s="1">
        <v>537</v>
      </c>
      <c r="O258" s="12">
        <v>0.06</v>
      </c>
      <c r="P258" s="1" t="s">
        <v>1822</v>
      </c>
      <c r="Q258" s="1">
        <v>2020</v>
      </c>
      <c r="R258" s="1">
        <f>Salesdta[[#This Row],[Final Revenue]]-Salesdta[[#This Row],[Product cost]]</f>
        <v>1537</v>
      </c>
      <c r="S258" s="1" t="str">
        <f>IF(Salesdta[[#This Row],[Final Revenue]]&gt;1000,"Selected","Not Selected")</f>
        <v>Selected</v>
      </c>
    </row>
    <row r="259" spans="1:19" x14ac:dyDescent="0.35">
      <c r="A259" s="6" t="s">
        <v>2076</v>
      </c>
      <c r="B259" s="20">
        <v>45763</v>
      </c>
      <c r="C259" s="1" t="str">
        <f>TEXT(Salesdta[[#This Row],[Order_Date]],"mmmm")</f>
        <v>April</v>
      </c>
      <c r="D259" s="1" t="s">
        <v>360</v>
      </c>
      <c r="E259" s="1" t="str">
        <f>VLOOKUP(Salesdta[[#This Row],[Customer_ID]],Customer_Data_[],6,TRUE)</f>
        <v>Female</v>
      </c>
      <c r="F259" s="1" t="str">
        <f>VLOOKUP(Salesdta[[#This Row],[Customer_ID]],Customer_Data_[],8,TRUE)</f>
        <v>Pennsylvania</v>
      </c>
      <c r="G259" s="1" t="s">
        <v>1740</v>
      </c>
      <c r="H259" s="1" t="str">
        <f>VLOOKUP(Salesdta[[#This Row],[Product_ID]],Product_Data_1[],2,TRUE)</f>
        <v>Portable Bluetooth Speaker</v>
      </c>
      <c r="I259" s="1" t="str">
        <f>VLOOKUP(Salesdta[[#This Row],[Product_ID]],Product_Data_1[],3,TRUE)</f>
        <v>Electronics</v>
      </c>
      <c r="J259" s="1">
        <f>VLOOKUP(Salesdta[[#This Row],[Product_ID]],Product_Data_1[],7,TRUE)</f>
        <v>432</v>
      </c>
      <c r="K259" s="1" t="s">
        <v>1788</v>
      </c>
      <c r="L259" s="1" t="str">
        <f>VLOOKUP(Salesdta[[#This Row],[Store_ID]],Store_Data_1[],3,TRUE)</f>
        <v>North</v>
      </c>
      <c r="M259" s="1">
        <v>1</v>
      </c>
      <c r="N259" s="1">
        <v>645</v>
      </c>
      <c r="O259" s="12">
        <v>0.26</v>
      </c>
      <c r="P259" s="1" t="s">
        <v>1822</v>
      </c>
      <c r="Q259" s="1">
        <v>478</v>
      </c>
      <c r="R259" s="1">
        <f>Salesdta[[#This Row],[Final Revenue]]-Salesdta[[#This Row],[Product cost]]</f>
        <v>46</v>
      </c>
      <c r="S259" s="1" t="str">
        <f>IF(Salesdta[[#This Row],[Final Revenue]]&gt;1000,"Selected","Not Selected")</f>
        <v>Not Selected</v>
      </c>
    </row>
    <row r="260" spans="1:19" x14ac:dyDescent="0.35">
      <c r="A260" s="6" t="s">
        <v>2077</v>
      </c>
      <c r="B260" s="20">
        <v>45856</v>
      </c>
      <c r="C260" s="1" t="str">
        <f>TEXT(Salesdta[[#This Row],[Order_Date]],"mmmm")</f>
        <v>July</v>
      </c>
      <c r="D260" s="1" t="s">
        <v>1124</v>
      </c>
      <c r="E260" s="1" t="str">
        <f>VLOOKUP(Salesdta[[#This Row],[Customer_ID]],Customer_Data_[],6,TRUE)</f>
        <v>Male</v>
      </c>
      <c r="F260" s="1" t="str">
        <f>VLOOKUP(Salesdta[[#This Row],[Customer_ID]],Customer_Data_[],8,TRUE)</f>
        <v>Arkansas</v>
      </c>
      <c r="G260" s="1" t="s">
        <v>1690</v>
      </c>
      <c r="H260" s="1" t="str">
        <f>VLOOKUP(Salesdta[[#This Row],[Product_ID]],Product_Data_1[],2,TRUE)</f>
        <v>Shin Guards – Adult</v>
      </c>
      <c r="I260" s="1" t="str">
        <f>VLOOKUP(Salesdta[[#This Row],[Product_ID]],Product_Data_1[],3,TRUE)</f>
        <v>Sports</v>
      </c>
      <c r="J260" s="1">
        <f>VLOOKUP(Salesdta[[#This Row],[Product_ID]],Product_Data_1[],7,TRUE)</f>
        <v>107</v>
      </c>
      <c r="K260" s="1" t="s">
        <v>1757</v>
      </c>
      <c r="L260" s="1" t="str">
        <f>VLOOKUP(Salesdta[[#This Row],[Store_ID]],Store_Data_1[],3,TRUE)</f>
        <v>South</v>
      </c>
      <c r="M260" s="1">
        <v>2</v>
      </c>
      <c r="N260" s="1">
        <v>934</v>
      </c>
      <c r="O260" s="12">
        <v>0.3</v>
      </c>
      <c r="P260" s="1" t="s">
        <v>1822</v>
      </c>
      <c r="Q260" s="1">
        <v>1308</v>
      </c>
      <c r="R260" s="1">
        <f>Salesdta[[#This Row],[Final Revenue]]-Salesdta[[#This Row],[Product cost]]</f>
        <v>1201</v>
      </c>
      <c r="S260" s="1" t="str">
        <f>IF(Salesdta[[#This Row],[Final Revenue]]&gt;1000,"Selected","Not Selected")</f>
        <v>Selected</v>
      </c>
    </row>
    <row r="261" spans="1:19" x14ac:dyDescent="0.35">
      <c r="A261" s="6" t="s">
        <v>2078</v>
      </c>
      <c r="B261" s="20">
        <v>45706</v>
      </c>
      <c r="C261" s="1" t="str">
        <f>TEXT(Salesdta[[#This Row],[Order_Date]],"mmmm")</f>
        <v>February</v>
      </c>
      <c r="D261" s="1" t="s">
        <v>278</v>
      </c>
      <c r="E261" s="1" t="str">
        <f>VLOOKUP(Salesdta[[#This Row],[Customer_ID]],Customer_Data_[],6,TRUE)</f>
        <v>Male</v>
      </c>
      <c r="F261" s="1" t="str">
        <f>VLOOKUP(Salesdta[[#This Row],[Customer_ID]],Customer_Data_[],8,TRUE)</f>
        <v>Vermont</v>
      </c>
      <c r="G261" s="1" t="s">
        <v>1586</v>
      </c>
      <c r="H261" s="1" t="str">
        <f>VLOOKUP(Salesdta[[#This Row],[Product_ID]],Product_Data_1[],2,TRUE)</f>
        <v>Multi-Purpose Storage Box</v>
      </c>
      <c r="I261" s="1" t="str">
        <f>VLOOKUP(Salesdta[[#This Row],[Product_ID]],Product_Data_1[],3,TRUE)</f>
        <v>Home</v>
      </c>
      <c r="J261" s="1">
        <f>VLOOKUP(Salesdta[[#This Row],[Product_ID]],Product_Data_1[],7,TRUE)</f>
        <v>123</v>
      </c>
      <c r="K261" s="1" t="s">
        <v>1809</v>
      </c>
      <c r="L261" s="1" t="str">
        <f>VLOOKUP(Salesdta[[#This Row],[Store_ID]],Store_Data_1[],3,TRUE)</f>
        <v>North</v>
      </c>
      <c r="M261" s="1">
        <v>2</v>
      </c>
      <c r="N261" s="1">
        <v>99</v>
      </c>
      <c r="O261" s="12">
        <v>0.2</v>
      </c>
      <c r="P261" s="1" t="s">
        <v>1819</v>
      </c>
      <c r="Q261" s="1">
        <v>159</v>
      </c>
      <c r="R261" s="1">
        <f>Salesdta[[#This Row],[Final Revenue]]-Salesdta[[#This Row],[Product cost]]</f>
        <v>36</v>
      </c>
      <c r="S261" s="1" t="str">
        <f>IF(Salesdta[[#This Row],[Final Revenue]]&gt;1000,"Selected","Not Selected")</f>
        <v>Not Selected</v>
      </c>
    </row>
    <row r="262" spans="1:19" x14ac:dyDescent="0.35">
      <c r="A262" s="6" t="s">
        <v>2079</v>
      </c>
      <c r="B262" s="20">
        <v>45469</v>
      </c>
      <c r="C262" s="1" t="str">
        <f>TEXT(Salesdta[[#This Row],[Order_Date]],"mmmm")</f>
        <v>June</v>
      </c>
      <c r="D262" s="1" t="s">
        <v>1154</v>
      </c>
      <c r="E262" s="1" t="str">
        <f>VLOOKUP(Salesdta[[#This Row],[Customer_ID]],Customer_Data_[],6,TRUE)</f>
        <v>Male</v>
      </c>
      <c r="F262" s="1" t="str">
        <f>VLOOKUP(Salesdta[[#This Row],[Customer_ID]],Customer_Data_[],8,TRUE)</f>
        <v>Indiana</v>
      </c>
      <c r="G262" s="1" t="s">
        <v>1618</v>
      </c>
      <c r="H262" s="1" t="str">
        <f>VLOOKUP(Salesdta[[#This Row],[Product_ID]],Product_Data_1[],2,TRUE)</f>
        <v>Men's Casual Sneakers</v>
      </c>
      <c r="I262" s="1" t="str">
        <f>VLOOKUP(Salesdta[[#This Row],[Product_ID]],Product_Data_1[],3,TRUE)</f>
        <v>Clothing</v>
      </c>
      <c r="J262" s="1">
        <f>VLOOKUP(Salesdta[[#This Row],[Product_ID]],Product_Data_1[],7,TRUE)</f>
        <v>353</v>
      </c>
      <c r="K262" s="1" t="s">
        <v>1800</v>
      </c>
      <c r="L262" s="1" t="str">
        <f>VLOOKUP(Salesdta[[#This Row],[Store_ID]],Store_Data_1[],3,TRUE)</f>
        <v>North</v>
      </c>
      <c r="M262" s="1">
        <v>1</v>
      </c>
      <c r="N262" s="1">
        <v>629</v>
      </c>
      <c r="O262" s="12">
        <v>0.03</v>
      </c>
      <c r="P262" s="1" t="s">
        <v>1822</v>
      </c>
      <c r="Q262" s="1">
        <v>610</v>
      </c>
      <c r="R262" s="1">
        <f>Salesdta[[#This Row],[Final Revenue]]-Salesdta[[#This Row],[Product cost]]</f>
        <v>257</v>
      </c>
      <c r="S262" s="1" t="str">
        <f>IF(Salesdta[[#This Row],[Final Revenue]]&gt;1000,"Selected","Not Selected")</f>
        <v>Not Selected</v>
      </c>
    </row>
    <row r="263" spans="1:19" x14ac:dyDescent="0.35">
      <c r="A263" s="6" t="s">
        <v>2080</v>
      </c>
      <c r="B263" s="20">
        <v>45688</v>
      </c>
      <c r="C263" s="1" t="str">
        <f>TEXT(Salesdta[[#This Row],[Order_Date]],"mmmm")</f>
        <v>January</v>
      </c>
      <c r="D263" s="1" t="s">
        <v>535</v>
      </c>
      <c r="E263" s="1" t="str">
        <f>VLOOKUP(Salesdta[[#This Row],[Customer_ID]],Customer_Data_[],6,TRUE)</f>
        <v>Female</v>
      </c>
      <c r="F263" s="1" t="str">
        <f>VLOOKUP(Salesdta[[#This Row],[Customer_ID]],Customer_Data_[],8,TRUE)</f>
        <v>Arizona</v>
      </c>
      <c r="G263" s="1" t="s">
        <v>1738</v>
      </c>
      <c r="H263" s="1" t="str">
        <f>VLOOKUP(Salesdta[[#This Row],[Product_ID]],Product_Data_1[],2,TRUE)</f>
        <v>Cricket Bat</v>
      </c>
      <c r="I263" s="1" t="str">
        <f>VLOOKUP(Salesdta[[#This Row],[Product_ID]],Product_Data_1[],3,TRUE)</f>
        <v>Sports</v>
      </c>
      <c r="J263" s="1">
        <f>VLOOKUP(Salesdta[[#This Row],[Product_ID]],Product_Data_1[],7,TRUE)</f>
        <v>246</v>
      </c>
      <c r="K263" s="1" t="s">
        <v>1809</v>
      </c>
      <c r="L263" s="1" t="str">
        <f>VLOOKUP(Salesdta[[#This Row],[Store_ID]],Store_Data_1[],3,TRUE)</f>
        <v>North</v>
      </c>
      <c r="M263" s="1">
        <v>2</v>
      </c>
      <c r="N263" s="1">
        <v>740</v>
      </c>
      <c r="O263" s="12">
        <v>0.1</v>
      </c>
      <c r="P263" s="1" t="s">
        <v>1822</v>
      </c>
      <c r="Q263" s="1">
        <v>1332</v>
      </c>
      <c r="R263" s="1">
        <f>Salesdta[[#This Row],[Final Revenue]]-Salesdta[[#This Row],[Product cost]]</f>
        <v>1086</v>
      </c>
      <c r="S263" s="1" t="str">
        <f>IF(Salesdta[[#This Row],[Final Revenue]]&gt;1000,"Selected","Not Selected")</f>
        <v>Selected</v>
      </c>
    </row>
    <row r="264" spans="1:19" x14ac:dyDescent="0.35">
      <c r="A264" s="6" t="s">
        <v>2081</v>
      </c>
      <c r="B264" s="20">
        <v>45276</v>
      </c>
      <c r="C264" s="1" t="str">
        <f>TEXT(Salesdta[[#This Row],[Order_Date]],"mmmm")</f>
        <v>December</v>
      </c>
      <c r="D264" s="1" t="s">
        <v>1442</v>
      </c>
      <c r="E264" s="1" t="str">
        <f>VLOOKUP(Salesdta[[#This Row],[Customer_ID]],Customer_Data_[],6,TRUE)</f>
        <v>Male</v>
      </c>
      <c r="F264" s="1" t="str">
        <f>VLOOKUP(Salesdta[[#This Row],[Customer_ID]],Customer_Data_[],8,TRUE)</f>
        <v>Utah</v>
      </c>
      <c r="G264" s="1" t="s">
        <v>1634</v>
      </c>
      <c r="H264" s="1" t="str">
        <f>VLOOKUP(Salesdta[[#This Row],[Product_ID]],Product_Data_1[],2,TRUE)</f>
        <v>High-Grip Football</v>
      </c>
      <c r="I264" s="1" t="str">
        <f>VLOOKUP(Salesdta[[#This Row],[Product_ID]],Product_Data_1[],3,TRUE)</f>
        <v>Sports</v>
      </c>
      <c r="J264" s="1">
        <f>VLOOKUP(Salesdta[[#This Row],[Product_ID]],Product_Data_1[],7,TRUE)</f>
        <v>319</v>
      </c>
      <c r="K264" s="1" t="s">
        <v>1797</v>
      </c>
      <c r="L264" s="1" t="str">
        <f>VLOOKUP(Salesdta[[#This Row],[Store_ID]],Store_Data_1[],3,TRUE)</f>
        <v>North</v>
      </c>
      <c r="M264" s="1">
        <v>1</v>
      </c>
      <c r="N264" s="1">
        <v>496</v>
      </c>
      <c r="O264" s="12">
        <v>0.08</v>
      </c>
      <c r="P264" s="1" t="s">
        <v>1822</v>
      </c>
      <c r="Q264" s="1">
        <v>456</v>
      </c>
      <c r="R264" s="1">
        <f>Salesdta[[#This Row],[Final Revenue]]-Salesdta[[#This Row],[Product cost]]</f>
        <v>137</v>
      </c>
      <c r="S264" s="1" t="str">
        <f>IF(Salesdta[[#This Row],[Final Revenue]]&gt;1000,"Selected","Not Selected")</f>
        <v>Not Selected</v>
      </c>
    </row>
    <row r="265" spans="1:19" x14ac:dyDescent="0.35">
      <c r="A265" s="6" t="s">
        <v>2082</v>
      </c>
      <c r="B265" s="20">
        <v>45309</v>
      </c>
      <c r="C265" s="1" t="str">
        <f>TEXT(Salesdta[[#This Row],[Order_Date]],"mmmm")</f>
        <v>January</v>
      </c>
      <c r="D265" s="1" t="s">
        <v>414</v>
      </c>
      <c r="E265" s="1" t="str">
        <f>VLOOKUP(Salesdta[[#This Row],[Customer_ID]],Customer_Data_[],6,TRUE)</f>
        <v>Female</v>
      </c>
      <c r="F265" s="1" t="str">
        <f>VLOOKUP(Salesdta[[#This Row],[Customer_ID]],Customer_Data_[],8,TRUE)</f>
        <v>Pennsylvania</v>
      </c>
      <c r="G265" s="1" t="s">
        <v>1690</v>
      </c>
      <c r="H265" s="1" t="str">
        <f>VLOOKUP(Salesdta[[#This Row],[Product_ID]],Product_Data_1[],2,TRUE)</f>
        <v>Shin Guards – Adult</v>
      </c>
      <c r="I265" s="1" t="str">
        <f>VLOOKUP(Salesdta[[#This Row],[Product_ID]],Product_Data_1[],3,TRUE)</f>
        <v>Sports</v>
      </c>
      <c r="J265" s="1">
        <f>VLOOKUP(Salesdta[[#This Row],[Product_ID]],Product_Data_1[],7,TRUE)</f>
        <v>107</v>
      </c>
      <c r="K265" s="1" t="s">
        <v>1765</v>
      </c>
      <c r="L265" s="1" t="str">
        <f>VLOOKUP(Salesdta[[#This Row],[Store_ID]],Store_Data_1[],3,TRUE)</f>
        <v>South</v>
      </c>
      <c r="M265" s="1">
        <v>4</v>
      </c>
      <c r="N265" s="1">
        <v>693</v>
      </c>
      <c r="O265" s="12">
        <v>0.05</v>
      </c>
      <c r="P265" s="1" t="s">
        <v>1819</v>
      </c>
      <c r="Q265" s="1">
        <v>2634</v>
      </c>
      <c r="R265" s="1">
        <f>Salesdta[[#This Row],[Final Revenue]]-Salesdta[[#This Row],[Product cost]]</f>
        <v>2527</v>
      </c>
      <c r="S265" s="1" t="str">
        <f>IF(Salesdta[[#This Row],[Final Revenue]]&gt;1000,"Selected","Not Selected")</f>
        <v>Selected</v>
      </c>
    </row>
    <row r="266" spans="1:19" x14ac:dyDescent="0.35">
      <c r="A266" s="6" t="s">
        <v>2083</v>
      </c>
      <c r="B266" s="20">
        <v>45744</v>
      </c>
      <c r="C266" s="1" t="str">
        <f>TEXT(Salesdta[[#This Row],[Order_Date]],"mmmm")</f>
        <v>March</v>
      </c>
      <c r="D266" s="1" t="s">
        <v>1401</v>
      </c>
      <c r="E266" s="1" t="str">
        <f>VLOOKUP(Salesdta[[#This Row],[Customer_ID]],Customer_Data_[],6,TRUE)</f>
        <v>Male</v>
      </c>
      <c r="F266" s="1" t="str">
        <f>VLOOKUP(Salesdta[[#This Row],[Customer_ID]],Customer_Data_[],8,TRUE)</f>
        <v>Illinois</v>
      </c>
      <c r="G266" s="1" t="s">
        <v>1710</v>
      </c>
      <c r="H266" s="1" t="str">
        <f>VLOOKUP(Salesdta[[#This Row],[Product_ID]],Product_Data_1[],2,TRUE)</f>
        <v>Hydrating Face Cleanser</v>
      </c>
      <c r="I266" s="1" t="str">
        <f>VLOOKUP(Salesdta[[#This Row],[Product_ID]],Product_Data_1[],3,TRUE)</f>
        <v>Beauty</v>
      </c>
      <c r="J266" s="1">
        <f>VLOOKUP(Salesdta[[#This Row],[Product_ID]],Product_Data_1[],7,TRUE)</f>
        <v>254</v>
      </c>
      <c r="K266" s="1" t="s">
        <v>1785</v>
      </c>
      <c r="L266" s="1" t="str">
        <f>VLOOKUP(Salesdta[[#This Row],[Store_ID]],Store_Data_1[],3,TRUE)</f>
        <v>North</v>
      </c>
      <c r="M266" s="1">
        <v>1</v>
      </c>
      <c r="N266" s="1">
        <v>996</v>
      </c>
      <c r="O266" s="12">
        <v>0.22</v>
      </c>
      <c r="P266" s="1" t="s">
        <v>1819</v>
      </c>
      <c r="Q266" s="1">
        <v>777</v>
      </c>
      <c r="R266" s="1">
        <f>Salesdta[[#This Row],[Final Revenue]]-Salesdta[[#This Row],[Product cost]]</f>
        <v>523</v>
      </c>
      <c r="S266" s="1" t="str">
        <f>IF(Salesdta[[#This Row],[Final Revenue]]&gt;1000,"Selected","Not Selected")</f>
        <v>Not Selected</v>
      </c>
    </row>
    <row r="267" spans="1:19" x14ac:dyDescent="0.35">
      <c r="A267" s="6" t="s">
        <v>2084</v>
      </c>
      <c r="B267" s="20">
        <v>45535</v>
      </c>
      <c r="C267" s="1" t="str">
        <f>TEXT(Salesdta[[#This Row],[Order_Date]],"mmmm")</f>
        <v>August</v>
      </c>
      <c r="D267" s="1" t="s">
        <v>428</v>
      </c>
      <c r="E267" s="1" t="str">
        <f>VLOOKUP(Salesdta[[#This Row],[Customer_ID]],Customer_Data_[],6,TRUE)</f>
        <v>Female</v>
      </c>
      <c r="F267" s="1" t="str">
        <f>VLOOKUP(Salesdta[[#This Row],[Customer_ID]],Customer_Data_[],8,TRUE)</f>
        <v>Maine</v>
      </c>
      <c r="G267" s="1" t="s">
        <v>1556</v>
      </c>
      <c r="H267" s="1" t="str">
        <f>VLOOKUP(Salesdta[[#This Row],[Product_ID]],Product_Data_1[],2,TRUE)</f>
        <v>Men's Sports Shorts</v>
      </c>
      <c r="I267" s="1" t="str">
        <f>VLOOKUP(Salesdta[[#This Row],[Product_ID]],Product_Data_1[],3,TRUE)</f>
        <v>Clothing</v>
      </c>
      <c r="J267" s="1">
        <f>VLOOKUP(Salesdta[[#This Row],[Product_ID]],Product_Data_1[],7,TRUE)</f>
        <v>218</v>
      </c>
      <c r="K267" s="1" t="s">
        <v>1806</v>
      </c>
      <c r="L267" s="1" t="str">
        <f>VLOOKUP(Salesdta[[#This Row],[Store_ID]],Store_Data_1[],3,TRUE)</f>
        <v>North</v>
      </c>
      <c r="M267" s="1">
        <v>4</v>
      </c>
      <c r="N267" s="1">
        <v>241</v>
      </c>
      <c r="O267" s="12">
        <v>0.28999999999999998</v>
      </c>
      <c r="P267" s="1" t="s">
        <v>1822</v>
      </c>
      <c r="Q267" s="1">
        <v>685</v>
      </c>
      <c r="R267" s="1">
        <f>Salesdta[[#This Row],[Final Revenue]]-Salesdta[[#This Row],[Product cost]]</f>
        <v>467</v>
      </c>
      <c r="S267" s="1" t="str">
        <f>IF(Salesdta[[#This Row],[Final Revenue]]&gt;1000,"Selected","Not Selected")</f>
        <v>Not Selected</v>
      </c>
    </row>
    <row r="268" spans="1:19" x14ac:dyDescent="0.35">
      <c r="A268" s="6" t="s">
        <v>2085</v>
      </c>
      <c r="B268" s="20">
        <v>45322</v>
      </c>
      <c r="C268" s="1" t="str">
        <f>TEXT(Salesdta[[#This Row],[Order_Date]],"mmmm")</f>
        <v>January</v>
      </c>
      <c r="D268" s="1" t="s">
        <v>675</v>
      </c>
      <c r="E268" s="1" t="str">
        <f>VLOOKUP(Salesdta[[#This Row],[Customer_ID]],Customer_Data_[],6,TRUE)</f>
        <v>Male</v>
      </c>
      <c r="F268" s="1" t="str">
        <f>VLOOKUP(Salesdta[[#This Row],[Customer_ID]],Customer_Data_[],8,TRUE)</f>
        <v>Louisiana</v>
      </c>
      <c r="G268" s="1" t="s">
        <v>1612</v>
      </c>
      <c r="H268" s="1" t="str">
        <f>VLOOKUP(Salesdta[[#This Row],[Product_ID]],Product_Data_1[],2,TRUE)</f>
        <v>Gaming Mechanical Keyboard</v>
      </c>
      <c r="I268" s="1" t="str">
        <f>VLOOKUP(Salesdta[[#This Row],[Product_ID]],Product_Data_1[],3,TRUE)</f>
        <v>Electronics</v>
      </c>
      <c r="J268" s="1">
        <f>VLOOKUP(Salesdta[[#This Row],[Product_ID]],Product_Data_1[],7,TRUE)</f>
        <v>419</v>
      </c>
      <c r="K268" s="1" t="s">
        <v>1765</v>
      </c>
      <c r="L268" s="1" t="str">
        <f>VLOOKUP(Salesdta[[#This Row],[Store_ID]],Store_Data_1[],3,TRUE)</f>
        <v>South</v>
      </c>
      <c r="M268" s="1">
        <v>2</v>
      </c>
      <c r="N268" s="1">
        <v>57</v>
      </c>
      <c r="O268" s="12">
        <v>0.08</v>
      </c>
      <c r="P268" s="1" t="s">
        <v>1822</v>
      </c>
      <c r="Q268" s="1">
        <v>105</v>
      </c>
      <c r="R268" s="1">
        <f>Salesdta[[#This Row],[Final Revenue]]-Salesdta[[#This Row],[Product cost]]</f>
        <v>-314</v>
      </c>
      <c r="S268" s="1" t="str">
        <f>IF(Salesdta[[#This Row],[Final Revenue]]&gt;1000,"Selected","Not Selected")</f>
        <v>Not Selected</v>
      </c>
    </row>
    <row r="269" spans="1:19" x14ac:dyDescent="0.35">
      <c r="A269" s="6" t="s">
        <v>2086</v>
      </c>
      <c r="B269" s="20">
        <v>45780</v>
      </c>
      <c r="C269" s="1" t="str">
        <f>TEXT(Salesdta[[#This Row],[Order_Date]],"mmmm")</f>
        <v>May</v>
      </c>
      <c r="D269" s="1" t="s">
        <v>7</v>
      </c>
      <c r="E269" s="1" t="str">
        <f>VLOOKUP(Salesdta[[#This Row],[Customer_ID]],Customer_Data_[],6,TRUE)</f>
        <v>Male</v>
      </c>
      <c r="F269" s="1" t="str">
        <f>VLOOKUP(Salesdta[[#This Row],[Customer_ID]],Customer_Data_[],8,TRUE)</f>
        <v>North Carolina</v>
      </c>
      <c r="G269" s="1" t="s">
        <v>1670</v>
      </c>
      <c r="H269" s="1" t="str">
        <f>VLOOKUP(Salesdta[[#This Row],[Product_ID]],Product_Data_1[],2,TRUE)</f>
        <v>Organic Sunscreen Lotion</v>
      </c>
      <c r="I269" s="1" t="str">
        <f>VLOOKUP(Salesdta[[#This Row],[Product_ID]],Product_Data_1[],3,TRUE)</f>
        <v>Beauty</v>
      </c>
      <c r="J269" s="1">
        <f>VLOOKUP(Salesdta[[#This Row],[Product_ID]],Product_Data_1[],7,TRUE)</f>
        <v>267</v>
      </c>
      <c r="K269" s="1" t="s">
        <v>1800</v>
      </c>
      <c r="L269" s="1" t="str">
        <f>VLOOKUP(Salesdta[[#This Row],[Store_ID]],Store_Data_1[],3,TRUE)</f>
        <v>North</v>
      </c>
      <c r="M269" s="1">
        <v>1</v>
      </c>
      <c r="N269" s="1">
        <v>665</v>
      </c>
      <c r="O269" s="12">
        <v>0.1</v>
      </c>
      <c r="P269" s="1" t="s">
        <v>1819</v>
      </c>
      <c r="Q269" s="1">
        <v>598</v>
      </c>
      <c r="R269" s="1">
        <f>Salesdta[[#This Row],[Final Revenue]]-Salesdta[[#This Row],[Product cost]]</f>
        <v>331</v>
      </c>
      <c r="S269" s="1" t="str">
        <f>IF(Salesdta[[#This Row],[Final Revenue]]&gt;1000,"Selected","Not Selected")</f>
        <v>Not Selected</v>
      </c>
    </row>
    <row r="270" spans="1:19" x14ac:dyDescent="0.35">
      <c r="A270" s="6" t="s">
        <v>2087</v>
      </c>
      <c r="B270" s="20">
        <v>45233</v>
      </c>
      <c r="C270" s="1" t="str">
        <f>TEXT(Salesdta[[#This Row],[Order_Date]],"mmmm")</f>
        <v>November</v>
      </c>
      <c r="D270" s="1" t="s">
        <v>1086</v>
      </c>
      <c r="E270" s="1" t="str">
        <f>VLOOKUP(Salesdta[[#This Row],[Customer_ID]],Customer_Data_[],6,TRUE)</f>
        <v>Female</v>
      </c>
      <c r="F270" s="1" t="str">
        <f>VLOOKUP(Salesdta[[#This Row],[Customer_ID]],Customer_Data_[],8,TRUE)</f>
        <v>Connecticut</v>
      </c>
      <c r="G270" s="1" t="s">
        <v>1618</v>
      </c>
      <c r="H270" s="1" t="str">
        <f>VLOOKUP(Salesdta[[#This Row],[Product_ID]],Product_Data_1[],2,TRUE)</f>
        <v>Men's Casual Sneakers</v>
      </c>
      <c r="I270" s="1" t="str">
        <f>VLOOKUP(Salesdta[[#This Row],[Product_ID]],Product_Data_1[],3,TRUE)</f>
        <v>Clothing</v>
      </c>
      <c r="J270" s="1">
        <f>VLOOKUP(Salesdta[[#This Row],[Product_ID]],Product_Data_1[],7,TRUE)</f>
        <v>353</v>
      </c>
      <c r="K270" s="1" t="s">
        <v>1775</v>
      </c>
      <c r="L270" s="1" t="str">
        <f>VLOOKUP(Salesdta[[#This Row],[Store_ID]],Store_Data_1[],3,TRUE)</f>
        <v>South</v>
      </c>
      <c r="M270" s="1">
        <v>4</v>
      </c>
      <c r="N270" s="1">
        <v>482</v>
      </c>
      <c r="O270" s="12">
        <v>7.0000000000000007E-2</v>
      </c>
      <c r="P270" s="1" t="s">
        <v>1819</v>
      </c>
      <c r="Q270" s="1">
        <v>1793</v>
      </c>
      <c r="R270" s="1">
        <f>Salesdta[[#This Row],[Final Revenue]]-Salesdta[[#This Row],[Product cost]]</f>
        <v>1440</v>
      </c>
      <c r="S270" s="1" t="str">
        <f>IF(Salesdta[[#This Row],[Final Revenue]]&gt;1000,"Selected","Not Selected")</f>
        <v>Selected</v>
      </c>
    </row>
    <row r="271" spans="1:19" x14ac:dyDescent="0.35">
      <c r="A271" s="6" t="s">
        <v>2088</v>
      </c>
      <c r="B271" s="20">
        <v>45742</v>
      </c>
      <c r="C271" s="1" t="str">
        <f>TEXT(Salesdta[[#This Row],[Order_Date]],"mmmm")</f>
        <v>March</v>
      </c>
      <c r="D271" s="1" t="s">
        <v>318</v>
      </c>
      <c r="E271" s="1" t="str">
        <f>VLOOKUP(Salesdta[[#This Row],[Customer_ID]],Customer_Data_[],6,TRUE)</f>
        <v>Male</v>
      </c>
      <c r="F271" s="1" t="str">
        <f>VLOOKUP(Salesdta[[#This Row],[Customer_ID]],Customer_Data_[],8,TRUE)</f>
        <v>Wisconsin</v>
      </c>
      <c r="G271" s="1" t="s">
        <v>1658</v>
      </c>
      <c r="H271" s="1" t="str">
        <f>VLOOKUP(Salesdta[[#This Row],[Product_ID]],Product_Data_1[],2,TRUE)</f>
        <v>Foam Roller</v>
      </c>
      <c r="I271" s="1" t="str">
        <f>VLOOKUP(Salesdta[[#This Row],[Product_ID]],Product_Data_1[],3,TRUE)</f>
        <v>Sports</v>
      </c>
      <c r="J271" s="1">
        <f>VLOOKUP(Salesdta[[#This Row],[Product_ID]],Product_Data_1[],7,TRUE)</f>
        <v>31</v>
      </c>
      <c r="K271" s="1" t="s">
        <v>1762</v>
      </c>
      <c r="L271" s="1" t="str">
        <f>VLOOKUP(Salesdta[[#This Row],[Store_ID]],Store_Data_1[],3,TRUE)</f>
        <v>North</v>
      </c>
      <c r="M271" s="1">
        <v>4</v>
      </c>
      <c r="N271" s="1">
        <v>996</v>
      </c>
      <c r="O271" s="12">
        <v>0.19</v>
      </c>
      <c r="P271" s="1" t="s">
        <v>1819</v>
      </c>
      <c r="Q271" s="1">
        <v>3226</v>
      </c>
      <c r="R271" s="1">
        <f>Salesdta[[#This Row],[Final Revenue]]-Salesdta[[#This Row],[Product cost]]</f>
        <v>3195</v>
      </c>
      <c r="S271" s="1" t="str">
        <f>IF(Salesdta[[#This Row],[Final Revenue]]&gt;1000,"Selected","Not Selected")</f>
        <v>Selected</v>
      </c>
    </row>
    <row r="272" spans="1:19" x14ac:dyDescent="0.35">
      <c r="A272" s="6" t="s">
        <v>2089</v>
      </c>
      <c r="B272" s="20">
        <v>45407</v>
      </c>
      <c r="C272" s="1" t="str">
        <f>TEXT(Salesdta[[#This Row],[Order_Date]],"mmmm")</f>
        <v>April</v>
      </c>
      <c r="D272" s="1" t="s">
        <v>69</v>
      </c>
      <c r="E272" s="1" t="str">
        <f>VLOOKUP(Salesdta[[#This Row],[Customer_ID]],Customer_Data_[],6,TRUE)</f>
        <v>Female</v>
      </c>
      <c r="F272" s="1" t="str">
        <f>VLOOKUP(Salesdta[[#This Row],[Customer_ID]],Customer_Data_[],8,TRUE)</f>
        <v>Washington</v>
      </c>
      <c r="G272" s="1" t="s">
        <v>1580</v>
      </c>
      <c r="H272" s="1" t="str">
        <f>VLOOKUP(Salesdta[[#This Row],[Product_ID]],Product_Data_1[],2,TRUE)</f>
        <v>Women's Denim Jeans</v>
      </c>
      <c r="I272" s="1" t="str">
        <f>VLOOKUP(Salesdta[[#This Row],[Product_ID]],Product_Data_1[],3,TRUE)</f>
        <v>Clothing</v>
      </c>
      <c r="J272" s="1">
        <f>VLOOKUP(Salesdta[[#This Row],[Product_ID]],Product_Data_1[],7,TRUE)</f>
        <v>254</v>
      </c>
      <c r="K272" s="1" t="s">
        <v>1795</v>
      </c>
      <c r="L272" s="1" t="str">
        <f>VLOOKUP(Salesdta[[#This Row],[Store_ID]],Store_Data_1[],3,TRUE)</f>
        <v>North</v>
      </c>
      <c r="M272" s="1">
        <v>3</v>
      </c>
      <c r="N272" s="1">
        <v>991</v>
      </c>
      <c r="O272" s="12">
        <v>0.1</v>
      </c>
      <c r="P272" s="1" t="s">
        <v>1819</v>
      </c>
      <c r="Q272" s="1">
        <v>2677</v>
      </c>
      <c r="R272" s="1">
        <f>Salesdta[[#This Row],[Final Revenue]]-Salesdta[[#This Row],[Product cost]]</f>
        <v>2423</v>
      </c>
      <c r="S272" s="1" t="str">
        <f>IF(Salesdta[[#This Row],[Final Revenue]]&gt;1000,"Selected","Not Selected")</f>
        <v>Selected</v>
      </c>
    </row>
    <row r="273" spans="1:19" x14ac:dyDescent="0.35">
      <c r="A273" s="6" t="s">
        <v>2090</v>
      </c>
      <c r="B273" s="20">
        <v>45844</v>
      </c>
      <c r="C273" s="1" t="str">
        <f>TEXT(Salesdta[[#This Row],[Order_Date]],"mmmm")</f>
        <v>July</v>
      </c>
      <c r="D273" s="1" t="s">
        <v>669</v>
      </c>
      <c r="E273" s="1" t="str">
        <f>VLOOKUP(Salesdta[[#This Row],[Customer_ID]],Customer_Data_[],6,TRUE)</f>
        <v>Female</v>
      </c>
      <c r="F273" s="1" t="str">
        <f>VLOOKUP(Salesdta[[#This Row],[Customer_ID]],Customer_Data_[],8,TRUE)</f>
        <v>Tennessee</v>
      </c>
      <c r="G273" s="1" t="s">
        <v>1732</v>
      </c>
      <c r="H273" s="1" t="str">
        <f>VLOOKUP(Salesdta[[#This Row],[Product_ID]],Product_Data_1[],2,TRUE)</f>
        <v>Vitamin E Body Lotion</v>
      </c>
      <c r="I273" s="1" t="str">
        <f>VLOOKUP(Salesdta[[#This Row],[Product_ID]],Product_Data_1[],3,TRUE)</f>
        <v>Beauty</v>
      </c>
      <c r="J273" s="1">
        <f>VLOOKUP(Salesdta[[#This Row],[Product_ID]],Product_Data_1[],7,TRUE)</f>
        <v>358</v>
      </c>
      <c r="K273" s="1" t="s">
        <v>1790</v>
      </c>
      <c r="L273" s="1" t="str">
        <f>VLOOKUP(Salesdta[[#This Row],[Store_ID]],Store_Data_1[],3,TRUE)</f>
        <v>North</v>
      </c>
      <c r="M273" s="1">
        <v>2</v>
      </c>
      <c r="N273" s="1">
        <v>309</v>
      </c>
      <c r="O273" s="12">
        <v>0.2</v>
      </c>
      <c r="P273" s="1" t="s">
        <v>1819</v>
      </c>
      <c r="Q273" s="1">
        <v>494</v>
      </c>
      <c r="R273" s="1">
        <f>Salesdta[[#This Row],[Final Revenue]]-Salesdta[[#This Row],[Product cost]]</f>
        <v>136</v>
      </c>
      <c r="S273" s="1" t="str">
        <f>IF(Salesdta[[#This Row],[Final Revenue]]&gt;1000,"Selected","Not Selected")</f>
        <v>Not Selected</v>
      </c>
    </row>
    <row r="274" spans="1:19" x14ac:dyDescent="0.35">
      <c r="A274" s="6" t="s">
        <v>2091</v>
      </c>
      <c r="B274" s="20">
        <v>45817</v>
      </c>
      <c r="C274" s="1" t="str">
        <f>TEXT(Salesdta[[#This Row],[Order_Date]],"mmmm")</f>
        <v>June</v>
      </c>
      <c r="D274" s="1" t="s">
        <v>934</v>
      </c>
      <c r="E274" s="1" t="str">
        <f>VLOOKUP(Salesdta[[#This Row],[Customer_ID]],Customer_Data_[],6,TRUE)</f>
        <v>Female</v>
      </c>
      <c r="F274" s="1" t="str">
        <f>VLOOKUP(Salesdta[[#This Row],[Customer_ID]],Customer_Data_[],8,TRUE)</f>
        <v>West Virginia</v>
      </c>
      <c r="G274" s="1" t="s">
        <v>1572</v>
      </c>
      <c r="H274" s="1" t="str">
        <f>VLOOKUP(Salesdta[[#This Row],[Product_ID]],Product_Data_1[],2,TRUE)</f>
        <v>Decorative Wall Mirror</v>
      </c>
      <c r="I274" s="1" t="str">
        <f>VLOOKUP(Salesdta[[#This Row],[Product_ID]],Product_Data_1[],3,TRUE)</f>
        <v>Home</v>
      </c>
      <c r="J274" s="1">
        <f>VLOOKUP(Salesdta[[#This Row],[Product_ID]],Product_Data_1[],7,TRUE)</f>
        <v>48</v>
      </c>
      <c r="K274" s="1" t="s">
        <v>1785</v>
      </c>
      <c r="L274" s="1" t="str">
        <f>VLOOKUP(Salesdta[[#This Row],[Store_ID]],Store_Data_1[],3,TRUE)</f>
        <v>North</v>
      </c>
      <c r="M274" s="1">
        <v>1</v>
      </c>
      <c r="N274" s="1">
        <v>753</v>
      </c>
      <c r="O274" s="12">
        <v>0.04</v>
      </c>
      <c r="P274" s="1" t="s">
        <v>1822</v>
      </c>
      <c r="Q274" s="1">
        <v>723</v>
      </c>
      <c r="R274" s="1">
        <f>Salesdta[[#This Row],[Final Revenue]]-Salesdta[[#This Row],[Product cost]]</f>
        <v>675</v>
      </c>
      <c r="S274" s="1" t="str">
        <f>IF(Salesdta[[#This Row],[Final Revenue]]&gt;1000,"Selected","Not Selected")</f>
        <v>Not Selected</v>
      </c>
    </row>
    <row r="275" spans="1:19" x14ac:dyDescent="0.35">
      <c r="A275" s="6" t="s">
        <v>2092</v>
      </c>
      <c r="B275" s="20">
        <v>45495</v>
      </c>
      <c r="C275" s="1" t="str">
        <f>TEXT(Salesdta[[#This Row],[Order_Date]],"mmmm")</f>
        <v>July</v>
      </c>
      <c r="D275" s="1" t="s">
        <v>1180</v>
      </c>
      <c r="E275" s="1" t="str">
        <f>VLOOKUP(Salesdta[[#This Row],[Customer_ID]],Customer_Data_[],6,TRUE)</f>
        <v>Female</v>
      </c>
      <c r="F275" s="1" t="str">
        <f>VLOOKUP(Salesdta[[#This Row],[Customer_ID]],Customer_Data_[],8,TRUE)</f>
        <v>Iowa</v>
      </c>
      <c r="G275" s="1" t="s">
        <v>1584</v>
      </c>
      <c r="H275" s="1" t="str">
        <f>VLOOKUP(Salesdta[[#This Row],[Product_ID]],Product_Data_1[],2,TRUE)</f>
        <v>Outdoor Sports Water Bottle</v>
      </c>
      <c r="I275" s="1" t="str">
        <f>VLOOKUP(Salesdta[[#This Row],[Product_ID]],Product_Data_1[],3,TRUE)</f>
        <v>Sports</v>
      </c>
      <c r="J275" s="1">
        <f>VLOOKUP(Salesdta[[#This Row],[Product_ID]],Product_Data_1[],7,TRUE)</f>
        <v>132</v>
      </c>
      <c r="K275" s="1" t="s">
        <v>1748</v>
      </c>
      <c r="L275" s="1" t="str">
        <f>VLOOKUP(Salesdta[[#This Row],[Store_ID]],Store_Data_1[],3,TRUE)</f>
        <v>East</v>
      </c>
      <c r="M275" s="1">
        <v>4</v>
      </c>
      <c r="N275" s="1">
        <v>585</v>
      </c>
      <c r="O275" s="12">
        <v>0.25</v>
      </c>
      <c r="P275" s="1" t="s">
        <v>1822</v>
      </c>
      <c r="Q275" s="1">
        <v>1756</v>
      </c>
      <c r="R275" s="1">
        <f>Salesdta[[#This Row],[Final Revenue]]-Salesdta[[#This Row],[Product cost]]</f>
        <v>1624</v>
      </c>
      <c r="S275" s="1" t="str">
        <f>IF(Salesdta[[#This Row],[Final Revenue]]&gt;1000,"Selected","Not Selected")</f>
        <v>Selected</v>
      </c>
    </row>
    <row r="276" spans="1:19" x14ac:dyDescent="0.35">
      <c r="A276" s="6" t="s">
        <v>2093</v>
      </c>
      <c r="B276" s="20">
        <v>45244</v>
      </c>
      <c r="C276" s="1" t="str">
        <f>TEXT(Salesdta[[#This Row],[Order_Date]],"mmmm")</f>
        <v>November</v>
      </c>
      <c r="D276" s="1" t="s">
        <v>189</v>
      </c>
      <c r="E276" s="1" t="str">
        <f>VLOOKUP(Salesdta[[#This Row],[Customer_ID]],Customer_Data_[],6,TRUE)</f>
        <v>Female</v>
      </c>
      <c r="F276" s="1" t="str">
        <f>VLOOKUP(Salesdta[[#This Row],[Customer_ID]],Customer_Data_[],8,TRUE)</f>
        <v>Illinois</v>
      </c>
      <c r="G276" s="1" t="s">
        <v>1742</v>
      </c>
      <c r="H276" s="1" t="str">
        <f>VLOOKUP(Salesdta[[#This Row],[Product_ID]],Product_Data_1[],2,TRUE)</f>
        <v>Stainless Steel Cookware Set</v>
      </c>
      <c r="I276" s="1" t="str">
        <f>VLOOKUP(Salesdta[[#This Row],[Product_ID]],Product_Data_1[],3,TRUE)</f>
        <v>Home</v>
      </c>
      <c r="J276" s="1">
        <f>VLOOKUP(Salesdta[[#This Row],[Product_ID]],Product_Data_1[],7,TRUE)</f>
        <v>201</v>
      </c>
      <c r="K276" s="1" t="s">
        <v>1757</v>
      </c>
      <c r="L276" s="1" t="str">
        <f>VLOOKUP(Salesdta[[#This Row],[Store_ID]],Store_Data_1[],3,TRUE)</f>
        <v>South</v>
      </c>
      <c r="M276" s="1">
        <v>1</v>
      </c>
      <c r="N276" s="1">
        <v>849</v>
      </c>
      <c r="O276" s="12">
        <v>0.04</v>
      </c>
      <c r="P276" s="1" t="s">
        <v>1822</v>
      </c>
      <c r="Q276" s="1">
        <v>815</v>
      </c>
      <c r="R276" s="1">
        <f>Salesdta[[#This Row],[Final Revenue]]-Salesdta[[#This Row],[Product cost]]</f>
        <v>614</v>
      </c>
      <c r="S276" s="1" t="str">
        <f>IF(Salesdta[[#This Row],[Final Revenue]]&gt;1000,"Selected","Not Selected")</f>
        <v>Not Selected</v>
      </c>
    </row>
    <row r="277" spans="1:19" x14ac:dyDescent="0.35">
      <c r="A277" s="6" t="s">
        <v>2094</v>
      </c>
      <c r="B277" s="20">
        <v>45336</v>
      </c>
      <c r="C277" s="1" t="str">
        <f>TEXT(Salesdta[[#This Row],[Order_Date]],"mmmm")</f>
        <v>February</v>
      </c>
      <c r="D277" s="1" t="s">
        <v>1279</v>
      </c>
      <c r="E277" s="1" t="str">
        <f>VLOOKUP(Salesdta[[#This Row],[Customer_ID]],Customer_Data_[],6,TRUE)</f>
        <v>Female</v>
      </c>
      <c r="F277" s="1" t="str">
        <f>VLOOKUP(Salesdta[[#This Row],[Customer_ID]],Customer_Data_[],8,TRUE)</f>
        <v>Idaho</v>
      </c>
      <c r="G277" s="1" t="s">
        <v>1684</v>
      </c>
      <c r="H277" s="1" t="str">
        <f>VLOOKUP(Salesdta[[#This Row],[Product_ID]],Product_Data_1[],2,TRUE)</f>
        <v>Kitchen Storage Rack</v>
      </c>
      <c r="I277" s="1" t="str">
        <f>VLOOKUP(Salesdta[[#This Row],[Product_ID]],Product_Data_1[],3,TRUE)</f>
        <v>Home</v>
      </c>
      <c r="J277" s="1">
        <f>VLOOKUP(Salesdta[[#This Row],[Product_ID]],Product_Data_1[],7,TRUE)</f>
        <v>138</v>
      </c>
      <c r="K277" s="1" t="s">
        <v>1795</v>
      </c>
      <c r="L277" s="1" t="str">
        <f>VLOOKUP(Salesdta[[#This Row],[Store_ID]],Store_Data_1[],3,TRUE)</f>
        <v>North</v>
      </c>
      <c r="M277" s="1">
        <v>2</v>
      </c>
      <c r="N277" s="1">
        <v>248</v>
      </c>
      <c r="O277" s="12">
        <v>0.1</v>
      </c>
      <c r="P277" s="1" t="s">
        <v>1819</v>
      </c>
      <c r="Q277" s="1">
        <v>446</v>
      </c>
      <c r="R277" s="1">
        <f>Salesdta[[#This Row],[Final Revenue]]-Salesdta[[#This Row],[Product cost]]</f>
        <v>308</v>
      </c>
      <c r="S277" s="1" t="str">
        <f>IF(Salesdta[[#This Row],[Final Revenue]]&gt;1000,"Selected","Not Selected")</f>
        <v>Not Selected</v>
      </c>
    </row>
    <row r="278" spans="1:19" x14ac:dyDescent="0.35">
      <c r="A278" s="6" t="s">
        <v>2095</v>
      </c>
      <c r="B278" s="20">
        <v>45465</v>
      </c>
      <c r="C278" s="1" t="str">
        <f>TEXT(Salesdta[[#This Row],[Order_Date]],"mmmm")</f>
        <v>June</v>
      </c>
      <c r="D278" s="1" t="s">
        <v>151</v>
      </c>
      <c r="E278" s="1" t="str">
        <f>VLOOKUP(Salesdta[[#This Row],[Customer_ID]],Customer_Data_[],6,TRUE)</f>
        <v>Female</v>
      </c>
      <c r="F278" s="1" t="str">
        <f>VLOOKUP(Salesdta[[#This Row],[Customer_ID]],Customer_Data_[],8,TRUE)</f>
        <v>Michigan</v>
      </c>
      <c r="G278" s="1" t="s">
        <v>1692</v>
      </c>
      <c r="H278" s="1" t="str">
        <f>VLOOKUP(Salesdta[[#This Row],[Product_ID]],Product_Data_1[],2,TRUE)</f>
        <v>Bluetooth Car Audio System</v>
      </c>
      <c r="I278" s="1" t="str">
        <f>VLOOKUP(Salesdta[[#This Row],[Product_ID]],Product_Data_1[],3,TRUE)</f>
        <v>Electronics</v>
      </c>
      <c r="J278" s="1">
        <f>VLOOKUP(Salesdta[[#This Row],[Product_ID]],Product_Data_1[],7,TRUE)</f>
        <v>404</v>
      </c>
      <c r="K278" s="1" t="s">
        <v>1762</v>
      </c>
      <c r="L278" s="1" t="str">
        <f>VLOOKUP(Salesdta[[#This Row],[Store_ID]],Store_Data_1[],3,TRUE)</f>
        <v>North</v>
      </c>
      <c r="M278" s="1">
        <v>3</v>
      </c>
      <c r="N278" s="1">
        <v>221</v>
      </c>
      <c r="O278" s="12">
        <v>0.02</v>
      </c>
      <c r="P278" s="1" t="s">
        <v>1819</v>
      </c>
      <c r="Q278" s="1">
        <v>648</v>
      </c>
      <c r="R278" s="1">
        <f>Salesdta[[#This Row],[Final Revenue]]-Salesdta[[#This Row],[Product cost]]</f>
        <v>244</v>
      </c>
      <c r="S278" s="1" t="str">
        <f>IF(Salesdta[[#This Row],[Final Revenue]]&gt;1000,"Selected","Not Selected")</f>
        <v>Not Selected</v>
      </c>
    </row>
    <row r="279" spans="1:19" x14ac:dyDescent="0.35">
      <c r="A279" s="6" t="s">
        <v>2096</v>
      </c>
      <c r="B279" s="20">
        <v>45706</v>
      </c>
      <c r="C279" s="1" t="str">
        <f>TEXT(Salesdta[[#This Row],[Order_Date]],"mmmm")</f>
        <v>February</v>
      </c>
      <c r="D279" s="1" t="s">
        <v>1216</v>
      </c>
      <c r="E279" s="1" t="str">
        <f>VLOOKUP(Salesdta[[#This Row],[Customer_ID]],Customer_Data_[],6,TRUE)</f>
        <v>Female</v>
      </c>
      <c r="F279" s="1" t="str">
        <f>VLOOKUP(Salesdta[[#This Row],[Customer_ID]],Customer_Data_[],8,TRUE)</f>
        <v>Oregon</v>
      </c>
      <c r="G279" s="1" t="s">
        <v>1602</v>
      </c>
      <c r="H279" s="1" t="str">
        <f>VLOOKUP(Salesdta[[#This Row],[Product_ID]],Product_Data_1[],2,TRUE)</f>
        <v>Fabric Sofa Throw Blanket</v>
      </c>
      <c r="I279" s="1" t="str">
        <f>VLOOKUP(Salesdta[[#This Row],[Product_ID]],Product_Data_1[],3,TRUE)</f>
        <v>Home</v>
      </c>
      <c r="J279" s="1">
        <f>VLOOKUP(Salesdta[[#This Row],[Product_ID]],Product_Data_1[],7,TRUE)</f>
        <v>218</v>
      </c>
      <c r="K279" s="1" t="s">
        <v>1809</v>
      </c>
      <c r="L279" s="1" t="str">
        <f>VLOOKUP(Salesdta[[#This Row],[Store_ID]],Store_Data_1[],3,TRUE)</f>
        <v>North</v>
      </c>
      <c r="M279" s="1">
        <v>4</v>
      </c>
      <c r="N279" s="1">
        <v>350</v>
      </c>
      <c r="O279" s="12">
        <v>0.11</v>
      </c>
      <c r="P279" s="1" t="s">
        <v>1817</v>
      </c>
      <c r="Q279" s="1">
        <v>1245</v>
      </c>
      <c r="R279" s="1">
        <f>Salesdta[[#This Row],[Final Revenue]]-Salesdta[[#This Row],[Product cost]]</f>
        <v>1027</v>
      </c>
      <c r="S279" s="1" t="str">
        <f>IF(Salesdta[[#This Row],[Final Revenue]]&gt;1000,"Selected","Not Selected")</f>
        <v>Selected</v>
      </c>
    </row>
    <row r="280" spans="1:19" x14ac:dyDescent="0.35">
      <c r="A280" s="6" t="s">
        <v>2097</v>
      </c>
      <c r="B280" s="20">
        <v>45823</v>
      </c>
      <c r="C280" s="1" t="str">
        <f>TEXT(Salesdta[[#This Row],[Order_Date]],"mmmm")</f>
        <v>June</v>
      </c>
      <c r="D280" s="1" t="s">
        <v>166</v>
      </c>
      <c r="E280" s="1" t="str">
        <f>VLOOKUP(Salesdta[[#This Row],[Customer_ID]],Customer_Data_[],6,TRUE)</f>
        <v>Male</v>
      </c>
      <c r="F280" s="1" t="str">
        <f>VLOOKUP(Salesdta[[#This Row],[Customer_ID]],Customer_Data_[],8,TRUE)</f>
        <v>Vermont</v>
      </c>
      <c r="G280" s="1" t="s">
        <v>1622</v>
      </c>
      <c r="H280" s="1" t="str">
        <f>VLOOKUP(Salesdta[[#This Row],[Product_ID]],Product_Data_1[],2,TRUE)</f>
        <v>Portable Power Bank</v>
      </c>
      <c r="I280" s="1" t="str">
        <f>VLOOKUP(Salesdta[[#This Row],[Product_ID]],Product_Data_1[],3,TRUE)</f>
        <v>Electronics</v>
      </c>
      <c r="J280" s="1">
        <f>VLOOKUP(Salesdta[[#This Row],[Product_ID]],Product_Data_1[],7,TRUE)</f>
        <v>326</v>
      </c>
      <c r="K280" s="1" t="s">
        <v>1790</v>
      </c>
      <c r="L280" s="1" t="str">
        <f>VLOOKUP(Salesdta[[#This Row],[Store_ID]],Store_Data_1[],3,TRUE)</f>
        <v>North</v>
      </c>
      <c r="M280" s="1">
        <v>1</v>
      </c>
      <c r="N280" s="1">
        <v>771</v>
      </c>
      <c r="O280" s="12">
        <v>0.1</v>
      </c>
      <c r="P280" s="1" t="s">
        <v>1822</v>
      </c>
      <c r="Q280" s="1">
        <v>694</v>
      </c>
      <c r="R280" s="1">
        <f>Salesdta[[#This Row],[Final Revenue]]-Salesdta[[#This Row],[Product cost]]</f>
        <v>368</v>
      </c>
      <c r="S280" s="1" t="str">
        <f>IF(Salesdta[[#This Row],[Final Revenue]]&gt;1000,"Selected","Not Selected")</f>
        <v>Not Selected</v>
      </c>
    </row>
    <row r="281" spans="1:19" x14ac:dyDescent="0.35">
      <c r="A281" s="6" t="s">
        <v>2098</v>
      </c>
      <c r="B281" s="20">
        <v>45666</v>
      </c>
      <c r="C281" s="1" t="str">
        <f>TEXT(Salesdta[[#This Row],[Order_Date]],"mmmm")</f>
        <v>January</v>
      </c>
      <c r="D281" s="1" t="s">
        <v>34</v>
      </c>
      <c r="E281" s="1" t="str">
        <f>VLOOKUP(Salesdta[[#This Row],[Customer_ID]],Customer_Data_[],6,TRUE)</f>
        <v>Female</v>
      </c>
      <c r="F281" s="1" t="str">
        <f>VLOOKUP(Salesdta[[#This Row],[Customer_ID]],Customer_Data_[],8,TRUE)</f>
        <v>South Dakota</v>
      </c>
      <c r="G281" s="1" t="s">
        <v>1730</v>
      </c>
      <c r="H281" s="1" t="str">
        <f>VLOOKUP(Salesdta[[#This Row],[Product_ID]],Product_Data_1[],2,TRUE)</f>
        <v>USB-C Laptop Charger</v>
      </c>
      <c r="I281" s="1" t="str">
        <f>VLOOKUP(Salesdta[[#This Row],[Product_ID]],Product_Data_1[],3,TRUE)</f>
        <v>Electronics</v>
      </c>
      <c r="J281" s="1">
        <f>VLOOKUP(Salesdta[[#This Row],[Product_ID]],Product_Data_1[],7,TRUE)</f>
        <v>378</v>
      </c>
      <c r="K281" s="1" t="s">
        <v>1765</v>
      </c>
      <c r="L281" s="1" t="str">
        <f>VLOOKUP(Salesdta[[#This Row],[Store_ID]],Store_Data_1[],3,TRUE)</f>
        <v>South</v>
      </c>
      <c r="M281" s="1">
        <v>2</v>
      </c>
      <c r="N281" s="1">
        <v>772</v>
      </c>
      <c r="O281" s="12">
        <v>0.22</v>
      </c>
      <c r="P281" s="1" t="s">
        <v>1817</v>
      </c>
      <c r="Q281" s="1">
        <v>1205</v>
      </c>
      <c r="R281" s="1">
        <f>Salesdta[[#This Row],[Final Revenue]]-Salesdta[[#This Row],[Product cost]]</f>
        <v>827</v>
      </c>
      <c r="S281" s="1" t="str">
        <f>IF(Salesdta[[#This Row],[Final Revenue]]&gt;1000,"Selected","Not Selected")</f>
        <v>Selected</v>
      </c>
    </row>
    <row r="282" spans="1:19" x14ac:dyDescent="0.35">
      <c r="A282" s="6" t="s">
        <v>2099</v>
      </c>
      <c r="B282" s="20">
        <v>45331</v>
      </c>
      <c r="C282" s="1" t="str">
        <f>TEXT(Salesdta[[#This Row],[Order_Date]],"mmmm")</f>
        <v>February</v>
      </c>
      <c r="D282" s="1" t="s">
        <v>1192</v>
      </c>
      <c r="E282" s="1" t="str">
        <f>VLOOKUP(Salesdta[[#This Row],[Customer_ID]],Customer_Data_[],6,TRUE)</f>
        <v>Female</v>
      </c>
      <c r="F282" s="1" t="str">
        <f>VLOOKUP(Salesdta[[#This Row],[Customer_ID]],Customer_Data_[],8,TRUE)</f>
        <v>South Carolina</v>
      </c>
      <c r="G282" s="1" t="s">
        <v>1660</v>
      </c>
      <c r="H282" s="1" t="str">
        <f>VLOOKUP(Salesdta[[#This Row],[Product_ID]],Product_Data_1[],2,TRUE)</f>
        <v>Womens Cotton Scarf</v>
      </c>
      <c r="I282" s="1" t="str">
        <f>VLOOKUP(Salesdta[[#This Row],[Product_ID]],Product_Data_1[],3,TRUE)</f>
        <v>Clothing</v>
      </c>
      <c r="J282" s="1">
        <f>VLOOKUP(Salesdta[[#This Row],[Product_ID]],Product_Data_1[],7,TRUE)</f>
        <v>114</v>
      </c>
      <c r="K282" s="1" t="s">
        <v>1785</v>
      </c>
      <c r="L282" s="1" t="str">
        <f>VLOOKUP(Salesdta[[#This Row],[Store_ID]],Store_Data_1[],3,TRUE)</f>
        <v>North</v>
      </c>
      <c r="M282" s="1">
        <v>2</v>
      </c>
      <c r="N282" s="1">
        <v>466</v>
      </c>
      <c r="O282" s="12">
        <v>0.11</v>
      </c>
      <c r="P282" s="1" t="s">
        <v>1819</v>
      </c>
      <c r="Q282" s="1">
        <v>830</v>
      </c>
      <c r="R282" s="1">
        <f>Salesdta[[#This Row],[Final Revenue]]-Salesdta[[#This Row],[Product cost]]</f>
        <v>716</v>
      </c>
      <c r="S282" s="1" t="str">
        <f>IF(Salesdta[[#This Row],[Final Revenue]]&gt;1000,"Selected","Not Selected")</f>
        <v>Not Selected</v>
      </c>
    </row>
    <row r="283" spans="1:19" x14ac:dyDescent="0.35">
      <c r="A283" s="6" t="s">
        <v>2100</v>
      </c>
      <c r="B283" s="20">
        <v>45580</v>
      </c>
      <c r="C283" s="1" t="str">
        <f>TEXT(Salesdta[[#This Row],[Order_Date]],"mmmm")</f>
        <v>October</v>
      </c>
      <c r="D283" s="1" t="s">
        <v>487</v>
      </c>
      <c r="E283" s="1" t="str">
        <f>VLOOKUP(Salesdta[[#This Row],[Customer_ID]],Customer_Data_[],6,TRUE)</f>
        <v>Male</v>
      </c>
      <c r="F283" s="1" t="str">
        <f>VLOOKUP(Salesdta[[#This Row],[Customer_ID]],Customer_Data_[],8,TRUE)</f>
        <v>Indiana</v>
      </c>
      <c r="G283" s="1" t="s">
        <v>1682</v>
      </c>
      <c r="H283" s="1" t="str">
        <f>VLOOKUP(Salesdta[[#This Row],[Product_ID]],Product_Data_1[],2,TRUE)</f>
        <v>Men's Sports Shorts</v>
      </c>
      <c r="I283" s="1" t="str">
        <f>VLOOKUP(Salesdta[[#This Row],[Product_ID]],Product_Data_1[],3,TRUE)</f>
        <v>Clothing</v>
      </c>
      <c r="J283" s="1">
        <f>VLOOKUP(Salesdta[[#This Row],[Product_ID]],Product_Data_1[],7,TRUE)</f>
        <v>218</v>
      </c>
      <c r="K283" s="1" t="s">
        <v>1769</v>
      </c>
      <c r="L283" s="1" t="str">
        <f>VLOOKUP(Salesdta[[#This Row],[Store_ID]],Store_Data_1[],3,TRUE)</f>
        <v>North</v>
      </c>
      <c r="M283" s="1">
        <v>1</v>
      </c>
      <c r="N283" s="1">
        <v>816</v>
      </c>
      <c r="O283" s="12">
        <v>0.3</v>
      </c>
      <c r="P283" s="1" t="s">
        <v>1819</v>
      </c>
      <c r="Q283" s="1">
        <v>571</v>
      </c>
      <c r="R283" s="1">
        <f>Salesdta[[#This Row],[Final Revenue]]-Salesdta[[#This Row],[Product cost]]</f>
        <v>353</v>
      </c>
      <c r="S283" s="1" t="str">
        <f>IF(Salesdta[[#This Row],[Final Revenue]]&gt;1000,"Selected","Not Selected")</f>
        <v>Not Selected</v>
      </c>
    </row>
    <row r="284" spans="1:19" x14ac:dyDescent="0.35">
      <c r="A284" s="6" t="s">
        <v>2101</v>
      </c>
      <c r="B284" s="20">
        <v>45646</v>
      </c>
      <c r="C284" s="1" t="str">
        <f>TEXT(Salesdta[[#This Row],[Order_Date]],"mmmm")</f>
        <v>December</v>
      </c>
      <c r="D284" s="1" t="s">
        <v>595</v>
      </c>
      <c r="E284" s="1" t="str">
        <f>VLOOKUP(Salesdta[[#This Row],[Customer_ID]],Customer_Data_[],6,TRUE)</f>
        <v>Male</v>
      </c>
      <c r="F284" s="1" t="str">
        <f>VLOOKUP(Salesdta[[#This Row],[Customer_ID]],Customer_Data_[],8,TRUE)</f>
        <v>New York</v>
      </c>
      <c r="G284" s="1" t="s">
        <v>1670</v>
      </c>
      <c r="H284" s="1" t="str">
        <f>VLOOKUP(Salesdta[[#This Row],[Product_ID]],Product_Data_1[],2,TRUE)</f>
        <v>Organic Sunscreen Lotion</v>
      </c>
      <c r="I284" s="1" t="str">
        <f>VLOOKUP(Salesdta[[#This Row],[Product_ID]],Product_Data_1[],3,TRUE)</f>
        <v>Beauty</v>
      </c>
      <c r="J284" s="1">
        <f>VLOOKUP(Salesdta[[#This Row],[Product_ID]],Product_Data_1[],7,TRUE)</f>
        <v>267</v>
      </c>
      <c r="K284" s="1" t="s">
        <v>1748</v>
      </c>
      <c r="L284" s="1" t="str">
        <f>VLOOKUP(Salesdta[[#This Row],[Store_ID]],Store_Data_1[],3,TRUE)</f>
        <v>East</v>
      </c>
      <c r="M284" s="1">
        <v>4</v>
      </c>
      <c r="N284" s="1">
        <v>926</v>
      </c>
      <c r="O284" s="12">
        <v>0.16</v>
      </c>
      <c r="P284" s="1" t="s">
        <v>1822</v>
      </c>
      <c r="Q284" s="1">
        <v>3111</v>
      </c>
      <c r="R284" s="1">
        <f>Salesdta[[#This Row],[Final Revenue]]-Salesdta[[#This Row],[Product cost]]</f>
        <v>2844</v>
      </c>
      <c r="S284" s="1" t="str">
        <f>IF(Salesdta[[#This Row],[Final Revenue]]&gt;1000,"Selected","Not Selected")</f>
        <v>Selected</v>
      </c>
    </row>
    <row r="285" spans="1:19" x14ac:dyDescent="0.35">
      <c r="A285" s="6" t="s">
        <v>2102</v>
      </c>
      <c r="B285" s="20">
        <v>45445</v>
      </c>
      <c r="C285" s="1" t="str">
        <f>TEXT(Salesdta[[#This Row],[Order_Date]],"mmmm")</f>
        <v>June</v>
      </c>
      <c r="D285" s="1" t="s">
        <v>12</v>
      </c>
      <c r="E285" s="1" t="str">
        <f>VLOOKUP(Salesdta[[#This Row],[Customer_ID]],Customer_Data_[],6,TRUE)</f>
        <v>Female</v>
      </c>
      <c r="F285" s="1" t="str">
        <f>VLOOKUP(Salesdta[[#This Row],[Customer_ID]],Customer_Data_[],8,TRUE)</f>
        <v>North Dakota</v>
      </c>
      <c r="G285" s="1" t="s">
        <v>1646</v>
      </c>
      <c r="H285" s="1" t="str">
        <f>VLOOKUP(Salesdta[[#This Row],[Product_ID]],Product_Data_1[],2,TRUE)</f>
        <v>HDMI Cable – 2m</v>
      </c>
      <c r="I285" s="1" t="str">
        <f>VLOOKUP(Salesdta[[#This Row],[Product_ID]],Product_Data_1[],3,TRUE)</f>
        <v>Electronics</v>
      </c>
      <c r="J285" s="1">
        <f>VLOOKUP(Salesdta[[#This Row],[Product_ID]],Product_Data_1[],7,TRUE)</f>
        <v>88</v>
      </c>
      <c r="K285" s="1" t="s">
        <v>1795</v>
      </c>
      <c r="L285" s="1" t="str">
        <f>VLOOKUP(Salesdta[[#This Row],[Store_ID]],Store_Data_1[],3,TRUE)</f>
        <v>North</v>
      </c>
      <c r="M285" s="1">
        <v>3</v>
      </c>
      <c r="N285" s="1">
        <v>288</v>
      </c>
      <c r="O285" s="12">
        <v>0.03</v>
      </c>
      <c r="P285" s="1" t="s">
        <v>1822</v>
      </c>
      <c r="Q285" s="1">
        <v>837</v>
      </c>
      <c r="R285" s="1">
        <f>Salesdta[[#This Row],[Final Revenue]]-Salesdta[[#This Row],[Product cost]]</f>
        <v>749</v>
      </c>
      <c r="S285" s="1" t="str">
        <f>IF(Salesdta[[#This Row],[Final Revenue]]&gt;1000,"Selected","Not Selected")</f>
        <v>Not Selected</v>
      </c>
    </row>
    <row r="286" spans="1:19" x14ac:dyDescent="0.35">
      <c r="A286" s="6" t="s">
        <v>2103</v>
      </c>
      <c r="B286" s="20">
        <v>45699</v>
      </c>
      <c r="C286" s="1" t="str">
        <f>TEXT(Salesdta[[#This Row],[Order_Date]],"mmmm")</f>
        <v>February</v>
      </c>
      <c r="D286" s="1" t="s">
        <v>396</v>
      </c>
      <c r="E286" s="1" t="str">
        <f>VLOOKUP(Salesdta[[#This Row],[Customer_ID]],Customer_Data_[],6,TRUE)</f>
        <v>Male</v>
      </c>
      <c r="F286" s="1" t="str">
        <f>VLOOKUP(Salesdta[[#This Row],[Customer_ID]],Customer_Data_[],8,TRUE)</f>
        <v>Nevada</v>
      </c>
      <c r="G286" s="1" t="s">
        <v>1662</v>
      </c>
      <c r="H286" s="1" t="str">
        <f>VLOOKUP(Salesdta[[#This Row],[Product_ID]],Product_Data_1[],2,TRUE)</f>
        <v>Men's Hair Styling Gel</v>
      </c>
      <c r="I286" s="1" t="str">
        <f>VLOOKUP(Salesdta[[#This Row],[Product_ID]],Product_Data_1[],3,TRUE)</f>
        <v>Beauty</v>
      </c>
      <c r="J286" s="1">
        <f>VLOOKUP(Salesdta[[#This Row],[Product_ID]],Product_Data_1[],7,TRUE)</f>
        <v>17</v>
      </c>
      <c r="K286" s="1" t="s">
        <v>1757</v>
      </c>
      <c r="L286" s="1" t="str">
        <f>VLOOKUP(Salesdta[[#This Row],[Store_ID]],Store_Data_1[],3,TRUE)</f>
        <v>South</v>
      </c>
      <c r="M286" s="1">
        <v>2</v>
      </c>
      <c r="N286" s="1">
        <v>65</v>
      </c>
      <c r="O286" s="12">
        <v>0</v>
      </c>
      <c r="P286" s="1" t="s">
        <v>1817</v>
      </c>
      <c r="Q286" s="1">
        <v>129</v>
      </c>
      <c r="R286" s="1">
        <f>Salesdta[[#This Row],[Final Revenue]]-Salesdta[[#This Row],[Product cost]]</f>
        <v>112</v>
      </c>
      <c r="S286" s="1" t="str">
        <f>IF(Salesdta[[#This Row],[Final Revenue]]&gt;1000,"Selected","Not Selected")</f>
        <v>Not Selected</v>
      </c>
    </row>
    <row r="287" spans="1:19" x14ac:dyDescent="0.35">
      <c r="A287" s="6" t="s">
        <v>2104</v>
      </c>
      <c r="B287" s="20">
        <v>45889</v>
      </c>
      <c r="C287" s="1" t="str">
        <f>TEXT(Salesdta[[#This Row],[Order_Date]],"mmmm")</f>
        <v>August</v>
      </c>
      <c r="D287" s="1" t="s">
        <v>911</v>
      </c>
      <c r="E287" s="1" t="str">
        <f>VLOOKUP(Salesdta[[#This Row],[Customer_ID]],Customer_Data_[],6,TRUE)</f>
        <v>Male</v>
      </c>
      <c r="F287" s="1" t="str">
        <f>VLOOKUP(Salesdta[[#This Row],[Customer_ID]],Customer_Data_[],8,TRUE)</f>
        <v>Connecticut</v>
      </c>
      <c r="G287" s="1" t="s">
        <v>1547</v>
      </c>
      <c r="H287" s="1" t="str">
        <f>VLOOKUP(Salesdta[[#This Row],[Product_ID]],Product_Data_1[],2,TRUE)</f>
        <v>Fabric Sofa Throw Blanket</v>
      </c>
      <c r="I287" s="1" t="str">
        <f>VLOOKUP(Salesdta[[#This Row],[Product_ID]],Product_Data_1[],3,TRUE)</f>
        <v>Home</v>
      </c>
      <c r="J287" s="1">
        <f>VLOOKUP(Salesdta[[#This Row],[Product_ID]],Product_Data_1[],7,TRUE)</f>
        <v>218</v>
      </c>
      <c r="K287" s="1" t="s">
        <v>1782</v>
      </c>
      <c r="L287" s="1" t="str">
        <f>VLOOKUP(Salesdta[[#This Row],[Store_ID]],Store_Data_1[],3,TRUE)</f>
        <v>South</v>
      </c>
      <c r="M287" s="1">
        <v>4</v>
      </c>
      <c r="N287" s="1">
        <v>758</v>
      </c>
      <c r="O287" s="12">
        <v>0.16</v>
      </c>
      <c r="P287" s="1" t="s">
        <v>1822</v>
      </c>
      <c r="Q287" s="1">
        <v>2549</v>
      </c>
      <c r="R287" s="1">
        <f>Salesdta[[#This Row],[Final Revenue]]-Salesdta[[#This Row],[Product cost]]</f>
        <v>2331</v>
      </c>
      <c r="S287" s="1" t="str">
        <f>IF(Salesdta[[#This Row],[Final Revenue]]&gt;1000,"Selected","Not Selected")</f>
        <v>Selected</v>
      </c>
    </row>
    <row r="288" spans="1:19" x14ac:dyDescent="0.35">
      <c r="A288" s="6" t="s">
        <v>2105</v>
      </c>
      <c r="B288" s="20">
        <v>45555</v>
      </c>
      <c r="C288" s="1" t="str">
        <f>TEXT(Salesdta[[#This Row],[Order_Date]],"mmmm")</f>
        <v>September</v>
      </c>
      <c r="D288" s="1" t="s">
        <v>199</v>
      </c>
      <c r="E288" s="1" t="str">
        <f>VLOOKUP(Salesdta[[#This Row],[Customer_ID]],Customer_Data_[],6,TRUE)</f>
        <v>Female</v>
      </c>
      <c r="F288" s="1" t="str">
        <f>VLOOKUP(Salesdta[[#This Row],[Customer_ID]],Customer_Data_[],8,TRUE)</f>
        <v>Michigan</v>
      </c>
      <c r="G288" s="1" t="s">
        <v>1618</v>
      </c>
      <c r="H288" s="1" t="str">
        <f>VLOOKUP(Salesdta[[#This Row],[Product_ID]],Product_Data_1[],2,TRUE)</f>
        <v>Men's Casual Sneakers</v>
      </c>
      <c r="I288" s="1" t="str">
        <f>VLOOKUP(Salesdta[[#This Row],[Product_ID]],Product_Data_1[],3,TRUE)</f>
        <v>Clothing</v>
      </c>
      <c r="J288" s="1">
        <f>VLOOKUP(Salesdta[[#This Row],[Product_ID]],Product_Data_1[],7,TRUE)</f>
        <v>353</v>
      </c>
      <c r="K288" s="1" t="s">
        <v>1790</v>
      </c>
      <c r="L288" s="1" t="str">
        <f>VLOOKUP(Salesdta[[#This Row],[Store_ID]],Store_Data_1[],3,TRUE)</f>
        <v>North</v>
      </c>
      <c r="M288" s="1">
        <v>4</v>
      </c>
      <c r="N288" s="1">
        <v>748</v>
      </c>
      <c r="O288" s="12">
        <v>0.09</v>
      </c>
      <c r="P288" s="1" t="s">
        <v>1822</v>
      </c>
      <c r="Q288" s="1">
        <v>2721</v>
      </c>
      <c r="R288" s="1">
        <f>Salesdta[[#This Row],[Final Revenue]]-Salesdta[[#This Row],[Product cost]]</f>
        <v>2368</v>
      </c>
      <c r="S288" s="1" t="str">
        <f>IF(Salesdta[[#This Row],[Final Revenue]]&gt;1000,"Selected","Not Selected")</f>
        <v>Selected</v>
      </c>
    </row>
    <row r="289" spans="1:19" x14ac:dyDescent="0.35">
      <c r="A289" s="6" t="s">
        <v>2106</v>
      </c>
      <c r="B289" s="20">
        <v>45811</v>
      </c>
      <c r="C289" s="1" t="str">
        <f>TEXT(Salesdta[[#This Row],[Order_Date]],"mmmm")</f>
        <v>June</v>
      </c>
      <c r="D289" s="1" t="s">
        <v>529</v>
      </c>
      <c r="E289" s="1" t="str">
        <f>VLOOKUP(Salesdta[[#This Row],[Customer_ID]],Customer_Data_[],6,TRUE)</f>
        <v>Female</v>
      </c>
      <c r="F289" s="1" t="str">
        <f>VLOOKUP(Salesdta[[#This Row],[Customer_ID]],Customer_Data_[],8,TRUE)</f>
        <v>New Jersey</v>
      </c>
      <c r="G289" s="1" t="s">
        <v>1682</v>
      </c>
      <c r="H289" s="1" t="str">
        <f>VLOOKUP(Salesdta[[#This Row],[Product_ID]],Product_Data_1[],2,TRUE)</f>
        <v>Men's Sports Shorts</v>
      </c>
      <c r="I289" s="1" t="str">
        <f>VLOOKUP(Salesdta[[#This Row],[Product_ID]],Product_Data_1[],3,TRUE)</f>
        <v>Clothing</v>
      </c>
      <c r="J289" s="1">
        <f>VLOOKUP(Salesdta[[#This Row],[Product_ID]],Product_Data_1[],7,TRUE)</f>
        <v>218</v>
      </c>
      <c r="K289" s="1" t="s">
        <v>1795</v>
      </c>
      <c r="L289" s="1" t="str">
        <f>VLOOKUP(Salesdta[[#This Row],[Store_ID]],Store_Data_1[],3,TRUE)</f>
        <v>North</v>
      </c>
      <c r="M289" s="1">
        <v>2</v>
      </c>
      <c r="N289" s="1">
        <v>527</v>
      </c>
      <c r="O289" s="12">
        <v>0.17</v>
      </c>
      <c r="P289" s="1" t="s">
        <v>1819</v>
      </c>
      <c r="Q289" s="1">
        <v>875</v>
      </c>
      <c r="R289" s="1">
        <f>Salesdta[[#This Row],[Final Revenue]]-Salesdta[[#This Row],[Product cost]]</f>
        <v>657</v>
      </c>
      <c r="S289" s="1" t="str">
        <f>IF(Salesdta[[#This Row],[Final Revenue]]&gt;1000,"Selected","Not Selected")</f>
        <v>Not Selected</v>
      </c>
    </row>
    <row r="290" spans="1:19" x14ac:dyDescent="0.35">
      <c r="A290" s="6" t="s">
        <v>2107</v>
      </c>
      <c r="B290" s="20">
        <v>45670</v>
      </c>
      <c r="C290" s="1" t="str">
        <f>TEXT(Salesdta[[#This Row],[Order_Date]],"mmmm")</f>
        <v>January</v>
      </c>
      <c r="D290" s="1" t="s">
        <v>347</v>
      </c>
      <c r="E290" s="1" t="str">
        <f>VLOOKUP(Salesdta[[#This Row],[Customer_ID]],Customer_Data_[],6,TRUE)</f>
        <v>Male</v>
      </c>
      <c r="F290" s="1" t="str">
        <f>VLOOKUP(Salesdta[[#This Row],[Customer_ID]],Customer_Data_[],8,TRUE)</f>
        <v>Alaska</v>
      </c>
      <c r="G290" s="1" t="s">
        <v>1668</v>
      </c>
      <c r="H290" s="1" t="str">
        <f>VLOOKUP(Salesdta[[#This Row],[Product_ID]],Product_Data_1[],2,TRUE)</f>
        <v>Laptop Cooling Pad</v>
      </c>
      <c r="I290" s="1" t="str">
        <f>VLOOKUP(Salesdta[[#This Row],[Product_ID]],Product_Data_1[],3,TRUE)</f>
        <v>Electronics</v>
      </c>
      <c r="J290" s="1">
        <f>VLOOKUP(Salesdta[[#This Row],[Product_ID]],Product_Data_1[],7,TRUE)</f>
        <v>86</v>
      </c>
      <c r="K290" s="1" t="s">
        <v>1769</v>
      </c>
      <c r="L290" s="1" t="str">
        <f>VLOOKUP(Salesdta[[#This Row],[Store_ID]],Store_Data_1[],3,TRUE)</f>
        <v>North</v>
      </c>
      <c r="M290" s="1">
        <v>4</v>
      </c>
      <c r="N290" s="1">
        <v>875</v>
      </c>
      <c r="O290" s="12">
        <v>0.27</v>
      </c>
      <c r="P290" s="1" t="s">
        <v>1817</v>
      </c>
      <c r="Q290" s="1">
        <v>2556</v>
      </c>
      <c r="R290" s="1">
        <f>Salesdta[[#This Row],[Final Revenue]]-Salesdta[[#This Row],[Product cost]]</f>
        <v>2470</v>
      </c>
      <c r="S290" s="1" t="str">
        <f>IF(Salesdta[[#This Row],[Final Revenue]]&gt;1000,"Selected","Not Selected")</f>
        <v>Selected</v>
      </c>
    </row>
    <row r="291" spans="1:19" x14ac:dyDescent="0.35">
      <c r="A291" s="6" t="s">
        <v>2108</v>
      </c>
      <c r="B291" s="20">
        <v>45460</v>
      </c>
      <c r="C291" s="1" t="str">
        <f>TEXT(Salesdta[[#This Row],[Order_Date]],"mmmm")</f>
        <v>June</v>
      </c>
      <c r="D291" s="1" t="s">
        <v>1497</v>
      </c>
      <c r="E291" s="1" t="str">
        <f>VLOOKUP(Salesdta[[#This Row],[Customer_ID]],Customer_Data_[],6,TRUE)</f>
        <v>Female</v>
      </c>
      <c r="F291" s="1" t="str">
        <f>VLOOKUP(Salesdta[[#This Row],[Customer_ID]],Customer_Data_[],8,TRUE)</f>
        <v>California</v>
      </c>
      <c r="G291" s="1" t="s">
        <v>1700</v>
      </c>
      <c r="H291" s="1" t="str">
        <f>VLOOKUP(Salesdta[[#This Row],[Product_ID]],Product_Data_1[],2,TRUE)</f>
        <v>Essential Oil Diffuser</v>
      </c>
      <c r="I291" s="1" t="str">
        <f>VLOOKUP(Salesdta[[#This Row],[Product_ID]],Product_Data_1[],3,TRUE)</f>
        <v>Home</v>
      </c>
      <c r="J291" s="1">
        <f>VLOOKUP(Salesdta[[#This Row],[Product_ID]],Product_Data_1[],7,TRUE)</f>
        <v>325</v>
      </c>
      <c r="K291" s="1" t="s">
        <v>1790</v>
      </c>
      <c r="L291" s="1" t="str">
        <f>VLOOKUP(Salesdta[[#This Row],[Store_ID]],Store_Data_1[],3,TRUE)</f>
        <v>North</v>
      </c>
      <c r="M291" s="1">
        <v>2</v>
      </c>
      <c r="N291" s="1">
        <v>130</v>
      </c>
      <c r="O291" s="12">
        <v>0.17</v>
      </c>
      <c r="P291" s="1" t="s">
        <v>1819</v>
      </c>
      <c r="Q291" s="1">
        <v>216</v>
      </c>
      <c r="R291" s="1">
        <f>Salesdta[[#This Row],[Final Revenue]]-Salesdta[[#This Row],[Product cost]]</f>
        <v>-109</v>
      </c>
      <c r="S291" s="1" t="str">
        <f>IF(Salesdta[[#This Row],[Final Revenue]]&gt;1000,"Selected","Not Selected")</f>
        <v>Not Selected</v>
      </c>
    </row>
    <row r="292" spans="1:19" x14ac:dyDescent="0.35">
      <c r="A292" s="6" t="s">
        <v>2109</v>
      </c>
      <c r="B292" s="20">
        <v>45709</v>
      </c>
      <c r="C292" s="1" t="str">
        <f>TEXT(Salesdta[[#This Row],[Order_Date]],"mmmm")</f>
        <v>February</v>
      </c>
      <c r="D292" s="1" t="s">
        <v>1080</v>
      </c>
      <c r="E292" s="1" t="str">
        <f>VLOOKUP(Salesdta[[#This Row],[Customer_ID]],Customer_Data_[],6,TRUE)</f>
        <v>Male</v>
      </c>
      <c r="F292" s="1" t="str">
        <f>VLOOKUP(Salesdta[[#This Row],[Customer_ID]],Customer_Data_[],8,TRUE)</f>
        <v>Oklahoma</v>
      </c>
      <c r="G292" s="1" t="s">
        <v>1588</v>
      </c>
      <c r="H292" s="1" t="str">
        <f>VLOOKUP(Salesdta[[#This Row],[Product_ID]],Product_Data_1[],2,TRUE)</f>
        <v>Carbon Fiber Tennis Racket</v>
      </c>
      <c r="I292" s="1" t="str">
        <f>VLOOKUP(Salesdta[[#This Row],[Product_ID]],Product_Data_1[],3,TRUE)</f>
        <v>Sports</v>
      </c>
      <c r="J292" s="1">
        <f>VLOOKUP(Salesdta[[#This Row],[Product_ID]],Product_Data_1[],7,TRUE)</f>
        <v>485</v>
      </c>
      <c r="K292" s="1" t="s">
        <v>1782</v>
      </c>
      <c r="L292" s="1" t="str">
        <f>VLOOKUP(Salesdta[[#This Row],[Store_ID]],Store_Data_1[],3,TRUE)</f>
        <v>South</v>
      </c>
      <c r="M292" s="1">
        <v>4</v>
      </c>
      <c r="N292" s="1">
        <v>164</v>
      </c>
      <c r="O292" s="12">
        <v>0.01</v>
      </c>
      <c r="P292" s="1" t="s">
        <v>1819</v>
      </c>
      <c r="Q292" s="1">
        <v>650</v>
      </c>
      <c r="R292" s="1">
        <f>Salesdta[[#This Row],[Final Revenue]]-Salesdta[[#This Row],[Product cost]]</f>
        <v>165</v>
      </c>
      <c r="S292" s="1" t="str">
        <f>IF(Salesdta[[#This Row],[Final Revenue]]&gt;1000,"Selected","Not Selected")</f>
        <v>Not Selected</v>
      </c>
    </row>
    <row r="293" spans="1:19" x14ac:dyDescent="0.35">
      <c r="A293" s="6" t="s">
        <v>2110</v>
      </c>
      <c r="B293" s="20">
        <v>45806</v>
      </c>
      <c r="C293" s="1" t="str">
        <f>TEXT(Salesdta[[#This Row],[Order_Date]],"mmmm")</f>
        <v>May</v>
      </c>
      <c r="D293" s="1" t="s">
        <v>258</v>
      </c>
      <c r="E293" s="1" t="str">
        <f>VLOOKUP(Salesdta[[#This Row],[Customer_ID]],Customer_Data_[],6,TRUE)</f>
        <v>Female</v>
      </c>
      <c r="F293" s="1" t="str">
        <f>VLOOKUP(Salesdta[[#This Row],[Customer_ID]],Customer_Data_[],8,TRUE)</f>
        <v>New Mexico</v>
      </c>
      <c r="G293" s="1" t="s">
        <v>1710</v>
      </c>
      <c r="H293" s="1" t="str">
        <f>VLOOKUP(Salesdta[[#This Row],[Product_ID]],Product_Data_1[],2,TRUE)</f>
        <v>Hydrating Face Cleanser</v>
      </c>
      <c r="I293" s="1" t="str">
        <f>VLOOKUP(Salesdta[[#This Row],[Product_ID]],Product_Data_1[],3,TRUE)</f>
        <v>Beauty</v>
      </c>
      <c r="J293" s="1">
        <f>VLOOKUP(Salesdta[[#This Row],[Product_ID]],Product_Data_1[],7,TRUE)</f>
        <v>254</v>
      </c>
      <c r="K293" s="1" t="s">
        <v>1795</v>
      </c>
      <c r="L293" s="1" t="str">
        <f>VLOOKUP(Salesdta[[#This Row],[Store_ID]],Store_Data_1[],3,TRUE)</f>
        <v>North</v>
      </c>
      <c r="M293" s="1">
        <v>2</v>
      </c>
      <c r="N293" s="1">
        <v>541</v>
      </c>
      <c r="O293" s="12">
        <v>0.03</v>
      </c>
      <c r="P293" s="1" t="s">
        <v>1822</v>
      </c>
      <c r="Q293" s="1">
        <v>1050</v>
      </c>
      <c r="R293" s="1">
        <f>Salesdta[[#This Row],[Final Revenue]]-Salesdta[[#This Row],[Product cost]]</f>
        <v>796</v>
      </c>
      <c r="S293" s="1" t="str">
        <f>IF(Salesdta[[#This Row],[Final Revenue]]&gt;1000,"Selected","Not Selected")</f>
        <v>Selected</v>
      </c>
    </row>
    <row r="294" spans="1:19" x14ac:dyDescent="0.35">
      <c r="A294" s="6" t="s">
        <v>2111</v>
      </c>
      <c r="B294" s="20">
        <v>45811</v>
      </c>
      <c r="C294" s="1" t="str">
        <f>TEXT(Salesdta[[#This Row],[Order_Date]],"mmmm")</f>
        <v>June</v>
      </c>
      <c r="D294" s="1" t="s">
        <v>1465</v>
      </c>
      <c r="E294" s="1" t="str">
        <f>VLOOKUP(Salesdta[[#This Row],[Customer_ID]],Customer_Data_[],6,TRUE)</f>
        <v>Female</v>
      </c>
      <c r="F294" s="1" t="str">
        <f>VLOOKUP(Salesdta[[#This Row],[Customer_ID]],Customer_Data_[],8,TRUE)</f>
        <v>Kansas</v>
      </c>
      <c r="G294" s="1" t="s">
        <v>1696</v>
      </c>
      <c r="H294" s="1" t="str">
        <f>VLOOKUP(Salesdta[[#This Row],[Product_ID]],Product_Data_1[],2,TRUE)</f>
        <v>Wireless Mouse</v>
      </c>
      <c r="I294" s="1" t="str">
        <f>VLOOKUP(Salesdta[[#This Row],[Product_ID]],Product_Data_1[],3,TRUE)</f>
        <v>Electronics</v>
      </c>
      <c r="J294" s="1">
        <f>VLOOKUP(Salesdta[[#This Row],[Product_ID]],Product_Data_1[],7,TRUE)</f>
        <v>393</v>
      </c>
      <c r="K294" s="1" t="s">
        <v>1800</v>
      </c>
      <c r="L294" s="1" t="str">
        <f>VLOOKUP(Salesdta[[#This Row],[Store_ID]],Store_Data_1[],3,TRUE)</f>
        <v>North</v>
      </c>
      <c r="M294" s="1">
        <v>3</v>
      </c>
      <c r="N294" s="1">
        <v>762</v>
      </c>
      <c r="O294" s="12">
        <v>0.06</v>
      </c>
      <c r="P294" s="1" t="s">
        <v>1822</v>
      </c>
      <c r="Q294" s="1">
        <v>2148</v>
      </c>
      <c r="R294" s="1">
        <f>Salesdta[[#This Row],[Final Revenue]]-Salesdta[[#This Row],[Product cost]]</f>
        <v>1755</v>
      </c>
      <c r="S294" s="1" t="str">
        <f>IF(Salesdta[[#This Row],[Final Revenue]]&gt;1000,"Selected","Not Selected")</f>
        <v>Selected</v>
      </c>
    </row>
    <row r="295" spans="1:19" x14ac:dyDescent="0.35">
      <c r="A295" s="6" t="s">
        <v>2112</v>
      </c>
      <c r="B295" s="20">
        <v>45508</v>
      </c>
      <c r="C295" s="1" t="str">
        <f>TEXT(Salesdta[[#This Row],[Order_Date]],"mmmm")</f>
        <v>August</v>
      </c>
      <c r="D295" s="1" t="s">
        <v>1306</v>
      </c>
      <c r="E295" s="1" t="str">
        <f>VLOOKUP(Salesdta[[#This Row],[Customer_ID]],Customer_Data_[],6,TRUE)</f>
        <v>Female</v>
      </c>
      <c r="F295" s="1" t="str">
        <f>VLOOKUP(Salesdta[[#This Row],[Customer_ID]],Customer_Data_[],8,TRUE)</f>
        <v>Kansas</v>
      </c>
      <c r="G295" s="1" t="s">
        <v>1642</v>
      </c>
      <c r="H295" s="1" t="str">
        <f>VLOOKUP(Salesdta[[#This Row],[Product_ID]],Product_Data_1[],2,TRUE)</f>
        <v>Men's Roll-On Perfume</v>
      </c>
      <c r="I295" s="1" t="str">
        <f>VLOOKUP(Salesdta[[#This Row],[Product_ID]],Product_Data_1[],3,TRUE)</f>
        <v>Beauty</v>
      </c>
      <c r="J295" s="1">
        <f>VLOOKUP(Salesdta[[#This Row],[Product_ID]],Product_Data_1[],7,TRUE)</f>
        <v>43</v>
      </c>
      <c r="K295" s="1" t="s">
        <v>1757</v>
      </c>
      <c r="L295" s="1" t="str">
        <f>VLOOKUP(Salesdta[[#This Row],[Store_ID]],Store_Data_1[],3,TRUE)</f>
        <v>South</v>
      </c>
      <c r="M295" s="1">
        <v>4</v>
      </c>
      <c r="N295" s="1">
        <v>829</v>
      </c>
      <c r="O295" s="12">
        <v>0.11</v>
      </c>
      <c r="P295" s="1" t="s">
        <v>1819</v>
      </c>
      <c r="Q295" s="1">
        <v>2953</v>
      </c>
      <c r="R295" s="1">
        <f>Salesdta[[#This Row],[Final Revenue]]-Salesdta[[#This Row],[Product cost]]</f>
        <v>2910</v>
      </c>
      <c r="S295" s="1" t="str">
        <f>IF(Salesdta[[#This Row],[Final Revenue]]&gt;1000,"Selected","Not Selected")</f>
        <v>Selected</v>
      </c>
    </row>
    <row r="296" spans="1:19" x14ac:dyDescent="0.35">
      <c r="A296" s="6" t="s">
        <v>2113</v>
      </c>
      <c r="B296" s="20">
        <v>45311</v>
      </c>
      <c r="C296" s="1" t="str">
        <f>TEXT(Salesdta[[#This Row],[Order_Date]],"mmmm")</f>
        <v>January</v>
      </c>
      <c r="D296" s="1" t="s">
        <v>435</v>
      </c>
      <c r="E296" s="1" t="str">
        <f>VLOOKUP(Salesdta[[#This Row],[Customer_ID]],Customer_Data_[],6,TRUE)</f>
        <v>Male</v>
      </c>
      <c r="F296" s="1" t="str">
        <f>VLOOKUP(Salesdta[[#This Row],[Customer_ID]],Customer_Data_[],8,TRUE)</f>
        <v>Vermont</v>
      </c>
      <c r="G296" s="1" t="s">
        <v>1654</v>
      </c>
      <c r="H296" s="1" t="str">
        <f>VLOOKUP(Salesdta[[#This Row],[Product_ID]],Product_Data_1[],2,TRUE)</f>
        <v>Ceramic Plant Pot</v>
      </c>
      <c r="I296" s="1" t="str">
        <f>VLOOKUP(Salesdta[[#This Row],[Product_ID]],Product_Data_1[],3,TRUE)</f>
        <v>Home</v>
      </c>
      <c r="J296" s="1">
        <f>VLOOKUP(Salesdta[[#This Row],[Product_ID]],Product_Data_1[],7,TRUE)</f>
        <v>82</v>
      </c>
      <c r="K296" s="1" t="s">
        <v>1748</v>
      </c>
      <c r="L296" s="1" t="str">
        <f>VLOOKUP(Salesdta[[#This Row],[Store_ID]],Store_Data_1[],3,TRUE)</f>
        <v>East</v>
      </c>
      <c r="M296" s="1">
        <v>2</v>
      </c>
      <c r="N296" s="1">
        <v>911</v>
      </c>
      <c r="O296" s="12">
        <v>0.1</v>
      </c>
      <c r="P296" s="1" t="s">
        <v>1817</v>
      </c>
      <c r="Q296" s="1">
        <v>1640</v>
      </c>
      <c r="R296" s="1">
        <f>Salesdta[[#This Row],[Final Revenue]]-Salesdta[[#This Row],[Product cost]]</f>
        <v>1558</v>
      </c>
      <c r="S296" s="1" t="str">
        <f>IF(Salesdta[[#This Row],[Final Revenue]]&gt;1000,"Selected","Not Selected")</f>
        <v>Selected</v>
      </c>
    </row>
    <row r="297" spans="1:19" x14ac:dyDescent="0.35">
      <c r="A297" s="6" t="s">
        <v>2114</v>
      </c>
      <c r="B297" s="20">
        <v>45527</v>
      </c>
      <c r="C297" s="1" t="str">
        <f>TEXT(Salesdta[[#This Row],[Order_Date]],"mmmm")</f>
        <v>August</v>
      </c>
      <c r="D297" s="1" t="s">
        <v>696</v>
      </c>
      <c r="E297" s="1" t="str">
        <f>VLOOKUP(Salesdta[[#This Row],[Customer_ID]],Customer_Data_[],6,TRUE)</f>
        <v>Female</v>
      </c>
      <c r="F297" s="1" t="str">
        <f>VLOOKUP(Salesdta[[#This Row],[Customer_ID]],Customer_Data_[],8,TRUE)</f>
        <v>Oregon</v>
      </c>
      <c r="G297" s="1" t="s">
        <v>1608</v>
      </c>
      <c r="H297" s="1" t="str">
        <f>VLOOKUP(Salesdta[[#This Row],[Product_ID]],Product_Data_1[],2,TRUE)</f>
        <v>Vitamin C Face Serum</v>
      </c>
      <c r="I297" s="1" t="str">
        <f>VLOOKUP(Salesdta[[#This Row],[Product_ID]],Product_Data_1[],3,TRUE)</f>
        <v>Beauty</v>
      </c>
      <c r="J297" s="1">
        <f>VLOOKUP(Salesdta[[#This Row],[Product_ID]],Product_Data_1[],7,TRUE)</f>
        <v>284</v>
      </c>
      <c r="K297" s="1" t="s">
        <v>1782</v>
      </c>
      <c r="L297" s="1" t="str">
        <f>VLOOKUP(Salesdta[[#This Row],[Store_ID]],Store_Data_1[],3,TRUE)</f>
        <v>South</v>
      </c>
      <c r="M297" s="1">
        <v>4</v>
      </c>
      <c r="N297" s="1">
        <v>316</v>
      </c>
      <c r="O297" s="12">
        <v>0.19</v>
      </c>
      <c r="P297" s="1" t="s">
        <v>1822</v>
      </c>
      <c r="Q297" s="1">
        <v>1024</v>
      </c>
      <c r="R297" s="1">
        <f>Salesdta[[#This Row],[Final Revenue]]-Salesdta[[#This Row],[Product cost]]</f>
        <v>740</v>
      </c>
      <c r="S297" s="1" t="str">
        <f>IF(Salesdta[[#This Row],[Final Revenue]]&gt;1000,"Selected","Not Selected")</f>
        <v>Selected</v>
      </c>
    </row>
    <row r="298" spans="1:19" x14ac:dyDescent="0.35">
      <c r="A298" s="6" t="s">
        <v>2115</v>
      </c>
      <c r="B298" s="20">
        <v>45796</v>
      </c>
      <c r="C298" s="1" t="str">
        <f>TEXT(Salesdta[[#This Row],[Order_Date]],"mmmm")</f>
        <v>May</v>
      </c>
      <c r="D298" s="1" t="s">
        <v>734</v>
      </c>
      <c r="E298" s="1" t="str">
        <f>VLOOKUP(Salesdta[[#This Row],[Customer_ID]],Customer_Data_[],6,TRUE)</f>
        <v>Female</v>
      </c>
      <c r="F298" s="1" t="str">
        <f>VLOOKUP(Salesdta[[#This Row],[Customer_ID]],Customer_Data_[],8,TRUE)</f>
        <v>Maryland</v>
      </c>
      <c r="G298" s="1" t="s">
        <v>1648</v>
      </c>
      <c r="H298" s="1" t="str">
        <f>VLOOKUP(Salesdta[[#This Row],[Product_ID]],Product_Data_1[],2,TRUE)</f>
        <v>Rugby Ball</v>
      </c>
      <c r="I298" s="1" t="str">
        <f>VLOOKUP(Salesdta[[#This Row],[Product_ID]],Product_Data_1[],3,TRUE)</f>
        <v>Sports</v>
      </c>
      <c r="J298" s="1">
        <f>VLOOKUP(Salesdta[[#This Row],[Product_ID]],Product_Data_1[],7,TRUE)</f>
        <v>212</v>
      </c>
      <c r="K298" s="1" t="s">
        <v>1782</v>
      </c>
      <c r="L298" s="1" t="str">
        <f>VLOOKUP(Salesdta[[#This Row],[Store_ID]],Store_Data_1[],3,TRUE)</f>
        <v>South</v>
      </c>
      <c r="M298" s="1">
        <v>2</v>
      </c>
      <c r="N298" s="1">
        <v>810</v>
      </c>
      <c r="O298" s="12">
        <v>0.27</v>
      </c>
      <c r="P298" s="1" t="s">
        <v>1817</v>
      </c>
      <c r="Q298" s="1">
        <v>1183</v>
      </c>
      <c r="R298" s="1">
        <f>Salesdta[[#This Row],[Final Revenue]]-Salesdta[[#This Row],[Product cost]]</f>
        <v>971</v>
      </c>
      <c r="S298" s="1" t="str">
        <f>IF(Salesdta[[#This Row],[Final Revenue]]&gt;1000,"Selected","Not Selected")</f>
        <v>Selected</v>
      </c>
    </row>
    <row r="299" spans="1:19" x14ac:dyDescent="0.35">
      <c r="A299" s="6" t="s">
        <v>2116</v>
      </c>
      <c r="B299" s="20">
        <v>45389</v>
      </c>
      <c r="C299" s="1" t="str">
        <f>TEXT(Salesdta[[#This Row],[Order_Date]],"mmmm")</f>
        <v>April</v>
      </c>
      <c r="D299" s="1" t="s">
        <v>666</v>
      </c>
      <c r="E299" s="1" t="str">
        <f>VLOOKUP(Salesdta[[#This Row],[Customer_ID]],Customer_Data_[],6,TRUE)</f>
        <v>Female</v>
      </c>
      <c r="F299" s="1" t="str">
        <f>VLOOKUP(Salesdta[[#This Row],[Customer_ID]],Customer_Data_[],8,TRUE)</f>
        <v>New Jersey</v>
      </c>
      <c r="G299" s="1" t="s">
        <v>1712</v>
      </c>
      <c r="H299" s="1" t="str">
        <f>VLOOKUP(Salesdta[[#This Row],[Product_ID]],Product_Data_1[],2,TRUE)</f>
        <v>Wooden Bookshelf</v>
      </c>
      <c r="I299" s="1" t="str">
        <f>VLOOKUP(Salesdta[[#This Row],[Product_ID]],Product_Data_1[],3,TRUE)</f>
        <v>Home</v>
      </c>
      <c r="J299" s="1">
        <f>VLOOKUP(Salesdta[[#This Row],[Product_ID]],Product_Data_1[],7,TRUE)</f>
        <v>388</v>
      </c>
      <c r="K299" s="1" t="s">
        <v>1765</v>
      </c>
      <c r="L299" s="1" t="str">
        <f>VLOOKUP(Salesdta[[#This Row],[Store_ID]],Store_Data_1[],3,TRUE)</f>
        <v>South</v>
      </c>
      <c r="M299" s="1">
        <v>3</v>
      </c>
      <c r="N299" s="1">
        <v>505</v>
      </c>
      <c r="O299" s="12">
        <v>0.02</v>
      </c>
      <c r="P299" s="1" t="s">
        <v>1819</v>
      </c>
      <c r="Q299" s="1">
        <v>1485</v>
      </c>
      <c r="R299" s="1">
        <f>Salesdta[[#This Row],[Final Revenue]]-Salesdta[[#This Row],[Product cost]]</f>
        <v>1097</v>
      </c>
      <c r="S299" s="1" t="str">
        <f>IF(Salesdta[[#This Row],[Final Revenue]]&gt;1000,"Selected","Not Selected")</f>
        <v>Selected</v>
      </c>
    </row>
    <row r="300" spans="1:19" x14ac:dyDescent="0.35">
      <c r="A300" s="6" t="s">
        <v>2117</v>
      </c>
      <c r="B300" s="20">
        <v>45270</v>
      </c>
      <c r="C300" s="1" t="str">
        <f>TEXT(Salesdta[[#This Row],[Order_Date]],"mmmm")</f>
        <v>December</v>
      </c>
      <c r="D300" s="1" t="s">
        <v>441</v>
      </c>
      <c r="E300" s="1" t="str">
        <f>VLOOKUP(Salesdta[[#This Row],[Customer_ID]],Customer_Data_[],6,TRUE)</f>
        <v>Female</v>
      </c>
      <c r="F300" s="1" t="str">
        <f>VLOOKUP(Salesdta[[#This Row],[Customer_ID]],Customer_Data_[],8,TRUE)</f>
        <v>South Dakota</v>
      </c>
      <c r="G300" s="1" t="s">
        <v>1726</v>
      </c>
      <c r="H300" s="1" t="str">
        <f>VLOOKUP(Salesdta[[#This Row],[Product_ID]],Product_Data_1[],2,TRUE)</f>
        <v>Women's High Heels</v>
      </c>
      <c r="I300" s="1" t="str">
        <f>VLOOKUP(Salesdta[[#This Row],[Product_ID]],Product_Data_1[],3,TRUE)</f>
        <v>Clothing</v>
      </c>
      <c r="J300" s="1">
        <f>VLOOKUP(Salesdta[[#This Row],[Product_ID]],Product_Data_1[],7,TRUE)</f>
        <v>438</v>
      </c>
      <c r="K300" s="1" t="s">
        <v>1788</v>
      </c>
      <c r="L300" s="1" t="str">
        <f>VLOOKUP(Salesdta[[#This Row],[Store_ID]],Store_Data_1[],3,TRUE)</f>
        <v>North</v>
      </c>
      <c r="M300" s="1">
        <v>4</v>
      </c>
      <c r="N300" s="1">
        <v>202</v>
      </c>
      <c r="O300" s="12">
        <v>0.24</v>
      </c>
      <c r="P300" s="1" t="s">
        <v>1817</v>
      </c>
      <c r="Q300" s="1">
        <v>615</v>
      </c>
      <c r="R300" s="1">
        <f>Salesdta[[#This Row],[Final Revenue]]-Salesdta[[#This Row],[Product cost]]</f>
        <v>177</v>
      </c>
      <c r="S300" s="1" t="str">
        <f>IF(Salesdta[[#This Row],[Final Revenue]]&gt;1000,"Selected","Not Selected")</f>
        <v>Not Selected</v>
      </c>
    </row>
    <row r="301" spans="1:19" x14ac:dyDescent="0.35">
      <c r="A301" s="6" t="s">
        <v>2118</v>
      </c>
      <c r="B301" s="20">
        <v>45279</v>
      </c>
      <c r="C301" s="1" t="str">
        <f>TEXT(Salesdta[[#This Row],[Order_Date]],"mmmm")</f>
        <v>December</v>
      </c>
      <c r="D301" s="1" t="s">
        <v>843</v>
      </c>
      <c r="E301" s="1" t="str">
        <f>VLOOKUP(Salesdta[[#This Row],[Customer_ID]],Customer_Data_[],6,TRUE)</f>
        <v>Male</v>
      </c>
      <c r="F301" s="1" t="str">
        <f>VLOOKUP(Salesdta[[#This Row],[Customer_ID]],Customer_Data_[],8,TRUE)</f>
        <v>Tennessee</v>
      </c>
      <c r="G301" s="1" t="s">
        <v>1718</v>
      </c>
      <c r="H301" s="1" t="str">
        <f>VLOOKUP(Salesdta[[#This Row],[Product_ID]],Product_Data_1[],2,TRUE)</f>
        <v>LED Bedside Lamp</v>
      </c>
      <c r="I301" s="1" t="str">
        <f>VLOOKUP(Salesdta[[#This Row],[Product_ID]],Product_Data_1[],3,TRUE)</f>
        <v>Home</v>
      </c>
      <c r="J301" s="1">
        <f>VLOOKUP(Salesdta[[#This Row],[Product_ID]],Product_Data_1[],7,TRUE)</f>
        <v>371</v>
      </c>
      <c r="K301" s="1" t="s">
        <v>1753</v>
      </c>
      <c r="L301" s="1" t="str">
        <f>VLOOKUP(Salesdta[[#This Row],[Store_ID]],Store_Data_1[],3,TRUE)</f>
        <v>North</v>
      </c>
      <c r="M301" s="1">
        <v>2</v>
      </c>
      <c r="N301" s="1">
        <v>292</v>
      </c>
      <c r="O301" s="12">
        <v>0.25</v>
      </c>
      <c r="P301" s="1" t="s">
        <v>1819</v>
      </c>
      <c r="Q301" s="1">
        <v>438</v>
      </c>
      <c r="R301" s="1">
        <f>Salesdta[[#This Row],[Final Revenue]]-Salesdta[[#This Row],[Product cost]]</f>
        <v>67</v>
      </c>
      <c r="S301" s="1" t="str">
        <f>IF(Salesdta[[#This Row],[Final Revenue]]&gt;1000,"Selected","Not Selected")</f>
        <v>Not Selected</v>
      </c>
    </row>
    <row r="302" spans="1:19" x14ac:dyDescent="0.35">
      <c r="A302" s="6" t="s">
        <v>2119</v>
      </c>
      <c r="B302" s="20">
        <v>45252</v>
      </c>
      <c r="C302" s="1" t="str">
        <f>TEXT(Salesdta[[#This Row],[Order_Date]],"mmmm")</f>
        <v>November</v>
      </c>
      <c r="D302" s="1" t="s">
        <v>541</v>
      </c>
      <c r="E302" s="1" t="str">
        <f>VLOOKUP(Salesdta[[#This Row],[Customer_ID]],Customer_Data_[],6,TRUE)</f>
        <v>Male</v>
      </c>
      <c r="F302" s="1" t="str">
        <f>VLOOKUP(Salesdta[[#This Row],[Customer_ID]],Customer_Data_[],8,TRUE)</f>
        <v>Illinois</v>
      </c>
      <c r="G302" s="1" t="s">
        <v>1738</v>
      </c>
      <c r="H302" s="1" t="str">
        <f>VLOOKUP(Salesdta[[#This Row],[Product_ID]],Product_Data_1[],2,TRUE)</f>
        <v>Cricket Bat</v>
      </c>
      <c r="I302" s="1" t="str">
        <f>VLOOKUP(Salesdta[[#This Row],[Product_ID]],Product_Data_1[],3,TRUE)</f>
        <v>Sports</v>
      </c>
      <c r="J302" s="1">
        <f>VLOOKUP(Salesdta[[#This Row],[Product_ID]],Product_Data_1[],7,TRUE)</f>
        <v>246</v>
      </c>
      <c r="K302" s="1" t="s">
        <v>1769</v>
      </c>
      <c r="L302" s="1" t="str">
        <f>VLOOKUP(Salesdta[[#This Row],[Store_ID]],Store_Data_1[],3,TRUE)</f>
        <v>North</v>
      </c>
      <c r="M302" s="1">
        <v>2</v>
      </c>
      <c r="N302" s="1">
        <v>261</v>
      </c>
      <c r="O302" s="12">
        <v>0.17</v>
      </c>
      <c r="P302" s="1" t="s">
        <v>1817</v>
      </c>
      <c r="Q302" s="1">
        <v>434</v>
      </c>
      <c r="R302" s="1">
        <f>Salesdta[[#This Row],[Final Revenue]]-Salesdta[[#This Row],[Product cost]]</f>
        <v>188</v>
      </c>
      <c r="S302" s="1" t="str">
        <f>IF(Salesdta[[#This Row],[Final Revenue]]&gt;1000,"Selected","Not Selected")</f>
        <v>Not Selected</v>
      </c>
    </row>
    <row r="303" spans="1:19" x14ac:dyDescent="0.35">
      <c r="A303" s="6" t="s">
        <v>2120</v>
      </c>
      <c r="B303" s="20">
        <v>45938</v>
      </c>
      <c r="C303" s="1" t="str">
        <f>TEXT(Salesdta[[#This Row],[Order_Date]],"mmmm")</f>
        <v>October</v>
      </c>
      <c r="D303" s="1" t="s">
        <v>945</v>
      </c>
      <c r="E303" s="1" t="str">
        <f>VLOOKUP(Salesdta[[#This Row],[Customer_ID]],Customer_Data_[],6,TRUE)</f>
        <v>Male</v>
      </c>
      <c r="F303" s="1" t="str">
        <f>VLOOKUP(Salesdta[[#This Row],[Customer_ID]],Customer_Data_[],8,TRUE)</f>
        <v>Oregon</v>
      </c>
      <c r="G303" s="1" t="s">
        <v>1616</v>
      </c>
      <c r="H303" s="1" t="str">
        <f>VLOOKUP(Salesdta[[#This Row],[Product_ID]],Product_Data_1[],2,TRUE)</f>
        <v>Women's Summer Dress</v>
      </c>
      <c r="I303" s="1" t="str">
        <f>VLOOKUP(Salesdta[[#This Row],[Product_ID]],Product_Data_1[],3,TRUE)</f>
        <v>Clothing</v>
      </c>
      <c r="J303" s="1">
        <f>VLOOKUP(Salesdta[[#This Row],[Product_ID]],Product_Data_1[],7,TRUE)</f>
        <v>223</v>
      </c>
      <c r="K303" s="1" t="s">
        <v>1795</v>
      </c>
      <c r="L303" s="1" t="str">
        <f>VLOOKUP(Salesdta[[#This Row],[Store_ID]],Store_Data_1[],3,TRUE)</f>
        <v>North</v>
      </c>
      <c r="M303" s="1">
        <v>1</v>
      </c>
      <c r="N303" s="1">
        <v>851</v>
      </c>
      <c r="O303" s="12">
        <v>0.28000000000000003</v>
      </c>
      <c r="P303" s="1" t="s">
        <v>1819</v>
      </c>
      <c r="Q303" s="1">
        <v>613</v>
      </c>
      <c r="R303" s="1">
        <f>Salesdta[[#This Row],[Final Revenue]]-Salesdta[[#This Row],[Product cost]]</f>
        <v>390</v>
      </c>
      <c r="S303" s="1" t="str">
        <f>IF(Salesdta[[#This Row],[Final Revenue]]&gt;1000,"Selected","Not Selected")</f>
        <v>Not Selected</v>
      </c>
    </row>
    <row r="304" spans="1:19" x14ac:dyDescent="0.35">
      <c r="A304" s="6" t="s">
        <v>2121</v>
      </c>
      <c r="B304" s="20">
        <v>45565</v>
      </c>
      <c r="C304" s="1" t="str">
        <f>TEXT(Salesdta[[#This Row],[Order_Date]],"mmmm")</f>
        <v>September</v>
      </c>
      <c r="D304" s="1" t="s">
        <v>1142</v>
      </c>
      <c r="E304" s="1" t="str">
        <f>VLOOKUP(Salesdta[[#This Row],[Customer_ID]],Customer_Data_[],6,TRUE)</f>
        <v>Female</v>
      </c>
      <c r="F304" s="1" t="str">
        <f>VLOOKUP(Salesdta[[#This Row],[Customer_ID]],Customer_Data_[],8,TRUE)</f>
        <v>Alabama</v>
      </c>
      <c r="G304" s="1" t="s">
        <v>1690</v>
      </c>
      <c r="H304" s="1" t="str">
        <f>VLOOKUP(Salesdta[[#This Row],[Product_ID]],Product_Data_1[],2,TRUE)</f>
        <v>Shin Guards – Adult</v>
      </c>
      <c r="I304" s="1" t="str">
        <f>VLOOKUP(Salesdta[[#This Row],[Product_ID]],Product_Data_1[],3,TRUE)</f>
        <v>Sports</v>
      </c>
      <c r="J304" s="1">
        <f>VLOOKUP(Salesdta[[#This Row],[Product_ID]],Product_Data_1[],7,TRUE)</f>
        <v>107</v>
      </c>
      <c r="K304" s="1" t="s">
        <v>1772</v>
      </c>
      <c r="L304" s="1" t="str">
        <f>VLOOKUP(Salesdta[[#This Row],[Store_ID]],Store_Data_1[],3,TRUE)</f>
        <v>East</v>
      </c>
      <c r="M304" s="1">
        <v>4</v>
      </c>
      <c r="N304" s="1">
        <v>935</v>
      </c>
      <c r="O304" s="12">
        <v>0.18</v>
      </c>
      <c r="P304" s="1" t="s">
        <v>1819</v>
      </c>
      <c r="Q304" s="1">
        <v>3067</v>
      </c>
      <c r="R304" s="1">
        <f>Salesdta[[#This Row],[Final Revenue]]-Salesdta[[#This Row],[Product cost]]</f>
        <v>2960</v>
      </c>
      <c r="S304" s="1" t="str">
        <f>IF(Salesdta[[#This Row],[Final Revenue]]&gt;1000,"Selected","Not Selected")</f>
        <v>Selected</v>
      </c>
    </row>
    <row r="305" spans="1:19" x14ac:dyDescent="0.35">
      <c r="A305" s="6" t="s">
        <v>2122</v>
      </c>
      <c r="B305" s="20">
        <v>45591</v>
      </c>
      <c r="C305" s="1" t="str">
        <f>TEXT(Salesdta[[#This Row],[Order_Date]],"mmmm")</f>
        <v>October</v>
      </c>
      <c r="D305" s="1" t="s">
        <v>643</v>
      </c>
      <c r="E305" s="1" t="str">
        <f>VLOOKUP(Salesdta[[#This Row],[Customer_ID]],Customer_Data_[],6,TRUE)</f>
        <v>Female</v>
      </c>
      <c r="F305" s="1" t="str">
        <f>VLOOKUP(Salesdta[[#This Row],[Customer_ID]],Customer_Data_[],8,TRUE)</f>
        <v>Minnesota</v>
      </c>
      <c r="G305" s="1" t="s">
        <v>1618</v>
      </c>
      <c r="H305" s="1" t="str">
        <f>VLOOKUP(Salesdta[[#This Row],[Product_ID]],Product_Data_1[],2,TRUE)</f>
        <v>Men's Casual Sneakers</v>
      </c>
      <c r="I305" s="1" t="str">
        <f>VLOOKUP(Salesdta[[#This Row],[Product_ID]],Product_Data_1[],3,TRUE)</f>
        <v>Clothing</v>
      </c>
      <c r="J305" s="1">
        <f>VLOOKUP(Salesdta[[#This Row],[Product_ID]],Product_Data_1[],7,TRUE)</f>
        <v>353</v>
      </c>
      <c r="K305" s="1" t="s">
        <v>1748</v>
      </c>
      <c r="L305" s="1" t="str">
        <f>VLOOKUP(Salesdta[[#This Row],[Store_ID]],Store_Data_1[],3,TRUE)</f>
        <v>East</v>
      </c>
      <c r="M305" s="1">
        <v>3</v>
      </c>
      <c r="N305" s="1">
        <v>416</v>
      </c>
      <c r="O305" s="12">
        <v>0.02</v>
      </c>
      <c r="P305" s="1" t="s">
        <v>1817</v>
      </c>
      <c r="Q305" s="1">
        <v>1223</v>
      </c>
      <c r="R305" s="1">
        <f>Salesdta[[#This Row],[Final Revenue]]-Salesdta[[#This Row],[Product cost]]</f>
        <v>870</v>
      </c>
      <c r="S305" s="1" t="str">
        <f>IF(Salesdta[[#This Row],[Final Revenue]]&gt;1000,"Selected","Not Selected")</f>
        <v>Selected</v>
      </c>
    </row>
    <row r="306" spans="1:19" x14ac:dyDescent="0.35">
      <c r="A306" s="6" t="s">
        <v>2123</v>
      </c>
      <c r="B306" s="20">
        <v>45864</v>
      </c>
      <c r="C306" s="1" t="str">
        <f>TEXT(Salesdta[[#This Row],[Order_Date]],"mmmm")</f>
        <v>July</v>
      </c>
      <c r="D306" s="1" t="s">
        <v>1195</v>
      </c>
      <c r="E306" s="1" t="str">
        <f>VLOOKUP(Salesdta[[#This Row],[Customer_ID]],Customer_Data_[],6,TRUE)</f>
        <v>Female</v>
      </c>
      <c r="F306" s="1" t="str">
        <f>VLOOKUP(Salesdta[[#This Row],[Customer_ID]],Customer_Data_[],8,TRUE)</f>
        <v>Iowa</v>
      </c>
      <c r="G306" s="1" t="s">
        <v>1692</v>
      </c>
      <c r="H306" s="1" t="str">
        <f>VLOOKUP(Salesdta[[#This Row],[Product_ID]],Product_Data_1[],2,TRUE)</f>
        <v>Bluetooth Car Audio System</v>
      </c>
      <c r="I306" s="1" t="str">
        <f>VLOOKUP(Salesdta[[#This Row],[Product_ID]],Product_Data_1[],3,TRUE)</f>
        <v>Electronics</v>
      </c>
      <c r="J306" s="1">
        <f>VLOOKUP(Salesdta[[#This Row],[Product_ID]],Product_Data_1[],7,TRUE)</f>
        <v>404</v>
      </c>
      <c r="K306" s="1" t="s">
        <v>1785</v>
      </c>
      <c r="L306" s="1" t="str">
        <f>VLOOKUP(Salesdta[[#This Row],[Store_ID]],Store_Data_1[],3,TRUE)</f>
        <v>North</v>
      </c>
      <c r="M306" s="1">
        <v>1</v>
      </c>
      <c r="N306" s="1">
        <v>31</v>
      </c>
      <c r="O306" s="12">
        <v>0.21</v>
      </c>
      <c r="P306" s="1" t="s">
        <v>1822</v>
      </c>
      <c r="Q306" s="1">
        <v>24</v>
      </c>
      <c r="R306" s="1">
        <f>Salesdta[[#This Row],[Final Revenue]]-Salesdta[[#This Row],[Product cost]]</f>
        <v>-380</v>
      </c>
      <c r="S306" s="1" t="str">
        <f>IF(Salesdta[[#This Row],[Final Revenue]]&gt;1000,"Selected","Not Selected")</f>
        <v>Not Selected</v>
      </c>
    </row>
    <row r="307" spans="1:19" x14ac:dyDescent="0.35">
      <c r="A307" s="6" t="s">
        <v>2124</v>
      </c>
      <c r="B307" s="20">
        <v>45797</v>
      </c>
      <c r="C307" s="1" t="str">
        <f>TEXT(Salesdta[[#This Row],[Order_Date]],"mmmm")</f>
        <v>May</v>
      </c>
      <c r="D307" s="1" t="s">
        <v>550</v>
      </c>
      <c r="E307" s="1" t="str">
        <f>VLOOKUP(Salesdta[[#This Row],[Customer_ID]],Customer_Data_[],6,TRUE)</f>
        <v>Female</v>
      </c>
      <c r="F307" s="1" t="str">
        <f>VLOOKUP(Salesdta[[#This Row],[Customer_ID]],Customer_Data_[],8,TRUE)</f>
        <v>Michigan</v>
      </c>
      <c r="G307" s="1" t="s">
        <v>1706</v>
      </c>
      <c r="H307" s="1" t="str">
        <f>VLOOKUP(Salesdta[[#This Row],[Product_ID]],Product_Data_1[],2,TRUE)</f>
        <v>Badminton Racket Set</v>
      </c>
      <c r="I307" s="1" t="str">
        <f>VLOOKUP(Salesdta[[#This Row],[Product_ID]],Product_Data_1[],3,TRUE)</f>
        <v>Sports</v>
      </c>
      <c r="J307" s="1">
        <f>VLOOKUP(Salesdta[[#This Row],[Product_ID]],Product_Data_1[],7,TRUE)</f>
        <v>286</v>
      </c>
      <c r="K307" s="1" t="s">
        <v>1785</v>
      </c>
      <c r="L307" s="1" t="str">
        <f>VLOOKUP(Salesdta[[#This Row],[Store_ID]],Store_Data_1[],3,TRUE)</f>
        <v>North</v>
      </c>
      <c r="M307" s="1">
        <v>2</v>
      </c>
      <c r="N307" s="1">
        <v>145</v>
      </c>
      <c r="O307" s="12">
        <v>0.19</v>
      </c>
      <c r="P307" s="1" t="s">
        <v>1819</v>
      </c>
      <c r="Q307" s="1">
        <v>235</v>
      </c>
      <c r="R307" s="1">
        <f>Salesdta[[#This Row],[Final Revenue]]-Salesdta[[#This Row],[Product cost]]</f>
        <v>-51</v>
      </c>
      <c r="S307" s="1" t="str">
        <f>IF(Salesdta[[#This Row],[Final Revenue]]&gt;1000,"Selected","Not Selected")</f>
        <v>Not Selected</v>
      </c>
    </row>
    <row r="308" spans="1:19" x14ac:dyDescent="0.35">
      <c r="A308" s="6" t="s">
        <v>2125</v>
      </c>
      <c r="B308" s="20">
        <v>45371</v>
      </c>
      <c r="C308" s="1" t="str">
        <f>TEXT(Salesdta[[#This Row],[Order_Date]],"mmmm")</f>
        <v>March</v>
      </c>
      <c r="D308" s="1" t="s">
        <v>1294</v>
      </c>
      <c r="E308" s="1" t="str">
        <f>VLOOKUP(Salesdta[[#This Row],[Customer_ID]],Customer_Data_[],6,TRUE)</f>
        <v>Female</v>
      </c>
      <c r="F308" s="1" t="str">
        <f>VLOOKUP(Salesdta[[#This Row],[Customer_ID]],Customer_Data_[],8,TRUE)</f>
        <v>New Hampshire</v>
      </c>
      <c r="G308" s="1" t="s">
        <v>1722</v>
      </c>
      <c r="H308" s="1" t="str">
        <f>VLOOKUP(Salesdta[[#This Row],[Product_ID]],Product_Data_1[],2,TRUE)</f>
        <v>Face Foundation Kit</v>
      </c>
      <c r="I308" s="1" t="str">
        <f>VLOOKUP(Salesdta[[#This Row],[Product_ID]],Product_Data_1[],3,TRUE)</f>
        <v>Beauty</v>
      </c>
      <c r="J308" s="1">
        <f>VLOOKUP(Salesdta[[#This Row],[Product_ID]],Product_Data_1[],7,TRUE)</f>
        <v>183</v>
      </c>
      <c r="K308" s="1" t="s">
        <v>1806</v>
      </c>
      <c r="L308" s="1" t="str">
        <f>VLOOKUP(Salesdta[[#This Row],[Store_ID]],Store_Data_1[],3,TRUE)</f>
        <v>North</v>
      </c>
      <c r="M308" s="1">
        <v>1</v>
      </c>
      <c r="N308" s="1">
        <v>170</v>
      </c>
      <c r="O308" s="12">
        <v>0.03</v>
      </c>
      <c r="P308" s="1" t="s">
        <v>1817</v>
      </c>
      <c r="Q308" s="1">
        <v>165</v>
      </c>
      <c r="R308" s="1">
        <f>Salesdta[[#This Row],[Final Revenue]]-Salesdta[[#This Row],[Product cost]]</f>
        <v>-18</v>
      </c>
      <c r="S308" s="1" t="str">
        <f>IF(Salesdta[[#This Row],[Final Revenue]]&gt;1000,"Selected","Not Selected")</f>
        <v>Not Selected</v>
      </c>
    </row>
    <row r="309" spans="1:19" x14ac:dyDescent="0.35">
      <c r="A309" s="6" t="s">
        <v>2126</v>
      </c>
      <c r="B309" s="20">
        <v>45462</v>
      </c>
      <c r="C309" s="1" t="str">
        <f>TEXT(Salesdta[[#This Row],[Order_Date]],"mmmm")</f>
        <v>June</v>
      </c>
      <c r="D309" s="1" t="s">
        <v>719</v>
      </c>
      <c r="E309" s="1" t="str">
        <f>VLOOKUP(Salesdta[[#This Row],[Customer_ID]],Customer_Data_[],6,TRUE)</f>
        <v>Male</v>
      </c>
      <c r="F309" s="1" t="str">
        <f>VLOOKUP(Salesdta[[#This Row],[Customer_ID]],Customer_Data_[],8,TRUE)</f>
        <v>Iowa</v>
      </c>
      <c r="G309" s="1" t="s">
        <v>1688</v>
      </c>
      <c r="H309" s="1" t="str">
        <f>VLOOKUP(Salesdta[[#This Row],[Product_ID]],Product_Data_1[],2,TRUE)</f>
        <v>Professional Jump Rope</v>
      </c>
      <c r="I309" s="1" t="str">
        <f>VLOOKUP(Salesdta[[#This Row],[Product_ID]],Product_Data_1[],3,TRUE)</f>
        <v>Sports</v>
      </c>
      <c r="J309" s="1">
        <f>VLOOKUP(Salesdta[[#This Row],[Product_ID]],Product_Data_1[],7,TRUE)</f>
        <v>478</v>
      </c>
      <c r="K309" s="1" t="s">
        <v>1757</v>
      </c>
      <c r="L309" s="1" t="str">
        <f>VLOOKUP(Salesdta[[#This Row],[Store_ID]],Store_Data_1[],3,TRUE)</f>
        <v>South</v>
      </c>
      <c r="M309" s="1">
        <v>3</v>
      </c>
      <c r="N309" s="1">
        <v>481</v>
      </c>
      <c r="O309" s="12">
        <v>0.03</v>
      </c>
      <c r="P309" s="1" t="s">
        <v>1817</v>
      </c>
      <c r="Q309" s="1">
        <v>1398</v>
      </c>
      <c r="R309" s="1">
        <f>Salesdta[[#This Row],[Final Revenue]]-Salesdta[[#This Row],[Product cost]]</f>
        <v>920</v>
      </c>
      <c r="S309" s="1" t="str">
        <f>IF(Salesdta[[#This Row],[Final Revenue]]&gt;1000,"Selected","Not Selected")</f>
        <v>Selected</v>
      </c>
    </row>
    <row r="310" spans="1:19" x14ac:dyDescent="0.35">
      <c r="A310" s="6" t="s">
        <v>2127</v>
      </c>
      <c r="B310" s="20">
        <v>45632</v>
      </c>
      <c r="C310" s="1" t="str">
        <f>TEXT(Salesdta[[#This Row],[Order_Date]],"mmmm")</f>
        <v>December</v>
      </c>
      <c r="D310" s="1" t="s">
        <v>520</v>
      </c>
      <c r="E310" s="1" t="str">
        <f>VLOOKUP(Salesdta[[#This Row],[Customer_ID]],Customer_Data_[],6,TRUE)</f>
        <v>Male</v>
      </c>
      <c r="F310" s="1" t="str">
        <f>VLOOKUP(Salesdta[[#This Row],[Customer_ID]],Customer_Data_[],8,TRUE)</f>
        <v>North Dakota</v>
      </c>
      <c r="G310" s="1" t="s">
        <v>1642</v>
      </c>
      <c r="H310" s="1" t="str">
        <f>VLOOKUP(Salesdta[[#This Row],[Product_ID]],Product_Data_1[],2,TRUE)</f>
        <v>Men's Roll-On Perfume</v>
      </c>
      <c r="I310" s="1" t="str">
        <f>VLOOKUP(Salesdta[[#This Row],[Product_ID]],Product_Data_1[],3,TRUE)</f>
        <v>Beauty</v>
      </c>
      <c r="J310" s="1">
        <f>VLOOKUP(Salesdta[[#This Row],[Product_ID]],Product_Data_1[],7,TRUE)</f>
        <v>43</v>
      </c>
      <c r="K310" s="1" t="s">
        <v>1775</v>
      </c>
      <c r="L310" s="1" t="str">
        <f>VLOOKUP(Salesdta[[#This Row],[Store_ID]],Store_Data_1[],3,TRUE)</f>
        <v>South</v>
      </c>
      <c r="M310" s="1">
        <v>2</v>
      </c>
      <c r="N310" s="1">
        <v>956</v>
      </c>
      <c r="O310" s="12">
        <v>0.28999999999999998</v>
      </c>
      <c r="P310" s="1" t="s">
        <v>1822</v>
      </c>
      <c r="Q310" s="1">
        <v>1357</v>
      </c>
      <c r="R310" s="1">
        <f>Salesdta[[#This Row],[Final Revenue]]-Salesdta[[#This Row],[Product cost]]</f>
        <v>1314</v>
      </c>
      <c r="S310" s="1" t="str">
        <f>IF(Salesdta[[#This Row],[Final Revenue]]&gt;1000,"Selected","Not Selected")</f>
        <v>Selected</v>
      </c>
    </row>
    <row r="311" spans="1:19" x14ac:dyDescent="0.35">
      <c r="A311" s="6" t="s">
        <v>2128</v>
      </c>
      <c r="B311" s="20">
        <v>45238</v>
      </c>
      <c r="C311" s="1" t="str">
        <f>TEXT(Salesdta[[#This Row],[Order_Date]],"mmmm")</f>
        <v>November</v>
      </c>
      <c r="D311" s="1" t="s">
        <v>743</v>
      </c>
      <c r="E311" s="1" t="str">
        <f>VLOOKUP(Salesdta[[#This Row],[Customer_ID]],Customer_Data_[],6,TRUE)</f>
        <v>Female</v>
      </c>
      <c r="F311" s="1" t="str">
        <f>VLOOKUP(Salesdta[[#This Row],[Customer_ID]],Customer_Data_[],8,TRUE)</f>
        <v>New Jersey</v>
      </c>
      <c r="G311" s="1" t="s">
        <v>1734</v>
      </c>
      <c r="H311" s="1" t="str">
        <f>VLOOKUP(Salesdta[[#This Row],[Product_ID]],Product_Data_1[],2,TRUE)</f>
        <v>Sports Stopwatch Basic</v>
      </c>
      <c r="I311" s="1" t="str">
        <f>VLOOKUP(Salesdta[[#This Row],[Product_ID]],Product_Data_1[],3,TRUE)</f>
        <v>Sports</v>
      </c>
      <c r="J311" s="1">
        <f>VLOOKUP(Salesdta[[#This Row],[Product_ID]],Product_Data_1[],7,TRUE)</f>
        <v>61</v>
      </c>
      <c r="K311" s="1" t="s">
        <v>1748</v>
      </c>
      <c r="L311" s="1" t="str">
        <f>VLOOKUP(Salesdta[[#This Row],[Store_ID]],Store_Data_1[],3,TRUE)</f>
        <v>East</v>
      </c>
      <c r="M311" s="1">
        <v>2</v>
      </c>
      <c r="N311" s="1">
        <v>264</v>
      </c>
      <c r="O311" s="12">
        <v>0.11</v>
      </c>
      <c r="P311" s="1" t="s">
        <v>1822</v>
      </c>
      <c r="Q311" s="1">
        <v>471</v>
      </c>
      <c r="R311" s="1">
        <f>Salesdta[[#This Row],[Final Revenue]]-Salesdta[[#This Row],[Product cost]]</f>
        <v>410</v>
      </c>
      <c r="S311" s="1" t="str">
        <f>IF(Salesdta[[#This Row],[Final Revenue]]&gt;1000,"Selected","Not Selected")</f>
        <v>Not Selected</v>
      </c>
    </row>
    <row r="312" spans="1:19" x14ac:dyDescent="0.35">
      <c r="A312" s="6" t="s">
        <v>2129</v>
      </c>
      <c r="B312" s="20">
        <v>45280</v>
      </c>
      <c r="C312" s="1" t="str">
        <f>TEXT(Salesdta[[#This Row],[Order_Date]],"mmmm")</f>
        <v>December</v>
      </c>
      <c r="D312" s="1" t="s">
        <v>490</v>
      </c>
      <c r="E312" s="1" t="str">
        <f>VLOOKUP(Salesdta[[#This Row],[Customer_ID]],Customer_Data_[],6,TRUE)</f>
        <v>Female</v>
      </c>
      <c r="F312" s="1" t="str">
        <f>VLOOKUP(Salesdta[[#This Row],[Customer_ID]],Customer_Data_[],8,TRUE)</f>
        <v>South Carolina</v>
      </c>
      <c r="G312" s="1" t="s">
        <v>1594</v>
      </c>
      <c r="H312" s="1" t="str">
        <f>VLOOKUP(Salesdta[[#This Row],[Product_ID]],Product_Data_1[],2,TRUE)</f>
        <v>Women's Scarf Set</v>
      </c>
      <c r="I312" s="1" t="str">
        <f>VLOOKUP(Salesdta[[#This Row],[Product_ID]],Product_Data_1[],3,TRUE)</f>
        <v>Clothing</v>
      </c>
      <c r="J312" s="1">
        <f>VLOOKUP(Salesdta[[#This Row],[Product_ID]],Product_Data_1[],7,TRUE)</f>
        <v>174</v>
      </c>
      <c r="K312" s="1" t="s">
        <v>1790</v>
      </c>
      <c r="L312" s="1" t="str">
        <f>VLOOKUP(Salesdta[[#This Row],[Store_ID]],Store_Data_1[],3,TRUE)</f>
        <v>North</v>
      </c>
      <c r="M312" s="1">
        <v>2</v>
      </c>
      <c r="N312" s="1">
        <v>584</v>
      </c>
      <c r="O312" s="12">
        <v>0.2</v>
      </c>
      <c r="P312" s="1" t="s">
        <v>1822</v>
      </c>
      <c r="Q312" s="1">
        <v>934</v>
      </c>
      <c r="R312" s="1">
        <f>Salesdta[[#This Row],[Final Revenue]]-Salesdta[[#This Row],[Product cost]]</f>
        <v>760</v>
      </c>
      <c r="S312" s="1" t="str">
        <f>IF(Salesdta[[#This Row],[Final Revenue]]&gt;1000,"Selected","Not Selected")</f>
        <v>Not Selected</v>
      </c>
    </row>
    <row r="313" spans="1:19" x14ac:dyDescent="0.35">
      <c r="A313" s="6" t="s">
        <v>2130</v>
      </c>
      <c r="B313" s="20">
        <v>45911</v>
      </c>
      <c r="C313" s="1" t="str">
        <f>TEXT(Salesdta[[#This Row],[Order_Date]],"mmmm")</f>
        <v>September</v>
      </c>
      <c r="D313" s="1" t="s">
        <v>53</v>
      </c>
      <c r="E313" s="1" t="str">
        <f>VLOOKUP(Salesdta[[#This Row],[Customer_ID]],Customer_Data_[],6,TRUE)</f>
        <v>Female</v>
      </c>
      <c r="F313" s="1" t="str">
        <f>VLOOKUP(Salesdta[[#This Row],[Customer_ID]],Customer_Data_[],8,TRUE)</f>
        <v>New York</v>
      </c>
      <c r="G313" s="1" t="s">
        <v>1606</v>
      </c>
      <c r="H313" s="1" t="str">
        <f>VLOOKUP(Salesdta[[#This Row],[Product_ID]],Product_Data_1[],2,TRUE)</f>
        <v>Basketball</v>
      </c>
      <c r="I313" s="1" t="str">
        <f>VLOOKUP(Salesdta[[#This Row],[Product_ID]],Product_Data_1[],3,TRUE)</f>
        <v>Sports</v>
      </c>
      <c r="J313" s="1">
        <f>VLOOKUP(Salesdta[[#This Row],[Product_ID]],Product_Data_1[],7,TRUE)</f>
        <v>204</v>
      </c>
      <c r="K313" s="1" t="s">
        <v>1803</v>
      </c>
      <c r="L313" s="1" t="str">
        <f>VLOOKUP(Salesdta[[#This Row],[Store_ID]],Store_Data_1[],3,TRUE)</f>
        <v>North</v>
      </c>
      <c r="M313" s="1">
        <v>1</v>
      </c>
      <c r="N313" s="1">
        <v>659</v>
      </c>
      <c r="O313" s="12">
        <v>0.15</v>
      </c>
      <c r="P313" s="1" t="s">
        <v>1819</v>
      </c>
      <c r="Q313" s="1">
        <v>560</v>
      </c>
      <c r="R313" s="1">
        <f>Salesdta[[#This Row],[Final Revenue]]-Salesdta[[#This Row],[Product cost]]</f>
        <v>356</v>
      </c>
      <c r="S313" s="1" t="str">
        <f>IF(Salesdta[[#This Row],[Final Revenue]]&gt;1000,"Selected","Not Selected")</f>
        <v>Not Selected</v>
      </c>
    </row>
    <row r="314" spans="1:19" x14ac:dyDescent="0.35">
      <c r="A314" s="6" t="s">
        <v>2131</v>
      </c>
      <c r="B314" s="20">
        <v>45627</v>
      </c>
      <c r="C314" s="1" t="str">
        <f>TEXT(Salesdta[[#This Row],[Order_Date]],"mmmm")</f>
        <v>December</v>
      </c>
      <c r="D314" s="1" t="s">
        <v>1373</v>
      </c>
      <c r="E314" s="1" t="str">
        <f>VLOOKUP(Salesdta[[#This Row],[Customer_ID]],Customer_Data_[],6,TRUE)</f>
        <v>Female</v>
      </c>
      <c r="F314" s="1" t="str">
        <f>VLOOKUP(Salesdta[[#This Row],[Customer_ID]],Customer_Data_[],8,TRUE)</f>
        <v>Virginia</v>
      </c>
      <c r="G314" s="1" t="s">
        <v>1545</v>
      </c>
      <c r="H314" s="1" t="str">
        <f>VLOOKUP(Salesdta[[#This Row],[Product_ID]],Product_Data_1[],2,TRUE)</f>
        <v>Knee Support Brace</v>
      </c>
      <c r="I314" s="1" t="str">
        <f>VLOOKUP(Salesdta[[#This Row],[Product_ID]],Product_Data_1[],3,TRUE)</f>
        <v>Sports</v>
      </c>
      <c r="J314" s="1">
        <f>VLOOKUP(Salesdta[[#This Row],[Product_ID]],Product_Data_1[],7,TRUE)</f>
        <v>21</v>
      </c>
      <c r="K314" s="1" t="s">
        <v>1765</v>
      </c>
      <c r="L314" s="1" t="str">
        <f>VLOOKUP(Salesdta[[#This Row],[Store_ID]],Store_Data_1[],3,TRUE)</f>
        <v>South</v>
      </c>
      <c r="M314" s="1">
        <v>4</v>
      </c>
      <c r="N314" s="1">
        <v>107</v>
      </c>
      <c r="O314" s="12">
        <v>0.2</v>
      </c>
      <c r="P314" s="1" t="s">
        <v>1822</v>
      </c>
      <c r="Q314" s="1">
        <v>341</v>
      </c>
      <c r="R314" s="1">
        <f>Salesdta[[#This Row],[Final Revenue]]-Salesdta[[#This Row],[Product cost]]</f>
        <v>320</v>
      </c>
      <c r="S314" s="1" t="str">
        <f>IF(Salesdta[[#This Row],[Final Revenue]]&gt;1000,"Selected","Not Selected")</f>
        <v>Not Selected</v>
      </c>
    </row>
    <row r="315" spans="1:19" x14ac:dyDescent="0.35">
      <c r="A315" s="6" t="s">
        <v>2132</v>
      </c>
      <c r="B315" s="20">
        <v>45943</v>
      </c>
      <c r="C315" s="1" t="str">
        <f>TEXT(Salesdta[[#This Row],[Order_Date]],"mmmm")</f>
        <v>October</v>
      </c>
      <c r="D315" s="1" t="s">
        <v>553</v>
      </c>
      <c r="E315" s="1" t="str">
        <f>VLOOKUP(Salesdta[[#This Row],[Customer_ID]],Customer_Data_[],6,TRUE)</f>
        <v>Female</v>
      </c>
      <c r="F315" s="1" t="str">
        <f>VLOOKUP(Salesdta[[#This Row],[Customer_ID]],Customer_Data_[],8,TRUE)</f>
        <v>Tennessee</v>
      </c>
      <c r="G315" s="1" t="s">
        <v>1638</v>
      </c>
      <c r="H315" s="1" t="str">
        <f>VLOOKUP(Salesdta[[#This Row],[Product_ID]],Product_Data_1[],2,TRUE)</f>
        <v>Makeup Brush Set</v>
      </c>
      <c r="I315" s="1" t="str">
        <f>VLOOKUP(Salesdta[[#This Row],[Product_ID]],Product_Data_1[],3,TRUE)</f>
        <v>Beauty</v>
      </c>
      <c r="J315" s="1">
        <f>VLOOKUP(Salesdta[[#This Row],[Product_ID]],Product_Data_1[],7,TRUE)</f>
        <v>254</v>
      </c>
      <c r="K315" s="1" t="s">
        <v>1757</v>
      </c>
      <c r="L315" s="1" t="str">
        <f>VLOOKUP(Salesdta[[#This Row],[Store_ID]],Store_Data_1[],3,TRUE)</f>
        <v>South</v>
      </c>
      <c r="M315" s="1">
        <v>3</v>
      </c>
      <c r="N315" s="1">
        <v>843</v>
      </c>
      <c r="O315" s="12">
        <v>0.22</v>
      </c>
      <c r="P315" s="1" t="s">
        <v>1817</v>
      </c>
      <c r="Q315" s="1">
        <v>1974</v>
      </c>
      <c r="R315" s="1">
        <f>Salesdta[[#This Row],[Final Revenue]]-Salesdta[[#This Row],[Product cost]]</f>
        <v>1720</v>
      </c>
      <c r="S315" s="1" t="str">
        <f>IF(Salesdta[[#This Row],[Final Revenue]]&gt;1000,"Selected","Not Selected")</f>
        <v>Selected</v>
      </c>
    </row>
    <row r="316" spans="1:19" x14ac:dyDescent="0.35">
      <c r="A316" s="6" t="s">
        <v>2133</v>
      </c>
      <c r="B316" s="20">
        <v>45346</v>
      </c>
      <c r="C316" s="1" t="str">
        <f>TEXT(Salesdta[[#This Row],[Order_Date]],"mmmm")</f>
        <v>February</v>
      </c>
      <c r="D316" s="1" t="s">
        <v>687</v>
      </c>
      <c r="E316" s="1" t="str">
        <f>VLOOKUP(Salesdta[[#This Row],[Customer_ID]],Customer_Data_[],6,TRUE)</f>
        <v>Female</v>
      </c>
      <c r="F316" s="1" t="str">
        <f>VLOOKUP(Salesdta[[#This Row],[Customer_ID]],Customer_Data_[],8,TRUE)</f>
        <v>Washington</v>
      </c>
      <c r="G316" s="1" t="s">
        <v>1570</v>
      </c>
      <c r="H316" s="1" t="str">
        <f>VLOOKUP(Salesdta[[#This Row],[Product_ID]],Product_Data_1[],2,TRUE)</f>
        <v>USB-C Fast Charger</v>
      </c>
      <c r="I316" s="1" t="str">
        <f>VLOOKUP(Salesdta[[#This Row],[Product_ID]],Product_Data_1[],3,TRUE)</f>
        <v>Electronics</v>
      </c>
      <c r="J316" s="1">
        <f>VLOOKUP(Salesdta[[#This Row],[Product_ID]],Product_Data_1[],7,TRUE)</f>
        <v>242</v>
      </c>
      <c r="K316" s="1" t="s">
        <v>1757</v>
      </c>
      <c r="L316" s="1" t="str">
        <f>VLOOKUP(Salesdta[[#This Row],[Store_ID]],Store_Data_1[],3,TRUE)</f>
        <v>South</v>
      </c>
      <c r="M316" s="1">
        <v>4</v>
      </c>
      <c r="N316" s="1">
        <v>284</v>
      </c>
      <c r="O316" s="12">
        <v>0.09</v>
      </c>
      <c r="P316" s="1" t="s">
        <v>1817</v>
      </c>
      <c r="Q316" s="1">
        <v>1035</v>
      </c>
      <c r="R316" s="1">
        <f>Salesdta[[#This Row],[Final Revenue]]-Salesdta[[#This Row],[Product cost]]</f>
        <v>793</v>
      </c>
      <c r="S316" s="1" t="str">
        <f>IF(Salesdta[[#This Row],[Final Revenue]]&gt;1000,"Selected","Not Selected")</f>
        <v>Selected</v>
      </c>
    </row>
    <row r="317" spans="1:19" x14ac:dyDescent="0.35">
      <c r="A317" s="6" t="s">
        <v>2134</v>
      </c>
      <c r="B317" s="20">
        <v>45762</v>
      </c>
      <c r="C317" s="1" t="str">
        <f>TEXT(Salesdta[[#This Row],[Order_Date]],"mmmm")</f>
        <v>April</v>
      </c>
      <c r="D317" s="1" t="s">
        <v>978</v>
      </c>
      <c r="E317" s="1" t="str">
        <f>VLOOKUP(Salesdta[[#This Row],[Customer_ID]],Customer_Data_[],6,TRUE)</f>
        <v>Male</v>
      </c>
      <c r="F317" s="1" t="str">
        <f>VLOOKUP(Salesdta[[#This Row],[Customer_ID]],Customer_Data_[],8,TRUE)</f>
        <v>Oregon</v>
      </c>
      <c r="G317" s="1" t="s">
        <v>1700</v>
      </c>
      <c r="H317" s="1" t="str">
        <f>VLOOKUP(Salesdta[[#This Row],[Product_ID]],Product_Data_1[],2,TRUE)</f>
        <v>Essential Oil Diffuser</v>
      </c>
      <c r="I317" s="1" t="str">
        <f>VLOOKUP(Salesdta[[#This Row],[Product_ID]],Product_Data_1[],3,TRUE)</f>
        <v>Home</v>
      </c>
      <c r="J317" s="1">
        <f>VLOOKUP(Salesdta[[#This Row],[Product_ID]],Product_Data_1[],7,TRUE)</f>
        <v>325</v>
      </c>
      <c r="K317" s="1" t="s">
        <v>1790</v>
      </c>
      <c r="L317" s="1" t="str">
        <f>VLOOKUP(Salesdta[[#This Row],[Store_ID]],Store_Data_1[],3,TRUE)</f>
        <v>North</v>
      </c>
      <c r="M317" s="1">
        <v>2</v>
      </c>
      <c r="N317" s="1">
        <v>617</v>
      </c>
      <c r="O317" s="12">
        <v>0.22</v>
      </c>
      <c r="P317" s="1" t="s">
        <v>1817</v>
      </c>
      <c r="Q317" s="1">
        <v>962</v>
      </c>
      <c r="R317" s="1">
        <f>Salesdta[[#This Row],[Final Revenue]]-Salesdta[[#This Row],[Product cost]]</f>
        <v>637</v>
      </c>
      <c r="S317" s="1" t="str">
        <f>IF(Salesdta[[#This Row],[Final Revenue]]&gt;1000,"Selected","Not Selected")</f>
        <v>Not Selected</v>
      </c>
    </row>
    <row r="318" spans="1:19" x14ac:dyDescent="0.35">
      <c r="A318" s="6" t="s">
        <v>2135</v>
      </c>
      <c r="B318" s="20">
        <v>45676</v>
      </c>
      <c r="C318" s="1" t="str">
        <f>TEXT(Salesdta[[#This Row],[Order_Date]],"mmmm")</f>
        <v>January</v>
      </c>
      <c r="D318" s="1" t="s">
        <v>1101</v>
      </c>
      <c r="E318" s="1" t="str">
        <f>VLOOKUP(Salesdta[[#This Row],[Customer_ID]],Customer_Data_[],6,TRUE)</f>
        <v>Female</v>
      </c>
      <c r="F318" s="1" t="str">
        <f>VLOOKUP(Salesdta[[#This Row],[Customer_ID]],Customer_Data_[],8,TRUE)</f>
        <v>Wisconsin</v>
      </c>
      <c r="G318" s="1" t="s">
        <v>1630</v>
      </c>
      <c r="H318" s="1" t="str">
        <f>VLOOKUP(Salesdta[[#This Row],[Product_ID]],Product_Data_1[],2,TRUE)</f>
        <v>USB External Hard Drive</v>
      </c>
      <c r="I318" s="1" t="str">
        <f>VLOOKUP(Salesdta[[#This Row],[Product_ID]],Product_Data_1[],3,TRUE)</f>
        <v>Electronics</v>
      </c>
      <c r="J318" s="1">
        <f>VLOOKUP(Salesdta[[#This Row],[Product_ID]],Product_Data_1[],7,TRUE)</f>
        <v>253</v>
      </c>
      <c r="K318" s="1" t="s">
        <v>1765</v>
      </c>
      <c r="L318" s="1" t="str">
        <f>VLOOKUP(Salesdta[[#This Row],[Store_ID]],Store_Data_1[],3,TRUE)</f>
        <v>South</v>
      </c>
      <c r="M318" s="1">
        <v>3</v>
      </c>
      <c r="N318" s="1">
        <v>307</v>
      </c>
      <c r="O318" s="12">
        <v>0.24</v>
      </c>
      <c r="P318" s="1" t="s">
        <v>1817</v>
      </c>
      <c r="Q318" s="1">
        <v>701</v>
      </c>
      <c r="R318" s="1">
        <f>Salesdta[[#This Row],[Final Revenue]]-Salesdta[[#This Row],[Product cost]]</f>
        <v>448</v>
      </c>
      <c r="S318" s="1" t="str">
        <f>IF(Salesdta[[#This Row],[Final Revenue]]&gt;1000,"Selected","Not Selected")</f>
        <v>Not Selected</v>
      </c>
    </row>
    <row r="319" spans="1:19" x14ac:dyDescent="0.35">
      <c r="A319" s="6" t="s">
        <v>2136</v>
      </c>
      <c r="B319" s="20">
        <v>45735</v>
      </c>
      <c r="C319" s="1" t="str">
        <f>TEXT(Salesdta[[#This Row],[Order_Date]],"mmmm")</f>
        <v>March</v>
      </c>
      <c r="D319" s="1" t="s">
        <v>1139</v>
      </c>
      <c r="E319" s="1" t="str">
        <f>VLOOKUP(Salesdta[[#This Row],[Customer_ID]],Customer_Data_[],6,TRUE)</f>
        <v>Female</v>
      </c>
      <c r="F319" s="1" t="str">
        <f>VLOOKUP(Salesdta[[#This Row],[Customer_ID]],Customer_Data_[],8,TRUE)</f>
        <v>Alaska</v>
      </c>
      <c r="G319" s="1" t="s">
        <v>1634</v>
      </c>
      <c r="H319" s="1" t="str">
        <f>VLOOKUP(Salesdta[[#This Row],[Product_ID]],Product_Data_1[],2,TRUE)</f>
        <v>High-Grip Football</v>
      </c>
      <c r="I319" s="1" t="str">
        <f>VLOOKUP(Salesdta[[#This Row],[Product_ID]],Product_Data_1[],3,TRUE)</f>
        <v>Sports</v>
      </c>
      <c r="J319" s="1">
        <f>VLOOKUP(Salesdta[[#This Row],[Product_ID]],Product_Data_1[],7,TRUE)</f>
        <v>319</v>
      </c>
      <c r="K319" s="1" t="s">
        <v>1800</v>
      </c>
      <c r="L319" s="1" t="str">
        <f>VLOOKUP(Salesdta[[#This Row],[Store_ID]],Store_Data_1[],3,TRUE)</f>
        <v>North</v>
      </c>
      <c r="M319" s="1">
        <v>1</v>
      </c>
      <c r="N319" s="1">
        <v>853</v>
      </c>
      <c r="O319" s="12">
        <v>0.19</v>
      </c>
      <c r="P319" s="1" t="s">
        <v>1822</v>
      </c>
      <c r="Q319" s="1">
        <v>691</v>
      </c>
      <c r="R319" s="1">
        <f>Salesdta[[#This Row],[Final Revenue]]-Salesdta[[#This Row],[Product cost]]</f>
        <v>372</v>
      </c>
      <c r="S319" s="1" t="str">
        <f>IF(Salesdta[[#This Row],[Final Revenue]]&gt;1000,"Selected","Not Selected")</f>
        <v>Not Selected</v>
      </c>
    </row>
    <row r="320" spans="1:19" x14ac:dyDescent="0.35">
      <c r="A320" s="6" t="s">
        <v>2137</v>
      </c>
      <c r="B320" s="20">
        <v>45286</v>
      </c>
      <c r="C320" s="1" t="str">
        <f>TEXT(Salesdta[[#This Row],[Order_Date]],"mmmm")</f>
        <v>December</v>
      </c>
      <c r="D320" s="1" t="s">
        <v>532</v>
      </c>
      <c r="E320" s="1" t="str">
        <f>VLOOKUP(Salesdta[[#This Row],[Customer_ID]],Customer_Data_[],6,TRUE)</f>
        <v>Female</v>
      </c>
      <c r="F320" s="1" t="str">
        <f>VLOOKUP(Salesdta[[#This Row],[Customer_ID]],Customer_Data_[],8,TRUE)</f>
        <v>North Carolina</v>
      </c>
      <c r="G320" s="1" t="s">
        <v>1638</v>
      </c>
      <c r="H320" s="1" t="str">
        <f>VLOOKUP(Salesdta[[#This Row],[Product_ID]],Product_Data_1[],2,TRUE)</f>
        <v>Makeup Brush Set</v>
      </c>
      <c r="I320" s="1" t="str">
        <f>VLOOKUP(Salesdta[[#This Row],[Product_ID]],Product_Data_1[],3,TRUE)</f>
        <v>Beauty</v>
      </c>
      <c r="J320" s="1">
        <f>VLOOKUP(Salesdta[[#This Row],[Product_ID]],Product_Data_1[],7,TRUE)</f>
        <v>254</v>
      </c>
      <c r="K320" s="1" t="s">
        <v>1762</v>
      </c>
      <c r="L320" s="1" t="str">
        <f>VLOOKUP(Salesdta[[#This Row],[Store_ID]],Store_Data_1[],3,TRUE)</f>
        <v>North</v>
      </c>
      <c r="M320" s="1">
        <v>1</v>
      </c>
      <c r="N320" s="1">
        <v>170</v>
      </c>
      <c r="O320" s="12">
        <v>0.22</v>
      </c>
      <c r="P320" s="1" t="s">
        <v>1817</v>
      </c>
      <c r="Q320" s="1">
        <v>132</v>
      </c>
      <c r="R320" s="1">
        <f>Salesdta[[#This Row],[Final Revenue]]-Salesdta[[#This Row],[Product cost]]</f>
        <v>-122</v>
      </c>
      <c r="S320" s="1" t="str">
        <f>IF(Salesdta[[#This Row],[Final Revenue]]&gt;1000,"Selected","Not Selected")</f>
        <v>Not Selected</v>
      </c>
    </row>
    <row r="321" spans="1:19" x14ac:dyDescent="0.35">
      <c r="A321" s="6" t="s">
        <v>2138</v>
      </c>
      <c r="B321" s="20">
        <v>45598</v>
      </c>
      <c r="C321" s="1" t="str">
        <f>TEXT(Salesdta[[#This Row],[Order_Date]],"mmmm")</f>
        <v>November</v>
      </c>
      <c r="D321" s="1" t="s">
        <v>1130</v>
      </c>
      <c r="E321" s="1" t="str">
        <f>VLOOKUP(Salesdta[[#This Row],[Customer_ID]],Customer_Data_[],6,TRUE)</f>
        <v>Male</v>
      </c>
      <c r="F321" s="1" t="str">
        <f>VLOOKUP(Salesdta[[#This Row],[Customer_ID]],Customer_Data_[],8,TRUE)</f>
        <v>Alaska</v>
      </c>
      <c r="G321" s="1" t="s">
        <v>1734</v>
      </c>
      <c r="H321" s="1" t="str">
        <f>VLOOKUP(Salesdta[[#This Row],[Product_ID]],Product_Data_1[],2,TRUE)</f>
        <v>Sports Stopwatch Basic</v>
      </c>
      <c r="I321" s="1" t="str">
        <f>VLOOKUP(Salesdta[[#This Row],[Product_ID]],Product_Data_1[],3,TRUE)</f>
        <v>Sports</v>
      </c>
      <c r="J321" s="1">
        <f>VLOOKUP(Salesdta[[#This Row],[Product_ID]],Product_Data_1[],7,TRUE)</f>
        <v>61</v>
      </c>
      <c r="K321" s="1" t="s">
        <v>1775</v>
      </c>
      <c r="L321" s="1" t="str">
        <f>VLOOKUP(Salesdta[[#This Row],[Store_ID]],Store_Data_1[],3,TRUE)</f>
        <v>South</v>
      </c>
      <c r="M321" s="1">
        <v>3</v>
      </c>
      <c r="N321" s="1">
        <v>269</v>
      </c>
      <c r="O321" s="12">
        <v>0.01</v>
      </c>
      <c r="P321" s="1" t="s">
        <v>1819</v>
      </c>
      <c r="Q321" s="1">
        <v>798</v>
      </c>
      <c r="R321" s="1">
        <f>Salesdta[[#This Row],[Final Revenue]]-Salesdta[[#This Row],[Product cost]]</f>
        <v>737</v>
      </c>
      <c r="S321" s="1" t="str">
        <f>IF(Salesdta[[#This Row],[Final Revenue]]&gt;1000,"Selected","Not Selected")</f>
        <v>Not Selected</v>
      </c>
    </row>
    <row r="322" spans="1:19" x14ac:dyDescent="0.35">
      <c r="A322" s="6" t="s">
        <v>2139</v>
      </c>
      <c r="B322" s="20">
        <v>45495</v>
      </c>
      <c r="C322" s="1" t="str">
        <f>TEXT(Salesdta[[#This Row],[Order_Date]],"mmmm")</f>
        <v>July</v>
      </c>
      <c r="D322" s="1" t="s">
        <v>746</v>
      </c>
      <c r="E322" s="1" t="str">
        <f>VLOOKUP(Salesdta[[#This Row],[Customer_ID]],Customer_Data_[],6,TRUE)</f>
        <v>Male</v>
      </c>
      <c r="F322" s="1" t="str">
        <f>VLOOKUP(Salesdta[[#This Row],[Customer_ID]],Customer_Data_[],8,TRUE)</f>
        <v>West Virginia</v>
      </c>
      <c r="G322" s="1" t="s">
        <v>1720</v>
      </c>
      <c r="H322" s="1" t="str">
        <f>VLOOKUP(Salesdta[[#This Row],[Product_ID]],Product_Data_1[],2,TRUE)</f>
        <v>Sports Wrist Sweatbands</v>
      </c>
      <c r="I322" s="1" t="str">
        <f>VLOOKUP(Salesdta[[#This Row],[Product_ID]],Product_Data_1[],3,TRUE)</f>
        <v>Sports</v>
      </c>
      <c r="J322" s="1">
        <f>VLOOKUP(Salesdta[[#This Row],[Product_ID]],Product_Data_1[],7,TRUE)</f>
        <v>131</v>
      </c>
      <c r="K322" s="1" t="s">
        <v>1748</v>
      </c>
      <c r="L322" s="1" t="str">
        <f>VLOOKUP(Salesdta[[#This Row],[Store_ID]],Store_Data_1[],3,TRUE)</f>
        <v>East</v>
      </c>
      <c r="M322" s="1">
        <v>4</v>
      </c>
      <c r="N322" s="1">
        <v>370</v>
      </c>
      <c r="O322" s="12">
        <v>0.22</v>
      </c>
      <c r="P322" s="1" t="s">
        <v>1822</v>
      </c>
      <c r="Q322" s="1">
        <v>1155</v>
      </c>
      <c r="R322" s="1">
        <f>Salesdta[[#This Row],[Final Revenue]]-Salesdta[[#This Row],[Product cost]]</f>
        <v>1024</v>
      </c>
      <c r="S322" s="1" t="str">
        <f>IF(Salesdta[[#This Row],[Final Revenue]]&gt;1000,"Selected","Not Selected")</f>
        <v>Selected</v>
      </c>
    </row>
    <row r="323" spans="1:19" x14ac:dyDescent="0.35">
      <c r="A323" s="6" t="s">
        <v>2140</v>
      </c>
      <c r="B323" s="20">
        <v>45766</v>
      </c>
      <c r="C323" s="1" t="str">
        <f>TEXT(Salesdta[[#This Row],[Order_Date]],"mmmm")</f>
        <v>April</v>
      </c>
      <c r="D323" s="1" t="s">
        <v>830</v>
      </c>
      <c r="E323" s="1" t="str">
        <f>VLOOKUP(Salesdta[[#This Row],[Customer_ID]],Customer_Data_[],6,TRUE)</f>
        <v>Female</v>
      </c>
      <c r="F323" s="1" t="str">
        <f>VLOOKUP(Salesdta[[#This Row],[Customer_ID]],Customer_Data_[],8,TRUE)</f>
        <v>Oregon</v>
      </c>
      <c r="G323" s="1" t="s">
        <v>1628</v>
      </c>
      <c r="H323" s="1" t="str">
        <f>VLOOKUP(Salesdta[[#This Row],[Product_ID]],Product_Data_1[],2,TRUE)</f>
        <v>Smart Home WiFi Camera</v>
      </c>
      <c r="I323" s="1" t="str">
        <f>VLOOKUP(Salesdta[[#This Row],[Product_ID]],Product_Data_1[],3,TRUE)</f>
        <v>Electronics</v>
      </c>
      <c r="J323" s="1">
        <f>VLOOKUP(Salesdta[[#This Row],[Product_ID]],Product_Data_1[],7,TRUE)</f>
        <v>451</v>
      </c>
      <c r="K323" s="1" t="s">
        <v>1757</v>
      </c>
      <c r="L323" s="1" t="str">
        <f>VLOOKUP(Salesdta[[#This Row],[Store_ID]],Store_Data_1[],3,TRUE)</f>
        <v>South</v>
      </c>
      <c r="M323" s="1">
        <v>2</v>
      </c>
      <c r="N323" s="1">
        <v>43</v>
      </c>
      <c r="O323" s="12">
        <v>0.18</v>
      </c>
      <c r="P323" s="1" t="s">
        <v>1819</v>
      </c>
      <c r="Q323" s="1">
        <v>70</v>
      </c>
      <c r="R323" s="1">
        <f>Salesdta[[#This Row],[Final Revenue]]-Salesdta[[#This Row],[Product cost]]</f>
        <v>-381</v>
      </c>
      <c r="S323" s="1" t="str">
        <f>IF(Salesdta[[#This Row],[Final Revenue]]&gt;1000,"Selected","Not Selected")</f>
        <v>Not Selected</v>
      </c>
    </row>
    <row r="324" spans="1:19" x14ac:dyDescent="0.35">
      <c r="A324" s="6" t="s">
        <v>2141</v>
      </c>
      <c r="B324" s="20">
        <v>45639</v>
      </c>
      <c r="C324" s="1" t="str">
        <f>TEXT(Salesdta[[#This Row],[Order_Date]],"mmmm")</f>
        <v>December</v>
      </c>
      <c r="D324" s="1" t="s">
        <v>905</v>
      </c>
      <c r="E324" s="1" t="str">
        <f>VLOOKUP(Salesdta[[#This Row],[Customer_ID]],Customer_Data_[],6,TRUE)</f>
        <v>Male</v>
      </c>
      <c r="F324" s="1" t="str">
        <f>VLOOKUP(Salesdta[[#This Row],[Customer_ID]],Customer_Data_[],8,TRUE)</f>
        <v>South Dakota</v>
      </c>
      <c r="G324" s="1" t="s">
        <v>1708</v>
      </c>
      <c r="H324" s="1" t="str">
        <f>VLOOKUP(Salesdta[[#This Row],[Product_ID]],Product_Data_1[],2,TRUE)</f>
        <v>Fitness Resistance Bands</v>
      </c>
      <c r="I324" s="1" t="str">
        <f>VLOOKUP(Salesdta[[#This Row],[Product_ID]],Product_Data_1[],3,TRUE)</f>
        <v>Sports</v>
      </c>
      <c r="J324" s="1">
        <f>VLOOKUP(Salesdta[[#This Row],[Product_ID]],Product_Data_1[],7,TRUE)</f>
        <v>153</v>
      </c>
      <c r="K324" s="1" t="s">
        <v>1748</v>
      </c>
      <c r="L324" s="1" t="str">
        <f>VLOOKUP(Salesdta[[#This Row],[Store_ID]],Store_Data_1[],3,TRUE)</f>
        <v>East</v>
      </c>
      <c r="M324" s="1">
        <v>4</v>
      </c>
      <c r="N324" s="1">
        <v>854</v>
      </c>
      <c r="O324" s="12">
        <v>7.0000000000000007E-2</v>
      </c>
      <c r="P324" s="1" t="s">
        <v>1819</v>
      </c>
      <c r="Q324" s="1">
        <v>3178</v>
      </c>
      <c r="R324" s="1">
        <f>Salesdta[[#This Row],[Final Revenue]]-Salesdta[[#This Row],[Product cost]]</f>
        <v>3025</v>
      </c>
      <c r="S324" s="1" t="str">
        <f>IF(Salesdta[[#This Row],[Final Revenue]]&gt;1000,"Selected","Not Selected")</f>
        <v>Selected</v>
      </c>
    </row>
    <row r="325" spans="1:19" x14ac:dyDescent="0.35">
      <c r="A325" s="6" t="s">
        <v>2142</v>
      </c>
      <c r="B325" s="20">
        <v>45774</v>
      </c>
      <c r="C325" s="1" t="str">
        <f>TEXT(Salesdta[[#This Row],[Order_Date]],"mmmm")</f>
        <v>April</v>
      </c>
      <c r="D325" s="1" t="s">
        <v>353</v>
      </c>
      <c r="E325" s="1" t="str">
        <f>VLOOKUP(Salesdta[[#This Row],[Customer_ID]],Customer_Data_[],6,TRUE)</f>
        <v>Female</v>
      </c>
      <c r="F325" s="1" t="str">
        <f>VLOOKUP(Salesdta[[#This Row],[Customer_ID]],Customer_Data_[],8,TRUE)</f>
        <v>Texas</v>
      </c>
      <c r="G325" s="1" t="s">
        <v>1592</v>
      </c>
      <c r="H325" s="1" t="str">
        <f>VLOOKUP(Salesdta[[#This Row],[Product_ID]],Product_Data_1[],2,TRUE)</f>
        <v>Foldable Camping Chair</v>
      </c>
      <c r="I325" s="1" t="str">
        <f>VLOOKUP(Salesdta[[#This Row],[Product_ID]],Product_Data_1[],3,TRUE)</f>
        <v>Sports</v>
      </c>
      <c r="J325" s="1">
        <f>VLOOKUP(Salesdta[[#This Row],[Product_ID]],Product_Data_1[],7,TRUE)</f>
        <v>166</v>
      </c>
      <c r="K325" s="1" t="s">
        <v>1800</v>
      </c>
      <c r="L325" s="1" t="str">
        <f>VLOOKUP(Salesdta[[#This Row],[Store_ID]],Store_Data_1[],3,TRUE)</f>
        <v>North</v>
      </c>
      <c r="M325" s="1">
        <v>2</v>
      </c>
      <c r="N325" s="1">
        <v>410</v>
      </c>
      <c r="O325" s="12">
        <v>0.06</v>
      </c>
      <c r="P325" s="1" t="s">
        <v>1822</v>
      </c>
      <c r="Q325" s="1">
        <v>770</v>
      </c>
      <c r="R325" s="1">
        <f>Salesdta[[#This Row],[Final Revenue]]-Salesdta[[#This Row],[Product cost]]</f>
        <v>604</v>
      </c>
      <c r="S325" s="1" t="str">
        <f>IF(Salesdta[[#This Row],[Final Revenue]]&gt;1000,"Selected","Not Selected")</f>
        <v>Not Selected</v>
      </c>
    </row>
    <row r="326" spans="1:19" x14ac:dyDescent="0.35">
      <c r="A326" s="6" t="s">
        <v>2143</v>
      </c>
      <c r="B326" s="20">
        <v>45856</v>
      </c>
      <c r="C326" s="1" t="str">
        <f>TEXT(Salesdta[[#This Row],[Order_Date]],"mmmm")</f>
        <v>July</v>
      </c>
      <c r="D326" s="1" t="s">
        <v>732</v>
      </c>
      <c r="E326" s="1" t="str">
        <f>VLOOKUP(Salesdta[[#This Row],[Customer_ID]],Customer_Data_[],6,TRUE)</f>
        <v>Female</v>
      </c>
      <c r="F326" s="1" t="str">
        <f>VLOOKUP(Salesdta[[#This Row],[Customer_ID]],Customer_Data_[],8,TRUE)</f>
        <v>Utah</v>
      </c>
      <c r="G326" s="1" t="s">
        <v>1549</v>
      </c>
      <c r="H326" s="1" t="str">
        <f>VLOOKUP(Salesdta[[#This Row],[Product_ID]],Product_Data_1[],2,TRUE)</f>
        <v>Portable Power Bank</v>
      </c>
      <c r="I326" s="1" t="str">
        <f>VLOOKUP(Salesdta[[#This Row],[Product_ID]],Product_Data_1[],3,TRUE)</f>
        <v>Electronics</v>
      </c>
      <c r="J326" s="1">
        <f>VLOOKUP(Salesdta[[#This Row],[Product_ID]],Product_Data_1[],7,TRUE)</f>
        <v>326</v>
      </c>
      <c r="K326" s="1" t="s">
        <v>1778</v>
      </c>
      <c r="L326" s="1" t="str">
        <f>VLOOKUP(Salesdta[[#This Row],[Store_ID]],Store_Data_1[],3,TRUE)</f>
        <v>West</v>
      </c>
      <c r="M326" s="1">
        <v>1</v>
      </c>
      <c r="N326" s="1">
        <v>729</v>
      </c>
      <c r="O326" s="12">
        <v>0.28000000000000003</v>
      </c>
      <c r="P326" s="1" t="s">
        <v>1819</v>
      </c>
      <c r="Q326" s="1">
        <v>525</v>
      </c>
      <c r="R326" s="1">
        <f>Salesdta[[#This Row],[Final Revenue]]-Salesdta[[#This Row],[Product cost]]</f>
        <v>199</v>
      </c>
      <c r="S326" s="1" t="str">
        <f>IF(Salesdta[[#This Row],[Final Revenue]]&gt;1000,"Selected","Not Selected")</f>
        <v>Not Selected</v>
      </c>
    </row>
    <row r="327" spans="1:19" x14ac:dyDescent="0.35">
      <c r="A327" s="6" t="s">
        <v>2144</v>
      </c>
      <c r="B327" s="20">
        <v>45457</v>
      </c>
      <c r="C327" s="1" t="str">
        <f>TEXT(Salesdta[[#This Row],[Order_Date]],"mmmm")</f>
        <v>June</v>
      </c>
      <c r="D327" s="1" t="s">
        <v>329</v>
      </c>
      <c r="E327" s="1" t="str">
        <f>VLOOKUP(Salesdta[[#This Row],[Customer_ID]],Customer_Data_[],6,TRUE)</f>
        <v>Female</v>
      </c>
      <c r="F327" s="1" t="str">
        <f>VLOOKUP(Salesdta[[#This Row],[Customer_ID]],Customer_Data_[],8,TRUE)</f>
        <v>Tennessee</v>
      </c>
      <c r="G327" s="1" t="s">
        <v>1564</v>
      </c>
      <c r="H327" s="1" t="str">
        <f>VLOOKUP(Salesdta[[#This Row],[Product_ID]],Product_Data_1[],2,TRUE)</f>
        <v>Men's Graphic T-Shirt</v>
      </c>
      <c r="I327" s="1" t="str">
        <f>VLOOKUP(Salesdta[[#This Row],[Product_ID]],Product_Data_1[],3,TRUE)</f>
        <v>Clothing</v>
      </c>
      <c r="J327" s="1">
        <f>VLOOKUP(Salesdta[[#This Row],[Product_ID]],Product_Data_1[],7,TRUE)</f>
        <v>343</v>
      </c>
      <c r="K327" s="1" t="s">
        <v>1788</v>
      </c>
      <c r="L327" s="1" t="str">
        <f>VLOOKUP(Salesdta[[#This Row],[Store_ID]],Store_Data_1[],3,TRUE)</f>
        <v>North</v>
      </c>
      <c r="M327" s="1">
        <v>1</v>
      </c>
      <c r="N327" s="1">
        <v>58</v>
      </c>
      <c r="O327" s="12">
        <v>0.13</v>
      </c>
      <c r="P327" s="1" t="s">
        <v>1819</v>
      </c>
      <c r="Q327" s="1">
        <v>50</v>
      </c>
      <c r="R327" s="1">
        <f>Salesdta[[#This Row],[Final Revenue]]-Salesdta[[#This Row],[Product cost]]</f>
        <v>-293</v>
      </c>
      <c r="S327" s="1" t="str">
        <f>IF(Salesdta[[#This Row],[Final Revenue]]&gt;1000,"Selected","Not Selected")</f>
        <v>Not Selected</v>
      </c>
    </row>
    <row r="328" spans="1:19" x14ac:dyDescent="0.35">
      <c r="A328" s="6" t="s">
        <v>2145</v>
      </c>
      <c r="B328" s="20">
        <v>45281</v>
      </c>
      <c r="C328" s="1" t="str">
        <f>TEXT(Salesdta[[#This Row],[Order_Date]],"mmmm")</f>
        <v>December</v>
      </c>
      <c r="D328" s="1" t="s">
        <v>128</v>
      </c>
      <c r="E328" s="1" t="str">
        <f>VLOOKUP(Salesdta[[#This Row],[Customer_ID]],Customer_Data_[],6,TRUE)</f>
        <v>Female</v>
      </c>
      <c r="F328" s="1" t="str">
        <f>VLOOKUP(Salesdta[[#This Row],[Customer_ID]],Customer_Data_[],8,TRUE)</f>
        <v>Arizona</v>
      </c>
      <c r="G328" s="1" t="s">
        <v>1576</v>
      </c>
      <c r="H328" s="1" t="str">
        <f>VLOOKUP(Salesdta[[#This Row],[Product_ID]],Product_Data_1[],2,TRUE)</f>
        <v>Beard Grooming Kit</v>
      </c>
      <c r="I328" s="1" t="str">
        <f>VLOOKUP(Salesdta[[#This Row],[Product_ID]],Product_Data_1[],3,TRUE)</f>
        <v>Beauty</v>
      </c>
      <c r="J328" s="1">
        <f>VLOOKUP(Salesdta[[#This Row],[Product_ID]],Product_Data_1[],7,TRUE)</f>
        <v>337</v>
      </c>
      <c r="K328" s="1" t="s">
        <v>1748</v>
      </c>
      <c r="L328" s="1" t="str">
        <f>VLOOKUP(Salesdta[[#This Row],[Store_ID]],Store_Data_1[],3,TRUE)</f>
        <v>East</v>
      </c>
      <c r="M328" s="1">
        <v>1</v>
      </c>
      <c r="N328" s="1">
        <v>791</v>
      </c>
      <c r="O328" s="12">
        <v>0.06</v>
      </c>
      <c r="P328" s="1" t="s">
        <v>1819</v>
      </c>
      <c r="Q328" s="1">
        <v>744</v>
      </c>
      <c r="R328" s="1">
        <f>Salesdta[[#This Row],[Final Revenue]]-Salesdta[[#This Row],[Product cost]]</f>
        <v>407</v>
      </c>
      <c r="S328" s="1" t="str">
        <f>IF(Salesdta[[#This Row],[Final Revenue]]&gt;1000,"Selected","Not Selected")</f>
        <v>Not Selected</v>
      </c>
    </row>
    <row r="329" spans="1:19" x14ac:dyDescent="0.35">
      <c r="A329" s="6" t="s">
        <v>2146</v>
      </c>
      <c r="B329" s="20">
        <v>45881</v>
      </c>
      <c r="C329" s="1" t="str">
        <f>TEXT(Salesdta[[#This Row],[Order_Date]],"mmmm")</f>
        <v>August</v>
      </c>
      <c r="D329" s="1" t="s">
        <v>1207</v>
      </c>
      <c r="E329" s="1" t="str">
        <f>VLOOKUP(Salesdta[[#This Row],[Customer_ID]],Customer_Data_[],6,TRUE)</f>
        <v>Male</v>
      </c>
      <c r="F329" s="1" t="str">
        <f>VLOOKUP(Salesdta[[#This Row],[Customer_ID]],Customer_Data_[],8,TRUE)</f>
        <v>Missouri</v>
      </c>
      <c r="G329" s="1" t="s">
        <v>1708</v>
      </c>
      <c r="H329" s="1" t="str">
        <f>VLOOKUP(Salesdta[[#This Row],[Product_ID]],Product_Data_1[],2,TRUE)</f>
        <v>Fitness Resistance Bands</v>
      </c>
      <c r="I329" s="1" t="str">
        <f>VLOOKUP(Salesdta[[#This Row],[Product_ID]],Product_Data_1[],3,TRUE)</f>
        <v>Sports</v>
      </c>
      <c r="J329" s="1">
        <f>VLOOKUP(Salesdta[[#This Row],[Product_ID]],Product_Data_1[],7,TRUE)</f>
        <v>153</v>
      </c>
      <c r="K329" s="1" t="s">
        <v>1778</v>
      </c>
      <c r="L329" s="1" t="str">
        <f>VLOOKUP(Salesdta[[#This Row],[Store_ID]],Store_Data_1[],3,TRUE)</f>
        <v>West</v>
      </c>
      <c r="M329" s="1">
        <v>3</v>
      </c>
      <c r="N329" s="1">
        <v>788</v>
      </c>
      <c r="O329" s="12">
        <v>0.06</v>
      </c>
      <c r="P329" s="1" t="s">
        <v>1819</v>
      </c>
      <c r="Q329" s="1">
        <v>2222</v>
      </c>
      <c r="R329" s="1">
        <f>Salesdta[[#This Row],[Final Revenue]]-Salesdta[[#This Row],[Product cost]]</f>
        <v>2069</v>
      </c>
      <c r="S329" s="1" t="str">
        <f>IF(Salesdta[[#This Row],[Final Revenue]]&gt;1000,"Selected","Not Selected")</f>
        <v>Selected</v>
      </c>
    </row>
    <row r="330" spans="1:19" x14ac:dyDescent="0.35">
      <c r="A330" s="6" t="s">
        <v>2147</v>
      </c>
      <c r="B330" s="20">
        <v>45251</v>
      </c>
      <c r="C330" s="1" t="str">
        <f>TEXT(Salesdta[[#This Row],[Order_Date]],"mmmm")</f>
        <v>November</v>
      </c>
      <c r="D330" s="1" t="s">
        <v>752</v>
      </c>
      <c r="E330" s="1" t="str">
        <f>VLOOKUP(Salesdta[[#This Row],[Customer_ID]],Customer_Data_[],6,TRUE)</f>
        <v>Female</v>
      </c>
      <c r="F330" s="1" t="str">
        <f>VLOOKUP(Salesdta[[#This Row],[Customer_ID]],Customer_Data_[],8,TRUE)</f>
        <v>Delaware</v>
      </c>
      <c r="G330" s="1" t="s">
        <v>1726</v>
      </c>
      <c r="H330" s="1" t="str">
        <f>VLOOKUP(Salesdta[[#This Row],[Product_ID]],Product_Data_1[],2,TRUE)</f>
        <v>Women's High Heels</v>
      </c>
      <c r="I330" s="1" t="str">
        <f>VLOOKUP(Salesdta[[#This Row],[Product_ID]],Product_Data_1[],3,TRUE)</f>
        <v>Clothing</v>
      </c>
      <c r="J330" s="1">
        <f>VLOOKUP(Salesdta[[#This Row],[Product_ID]],Product_Data_1[],7,TRUE)</f>
        <v>438</v>
      </c>
      <c r="K330" s="1" t="s">
        <v>1775</v>
      </c>
      <c r="L330" s="1" t="str">
        <f>VLOOKUP(Salesdta[[#This Row],[Store_ID]],Store_Data_1[],3,TRUE)</f>
        <v>South</v>
      </c>
      <c r="M330" s="1">
        <v>2</v>
      </c>
      <c r="N330" s="1">
        <v>534</v>
      </c>
      <c r="O330" s="12">
        <v>0.13</v>
      </c>
      <c r="P330" s="1" t="s">
        <v>1817</v>
      </c>
      <c r="Q330" s="1">
        <v>929</v>
      </c>
      <c r="R330" s="1">
        <f>Salesdta[[#This Row],[Final Revenue]]-Salesdta[[#This Row],[Product cost]]</f>
        <v>491</v>
      </c>
      <c r="S330" s="1" t="str">
        <f>IF(Salesdta[[#This Row],[Final Revenue]]&gt;1000,"Selected","Not Selected")</f>
        <v>Not Selected</v>
      </c>
    </row>
    <row r="331" spans="1:19" x14ac:dyDescent="0.35">
      <c r="A331" s="6" t="s">
        <v>2148</v>
      </c>
      <c r="B331" s="20">
        <v>45287</v>
      </c>
      <c r="C331" s="1" t="str">
        <f>TEXT(Salesdta[[#This Row],[Order_Date]],"mmmm")</f>
        <v>December</v>
      </c>
      <c r="D331" s="1" t="s">
        <v>663</v>
      </c>
      <c r="E331" s="1" t="str">
        <f>VLOOKUP(Salesdta[[#This Row],[Customer_ID]],Customer_Data_[],6,TRUE)</f>
        <v>Male</v>
      </c>
      <c r="F331" s="1" t="str">
        <f>VLOOKUP(Salesdta[[#This Row],[Customer_ID]],Customer_Data_[],8,TRUE)</f>
        <v>Virginia</v>
      </c>
      <c r="G331" s="1" t="s">
        <v>1632</v>
      </c>
      <c r="H331" s="1" t="str">
        <f>VLOOKUP(Salesdta[[#This Row],[Product_ID]],Product_Data_1[],2,TRUE)</f>
        <v>Adjustable Jump Rope</v>
      </c>
      <c r="I331" s="1" t="str">
        <f>VLOOKUP(Salesdta[[#This Row],[Product_ID]],Product_Data_1[],3,TRUE)</f>
        <v>Sports</v>
      </c>
      <c r="J331" s="1">
        <f>VLOOKUP(Salesdta[[#This Row],[Product_ID]],Product_Data_1[],7,TRUE)</f>
        <v>167</v>
      </c>
      <c r="K331" s="1" t="s">
        <v>1800</v>
      </c>
      <c r="L331" s="1" t="str">
        <f>VLOOKUP(Salesdta[[#This Row],[Store_ID]],Store_Data_1[],3,TRUE)</f>
        <v>North</v>
      </c>
      <c r="M331" s="1">
        <v>1</v>
      </c>
      <c r="N331" s="1">
        <v>442</v>
      </c>
      <c r="O331" s="12">
        <v>0.14000000000000001</v>
      </c>
      <c r="P331" s="1" t="s">
        <v>1817</v>
      </c>
      <c r="Q331" s="1">
        <v>380</v>
      </c>
      <c r="R331" s="1">
        <f>Salesdta[[#This Row],[Final Revenue]]-Salesdta[[#This Row],[Product cost]]</f>
        <v>213</v>
      </c>
      <c r="S331" s="1" t="str">
        <f>IF(Salesdta[[#This Row],[Final Revenue]]&gt;1000,"Selected","Not Selected")</f>
        <v>Not Selected</v>
      </c>
    </row>
    <row r="332" spans="1:19" x14ac:dyDescent="0.35">
      <c r="A332" s="6" t="s">
        <v>2149</v>
      </c>
      <c r="B332" s="20">
        <v>45281</v>
      </c>
      <c r="C332" s="1" t="str">
        <f>TEXT(Salesdta[[#This Row],[Order_Date]],"mmmm")</f>
        <v>December</v>
      </c>
      <c r="D332" s="1" t="s">
        <v>176</v>
      </c>
      <c r="E332" s="1" t="str">
        <f>VLOOKUP(Salesdta[[#This Row],[Customer_ID]],Customer_Data_[],6,TRUE)</f>
        <v>Female</v>
      </c>
      <c r="F332" s="1" t="str">
        <f>VLOOKUP(Salesdta[[#This Row],[Customer_ID]],Customer_Data_[],8,TRUE)</f>
        <v>Ohio</v>
      </c>
      <c r="G332" s="1" t="s">
        <v>1590</v>
      </c>
      <c r="H332" s="1" t="str">
        <f>VLOOKUP(Salesdta[[#This Row],[Product_ID]],Product_Data_1[],2,TRUE)</f>
        <v>Men's Formal Shirt</v>
      </c>
      <c r="I332" s="1" t="str">
        <f>VLOOKUP(Salesdta[[#This Row],[Product_ID]],Product_Data_1[],3,TRUE)</f>
        <v>Clothing</v>
      </c>
      <c r="J332" s="1">
        <f>VLOOKUP(Salesdta[[#This Row],[Product_ID]],Product_Data_1[],7,TRUE)</f>
        <v>254</v>
      </c>
      <c r="K332" s="1" t="s">
        <v>1797</v>
      </c>
      <c r="L332" s="1" t="str">
        <f>VLOOKUP(Salesdta[[#This Row],[Store_ID]],Store_Data_1[],3,TRUE)</f>
        <v>North</v>
      </c>
      <c r="M332" s="1">
        <v>1</v>
      </c>
      <c r="N332" s="1">
        <v>352</v>
      </c>
      <c r="O332" s="12">
        <v>0.14000000000000001</v>
      </c>
      <c r="P332" s="1" t="s">
        <v>1819</v>
      </c>
      <c r="Q332" s="1">
        <v>303</v>
      </c>
      <c r="R332" s="1">
        <f>Salesdta[[#This Row],[Final Revenue]]-Salesdta[[#This Row],[Product cost]]</f>
        <v>49</v>
      </c>
      <c r="S332" s="1" t="str">
        <f>IF(Salesdta[[#This Row],[Final Revenue]]&gt;1000,"Selected","Not Selected")</f>
        <v>Not Selected</v>
      </c>
    </row>
    <row r="333" spans="1:19" x14ac:dyDescent="0.35">
      <c r="A333" s="6" t="s">
        <v>2150</v>
      </c>
      <c r="B333" s="20">
        <v>45295</v>
      </c>
      <c r="C333" s="1" t="str">
        <f>TEXT(Salesdta[[#This Row],[Order_Date]],"mmmm")</f>
        <v>January</v>
      </c>
      <c r="D333" s="1" t="s">
        <v>422</v>
      </c>
      <c r="E333" s="1" t="str">
        <f>VLOOKUP(Salesdta[[#This Row],[Customer_ID]],Customer_Data_[],6,TRUE)</f>
        <v>Male</v>
      </c>
      <c r="F333" s="1" t="str">
        <f>VLOOKUP(Salesdta[[#This Row],[Customer_ID]],Customer_Data_[],8,TRUE)</f>
        <v>Iowa</v>
      </c>
      <c r="G333" s="1" t="s">
        <v>1568</v>
      </c>
      <c r="H333" s="1" t="str">
        <f>VLOOKUP(Salesdta[[#This Row],[Product_ID]],Product_Data_1[],2,TRUE)</f>
        <v>Hair Strengthening Shampoo</v>
      </c>
      <c r="I333" s="1" t="str">
        <f>VLOOKUP(Salesdta[[#This Row],[Product_ID]],Product_Data_1[],3,TRUE)</f>
        <v>Beauty</v>
      </c>
      <c r="J333" s="1">
        <f>VLOOKUP(Salesdta[[#This Row],[Product_ID]],Product_Data_1[],7,TRUE)</f>
        <v>116</v>
      </c>
      <c r="K333" s="1" t="s">
        <v>1797</v>
      </c>
      <c r="L333" s="1" t="str">
        <f>VLOOKUP(Salesdta[[#This Row],[Store_ID]],Store_Data_1[],3,TRUE)</f>
        <v>North</v>
      </c>
      <c r="M333" s="1">
        <v>2</v>
      </c>
      <c r="N333" s="1">
        <v>563</v>
      </c>
      <c r="O333" s="12">
        <v>0.2</v>
      </c>
      <c r="P333" s="1" t="s">
        <v>1817</v>
      </c>
      <c r="Q333" s="1">
        <v>901</v>
      </c>
      <c r="R333" s="1">
        <f>Salesdta[[#This Row],[Final Revenue]]-Salesdta[[#This Row],[Product cost]]</f>
        <v>785</v>
      </c>
      <c r="S333" s="1" t="str">
        <f>IF(Salesdta[[#This Row],[Final Revenue]]&gt;1000,"Selected","Not Selected")</f>
        <v>Not Selected</v>
      </c>
    </row>
    <row r="334" spans="1:19" x14ac:dyDescent="0.35">
      <c r="A334" s="6" t="s">
        <v>2151</v>
      </c>
      <c r="B334" s="20">
        <v>45260</v>
      </c>
      <c r="C334" s="1" t="str">
        <f>TEXT(Salesdta[[#This Row],[Order_Date]],"mmmm")</f>
        <v>November</v>
      </c>
      <c r="D334" s="1" t="s">
        <v>523</v>
      </c>
      <c r="E334" s="1" t="str">
        <f>VLOOKUP(Salesdta[[#This Row],[Customer_ID]],Customer_Data_[],6,TRUE)</f>
        <v>Male</v>
      </c>
      <c r="F334" s="1" t="str">
        <f>VLOOKUP(Salesdta[[#This Row],[Customer_ID]],Customer_Data_[],8,TRUE)</f>
        <v>North Dakota</v>
      </c>
      <c r="G334" s="1" t="s">
        <v>1654</v>
      </c>
      <c r="H334" s="1" t="str">
        <f>VLOOKUP(Salesdta[[#This Row],[Product_ID]],Product_Data_1[],2,TRUE)</f>
        <v>Ceramic Plant Pot</v>
      </c>
      <c r="I334" s="1" t="str">
        <f>VLOOKUP(Salesdta[[#This Row],[Product_ID]],Product_Data_1[],3,TRUE)</f>
        <v>Home</v>
      </c>
      <c r="J334" s="1">
        <f>VLOOKUP(Salesdta[[#This Row],[Product_ID]],Product_Data_1[],7,TRUE)</f>
        <v>82</v>
      </c>
      <c r="K334" s="1" t="s">
        <v>1775</v>
      </c>
      <c r="L334" s="1" t="str">
        <f>VLOOKUP(Salesdta[[#This Row],[Store_ID]],Store_Data_1[],3,TRUE)</f>
        <v>South</v>
      </c>
      <c r="M334" s="1">
        <v>1</v>
      </c>
      <c r="N334" s="1">
        <v>523</v>
      </c>
      <c r="O334" s="12">
        <v>0.12</v>
      </c>
      <c r="P334" s="1" t="s">
        <v>1819</v>
      </c>
      <c r="Q334" s="1">
        <v>460</v>
      </c>
      <c r="R334" s="1">
        <f>Salesdta[[#This Row],[Final Revenue]]-Salesdta[[#This Row],[Product cost]]</f>
        <v>378</v>
      </c>
      <c r="S334" s="1" t="str">
        <f>IF(Salesdta[[#This Row],[Final Revenue]]&gt;1000,"Selected","Not Selected")</f>
        <v>Not Selected</v>
      </c>
    </row>
    <row r="335" spans="1:19" x14ac:dyDescent="0.35">
      <c r="A335" s="6" t="s">
        <v>2152</v>
      </c>
      <c r="B335" s="20">
        <v>45822</v>
      </c>
      <c r="C335" s="1" t="str">
        <f>TEXT(Salesdta[[#This Row],[Order_Date]],"mmmm")</f>
        <v>June</v>
      </c>
      <c r="D335" s="1" t="s">
        <v>211</v>
      </c>
      <c r="E335" s="1" t="str">
        <f>VLOOKUP(Salesdta[[#This Row],[Customer_ID]],Customer_Data_[],6,TRUE)</f>
        <v>Female</v>
      </c>
      <c r="F335" s="1" t="str">
        <f>VLOOKUP(Salesdta[[#This Row],[Customer_ID]],Customer_Data_[],8,TRUE)</f>
        <v>Rhode Island</v>
      </c>
      <c r="G335" s="1" t="s">
        <v>1620</v>
      </c>
      <c r="H335" s="1" t="str">
        <f>VLOOKUP(Salesdta[[#This Row],[Product_ID]],Product_Data_1[],2,TRUE)</f>
        <v>Sports Water Hydration Pack</v>
      </c>
      <c r="I335" s="1" t="str">
        <f>VLOOKUP(Salesdta[[#This Row],[Product_ID]],Product_Data_1[],3,TRUE)</f>
        <v>Sports</v>
      </c>
      <c r="J335" s="1">
        <f>VLOOKUP(Salesdta[[#This Row],[Product_ID]],Product_Data_1[],7,TRUE)</f>
        <v>136</v>
      </c>
      <c r="K335" s="1" t="s">
        <v>1795</v>
      </c>
      <c r="L335" s="1" t="str">
        <f>VLOOKUP(Salesdta[[#This Row],[Store_ID]],Store_Data_1[],3,TRUE)</f>
        <v>North</v>
      </c>
      <c r="M335" s="1">
        <v>2</v>
      </c>
      <c r="N335" s="1">
        <v>834</v>
      </c>
      <c r="O335" s="12">
        <v>0.24</v>
      </c>
      <c r="P335" s="1" t="s">
        <v>1819</v>
      </c>
      <c r="Q335" s="1">
        <v>1267</v>
      </c>
      <c r="R335" s="1">
        <f>Salesdta[[#This Row],[Final Revenue]]-Salesdta[[#This Row],[Product cost]]</f>
        <v>1131</v>
      </c>
      <c r="S335" s="1" t="str">
        <f>IF(Salesdta[[#This Row],[Final Revenue]]&gt;1000,"Selected","Not Selected")</f>
        <v>Selected</v>
      </c>
    </row>
    <row r="336" spans="1:19" x14ac:dyDescent="0.35">
      <c r="A336" s="6" t="s">
        <v>2153</v>
      </c>
      <c r="B336" s="20">
        <v>45752</v>
      </c>
      <c r="C336" s="1" t="str">
        <f>TEXT(Salesdta[[#This Row],[Order_Date]],"mmmm")</f>
        <v>April</v>
      </c>
      <c r="D336" s="1" t="s">
        <v>857</v>
      </c>
      <c r="E336" s="1" t="str">
        <f>VLOOKUP(Salesdta[[#This Row],[Customer_ID]],Customer_Data_[],6,TRUE)</f>
        <v>Female</v>
      </c>
      <c r="F336" s="1" t="str">
        <f>VLOOKUP(Salesdta[[#This Row],[Customer_ID]],Customer_Data_[],8,TRUE)</f>
        <v>Louisiana</v>
      </c>
      <c r="G336" s="1" t="s">
        <v>1582</v>
      </c>
      <c r="H336" s="1" t="str">
        <f>VLOOKUP(Salesdta[[#This Row],[Product_ID]],Product_Data_1[],2,TRUE)</f>
        <v>Knee Support Brace</v>
      </c>
      <c r="I336" s="1" t="str">
        <f>VLOOKUP(Salesdta[[#This Row],[Product_ID]],Product_Data_1[],3,TRUE)</f>
        <v>Sports</v>
      </c>
      <c r="J336" s="1">
        <f>VLOOKUP(Salesdta[[#This Row],[Product_ID]],Product_Data_1[],7,TRUE)</f>
        <v>21</v>
      </c>
      <c r="K336" s="1" t="s">
        <v>1797</v>
      </c>
      <c r="L336" s="1" t="str">
        <f>VLOOKUP(Salesdta[[#This Row],[Store_ID]],Store_Data_1[],3,TRUE)</f>
        <v>North</v>
      </c>
      <c r="M336" s="1">
        <v>3</v>
      </c>
      <c r="N336" s="1">
        <v>543</v>
      </c>
      <c r="O336" s="12">
        <v>0.05</v>
      </c>
      <c r="P336" s="1" t="s">
        <v>1822</v>
      </c>
      <c r="Q336" s="1">
        <v>1548</v>
      </c>
      <c r="R336" s="1">
        <f>Salesdta[[#This Row],[Final Revenue]]-Salesdta[[#This Row],[Product cost]]</f>
        <v>1527</v>
      </c>
      <c r="S336" s="1" t="str">
        <f>IF(Salesdta[[#This Row],[Final Revenue]]&gt;1000,"Selected","Not Selected")</f>
        <v>Selected</v>
      </c>
    </row>
    <row r="337" spans="1:19" x14ac:dyDescent="0.35">
      <c r="A337" s="6" t="s">
        <v>2154</v>
      </c>
      <c r="B337" s="20">
        <v>45677</v>
      </c>
      <c r="C337" s="1" t="str">
        <f>TEXT(Salesdta[[#This Row],[Order_Date]],"mmmm")</f>
        <v>January</v>
      </c>
      <c r="D337" s="1" t="s">
        <v>881</v>
      </c>
      <c r="E337" s="1" t="str">
        <f>VLOOKUP(Salesdta[[#This Row],[Customer_ID]],Customer_Data_[],6,TRUE)</f>
        <v>Female</v>
      </c>
      <c r="F337" s="1" t="str">
        <f>VLOOKUP(Salesdta[[#This Row],[Customer_ID]],Customer_Data_[],8,TRUE)</f>
        <v>Rhode Island</v>
      </c>
      <c r="G337" s="1" t="s">
        <v>1720</v>
      </c>
      <c r="H337" s="1" t="str">
        <f>VLOOKUP(Salesdta[[#This Row],[Product_ID]],Product_Data_1[],2,TRUE)</f>
        <v>Sports Wrist Sweatbands</v>
      </c>
      <c r="I337" s="1" t="str">
        <f>VLOOKUP(Salesdta[[#This Row],[Product_ID]],Product_Data_1[],3,TRUE)</f>
        <v>Sports</v>
      </c>
      <c r="J337" s="1">
        <f>VLOOKUP(Salesdta[[#This Row],[Product_ID]],Product_Data_1[],7,TRUE)</f>
        <v>131</v>
      </c>
      <c r="K337" s="1" t="s">
        <v>1757</v>
      </c>
      <c r="L337" s="1" t="str">
        <f>VLOOKUP(Salesdta[[#This Row],[Store_ID]],Store_Data_1[],3,TRUE)</f>
        <v>South</v>
      </c>
      <c r="M337" s="1">
        <v>3</v>
      </c>
      <c r="N337" s="1">
        <v>691</v>
      </c>
      <c r="O337" s="12">
        <v>0.12</v>
      </c>
      <c r="P337" s="1" t="s">
        <v>1822</v>
      </c>
      <c r="Q337" s="1">
        <v>1824</v>
      </c>
      <c r="R337" s="1">
        <f>Salesdta[[#This Row],[Final Revenue]]-Salesdta[[#This Row],[Product cost]]</f>
        <v>1693</v>
      </c>
      <c r="S337" s="1" t="str">
        <f>IF(Salesdta[[#This Row],[Final Revenue]]&gt;1000,"Selected","Not Selected")</f>
        <v>Selected</v>
      </c>
    </row>
    <row r="338" spans="1:19" x14ac:dyDescent="0.35">
      <c r="A338" s="6" t="s">
        <v>2155</v>
      </c>
      <c r="B338" s="20">
        <v>45389</v>
      </c>
      <c r="C338" s="1" t="str">
        <f>TEXT(Salesdta[[#This Row],[Order_Date]],"mmmm")</f>
        <v>April</v>
      </c>
      <c r="D338" s="1" t="s">
        <v>227</v>
      </c>
      <c r="E338" s="1" t="str">
        <f>VLOOKUP(Salesdta[[#This Row],[Customer_ID]],Customer_Data_[],6,TRUE)</f>
        <v>Male</v>
      </c>
      <c r="F338" s="1" t="str">
        <f>VLOOKUP(Salesdta[[#This Row],[Customer_ID]],Customer_Data_[],8,TRUE)</f>
        <v>New Mexico</v>
      </c>
      <c r="G338" s="1" t="s">
        <v>1712</v>
      </c>
      <c r="H338" s="1" t="str">
        <f>VLOOKUP(Salesdta[[#This Row],[Product_ID]],Product_Data_1[],2,TRUE)</f>
        <v>Wooden Bookshelf</v>
      </c>
      <c r="I338" s="1" t="str">
        <f>VLOOKUP(Salesdta[[#This Row],[Product_ID]],Product_Data_1[],3,TRUE)</f>
        <v>Home</v>
      </c>
      <c r="J338" s="1">
        <f>VLOOKUP(Salesdta[[#This Row],[Product_ID]],Product_Data_1[],7,TRUE)</f>
        <v>388</v>
      </c>
      <c r="K338" s="1" t="s">
        <v>1800</v>
      </c>
      <c r="L338" s="1" t="str">
        <f>VLOOKUP(Salesdta[[#This Row],[Store_ID]],Store_Data_1[],3,TRUE)</f>
        <v>North</v>
      </c>
      <c r="M338" s="1">
        <v>3</v>
      </c>
      <c r="N338" s="1">
        <v>366</v>
      </c>
      <c r="O338" s="12">
        <v>0.05</v>
      </c>
      <c r="P338" s="1" t="s">
        <v>1817</v>
      </c>
      <c r="Q338" s="1">
        <v>1043</v>
      </c>
      <c r="R338" s="1">
        <f>Salesdta[[#This Row],[Final Revenue]]-Salesdta[[#This Row],[Product cost]]</f>
        <v>655</v>
      </c>
      <c r="S338" s="1" t="str">
        <f>IF(Salesdta[[#This Row],[Final Revenue]]&gt;1000,"Selected","Not Selected")</f>
        <v>Selected</v>
      </c>
    </row>
    <row r="339" spans="1:19" x14ac:dyDescent="0.35">
      <c r="A339" s="6" t="s">
        <v>2156</v>
      </c>
      <c r="B339" s="20">
        <v>45256</v>
      </c>
      <c r="C339" s="1" t="str">
        <f>TEXT(Salesdta[[#This Row],[Order_Date]],"mmmm")</f>
        <v>November</v>
      </c>
      <c r="D339" s="1" t="s">
        <v>1210</v>
      </c>
      <c r="E339" s="1" t="str">
        <f>VLOOKUP(Salesdta[[#This Row],[Customer_ID]],Customer_Data_[],6,TRUE)</f>
        <v>Male</v>
      </c>
      <c r="F339" s="1" t="str">
        <f>VLOOKUP(Salesdta[[#This Row],[Customer_ID]],Customer_Data_[],8,TRUE)</f>
        <v>Nebraska</v>
      </c>
      <c r="G339" s="1" t="s">
        <v>1726</v>
      </c>
      <c r="H339" s="1" t="str">
        <f>VLOOKUP(Salesdta[[#This Row],[Product_ID]],Product_Data_1[],2,TRUE)</f>
        <v>Women's High Heels</v>
      </c>
      <c r="I339" s="1" t="str">
        <f>VLOOKUP(Salesdta[[#This Row],[Product_ID]],Product_Data_1[],3,TRUE)</f>
        <v>Clothing</v>
      </c>
      <c r="J339" s="1">
        <f>VLOOKUP(Salesdta[[#This Row],[Product_ID]],Product_Data_1[],7,TRUE)</f>
        <v>438</v>
      </c>
      <c r="K339" s="1" t="s">
        <v>1800</v>
      </c>
      <c r="L339" s="1" t="str">
        <f>VLOOKUP(Salesdta[[#This Row],[Store_ID]],Store_Data_1[],3,TRUE)</f>
        <v>North</v>
      </c>
      <c r="M339" s="1">
        <v>1</v>
      </c>
      <c r="N339" s="1">
        <v>500</v>
      </c>
      <c r="O339" s="12">
        <v>0.03</v>
      </c>
      <c r="P339" s="1" t="s">
        <v>1822</v>
      </c>
      <c r="Q339" s="1">
        <v>485</v>
      </c>
      <c r="R339" s="1">
        <f>Salesdta[[#This Row],[Final Revenue]]-Salesdta[[#This Row],[Product cost]]</f>
        <v>47</v>
      </c>
      <c r="S339" s="1" t="str">
        <f>IF(Salesdta[[#This Row],[Final Revenue]]&gt;1000,"Selected","Not Selected")</f>
        <v>Not Selected</v>
      </c>
    </row>
    <row r="340" spans="1:19" x14ac:dyDescent="0.35">
      <c r="A340" s="6" t="s">
        <v>2157</v>
      </c>
      <c r="B340" s="20">
        <v>45326</v>
      </c>
      <c r="C340" s="1" t="str">
        <f>TEXT(Salesdta[[#This Row],[Order_Date]],"mmmm")</f>
        <v>February</v>
      </c>
      <c r="D340" s="1" t="s">
        <v>616</v>
      </c>
      <c r="E340" s="1" t="str">
        <f>VLOOKUP(Salesdta[[#This Row],[Customer_ID]],Customer_Data_[],6,TRUE)</f>
        <v>Male</v>
      </c>
      <c r="F340" s="1" t="str">
        <f>VLOOKUP(Salesdta[[#This Row],[Customer_ID]],Customer_Data_[],8,TRUE)</f>
        <v>New Mexico</v>
      </c>
      <c r="G340" s="1" t="s">
        <v>1604</v>
      </c>
      <c r="H340" s="1" t="str">
        <f>VLOOKUP(Salesdta[[#This Row],[Product_ID]],Product_Data_1[],2,TRUE)</f>
        <v>Stainless Steel Cutlery Set</v>
      </c>
      <c r="I340" s="1" t="str">
        <f>VLOOKUP(Salesdta[[#This Row],[Product_ID]],Product_Data_1[],3,TRUE)</f>
        <v>Home</v>
      </c>
      <c r="J340" s="1">
        <f>VLOOKUP(Salesdta[[#This Row],[Product_ID]],Product_Data_1[],7,TRUE)</f>
        <v>20</v>
      </c>
      <c r="K340" s="1" t="s">
        <v>1778</v>
      </c>
      <c r="L340" s="1" t="str">
        <f>VLOOKUP(Salesdta[[#This Row],[Store_ID]],Store_Data_1[],3,TRUE)</f>
        <v>West</v>
      </c>
      <c r="M340" s="1">
        <v>3</v>
      </c>
      <c r="N340" s="1">
        <v>330</v>
      </c>
      <c r="O340" s="12">
        <v>0.2</v>
      </c>
      <c r="P340" s="1" t="s">
        <v>1817</v>
      </c>
      <c r="Q340" s="1">
        <v>792</v>
      </c>
      <c r="R340" s="1">
        <f>Salesdta[[#This Row],[Final Revenue]]-Salesdta[[#This Row],[Product cost]]</f>
        <v>772</v>
      </c>
      <c r="S340" s="1" t="str">
        <f>IF(Salesdta[[#This Row],[Final Revenue]]&gt;1000,"Selected","Not Selected")</f>
        <v>Not Selected</v>
      </c>
    </row>
    <row r="341" spans="1:19" x14ac:dyDescent="0.35">
      <c r="A341" s="6" t="s">
        <v>2158</v>
      </c>
      <c r="B341" s="20">
        <v>45715</v>
      </c>
      <c r="C341" s="1" t="str">
        <f>TEXT(Salesdta[[#This Row],[Order_Date]],"mmmm")</f>
        <v>February</v>
      </c>
      <c r="D341" s="1" t="s">
        <v>108</v>
      </c>
      <c r="E341" s="1" t="str">
        <f>VLOOKUP(Salesdta[[#This Row],[Customer_ID]],Customer_Data_[],6,TRUE)</f>
        <v>Female</v>
      </c>
      <c r="F341" s="1" t="str">
        <f>VLOOKUP(Salesdta[[#This Row],[Customer_ID]],Customer_Data_[],8,TRUE)</f>
        <v>Missouri</v>
      </c>
      <c r="G341" s="1" t="s">
        <v>1542</v>
      </c>
      <c r="H341" s="1" t="str">
        <f>VLOOKUP(Salesdta[[#This Row],[Product_ID]],Product_Data_1[],2,TRUE)</f>
        <v>Men's Graphic T-Shirt</v>
      </c>
      <c r="I341" s="1" t="str">
        <f>VLOOKUP(Salesdta[[#This Row],[Product_ID]],Product_Data_1[],3,TRUE)</f>
        <v>Clothing</v>
      </c>
      <c r="J341" s="1">
        <f>VLOOKUP(Salesdta[[#This Row],[Product_ID]],Product_Data_1[],7,TRUE)</f>
        <v>343</v>
      </c>
      <c r="K341" s="1" t="s">
        <v>1757</v>
      </c>
      <c r="L341" s="1" t="str">
        <f>VLOOKUP(Salesdta[[#This Row],[Store_ID]],Store_Data_1[],3,TRUE)</f>
        <v>South</v>
      </c>
      <c r="M341" s="1">
        <v>4</v>
      </c>
      <c r="N341" s="1">
        <v>205</v>
      </c>
      <c r="O341" s="12">
        <v>0.03</v>
      </c>
      <c r="P341" s="1" t="s">
        <v>1819</v>
      </c>
      <c r="Q341" s="1">
        <v>795</v>
      </c>
      <c r="R341" s="1">
        <f>Salesdta[[#This Row],[Final Revenue]]-Salesdta[[#This Row],[Product cost]]</f>
        <v>452</v>
      </c>
      <c r="S341" s="1" t="str">
        <f>IF(Salesdta[[#This Row],[Final Revenue]]&gt;1000,"Selected","Not Selected")</f>
        <v>Not Selected</v>
      </c>
    </row>
    <row r="342" spans="1:19" x14ac:dyDescent="0.35">
      <c r="A342" s="6" t="s">
        <v>2159</v>
      </c>
      <c r="B342" s="20">
        <v>45507</v>
      </c>
      <c r="C342" s="1" t="str">
        <f>TEXT(Salesdta[[#This Row],[Order_Date]],"mmmm")</f>
        <v>August</v>
      </c>
      <c r="D342" s="1" t="s">
        <v>1393</v>
      </c>
      <c r="E342" s="1" t="str">
        <f>VLOOKUP(Salesdta[[#This Row],[Customer_ID]],Customer_Data_[],6,TRUE)</f>
        <v>Female</v>
      </c>
      <c r="F342" s="1" t="str">
        <f>VLOOKUP(Salesdta[[#This Row],[Customer_ID]],Customer_Data_[],8,TRUE)</f>
        <v>Mississippi</v>
      </c>
      <c r="G342" s="1" t="s">
        <v>1662</v>
      </c>
      <c r="H342" s="1" t="str">
        <f>VLOOKUP(Salesdta[[#This Row],[Product_ID]],Product_Data_1[],2,TRUE)</f>
        <v>Men's Hair Styling Gel</v>
      </c>
      <c r="I342" s="1" t="str">
        <f>VLOOKUP(Salesdta[[#This Row],[Product_ID]],Product_Data_1[],3,TRUE)</f>
        <v>Beauty</v>
      </c>
      <c r="J342" s="1">
        <f>VLOOKUP(Salesdta[[#This Row],[Product_ID]],Product_Data_1[],7,TRUE)</f>
        <v>17</v>
      </c>
      <c r="K342" s="1" t="s">
        <v>1775</v>
      </c>
      <c r="L342" s="1" t="str">
        <f>VLOOKUP(Salesdta[[#This Row],[Store_ID]],Store_Data_1[],3,TRUE)</f>
        <v>South</v>
      </c>
      <c r="M342" s="1">
        <v>3</v>
      </c>
      <c r="N342" s="1">
        <v>836</v>
      </c>
      <c r="O342" s="12">
        <v>0</v>
      </c>
      <c r="P342" s="1" t="s">
        <v>1817</v>
      </c>
      <c r="Q342" s="1">
        <v>2509</v>
      </c>
      <c r="R342" s="1">
        <f>Salesdta[[#This Row],[Final Revenue]]-Salesdta[[#This Row],[Product cost]]</f>
        <v>2492</v>
      </c>
      <c r="S342" s="1" t="str">
        <f>IF(Salesdta[[#This Row],[Final Revenue]]&gt;1000,"Selected","Not Selected")</f>
        <v>Selected</v>
      </c>
    </row>
    <row r="343" spans="1:19" x14ac:dyDescent="0.35">
      <c r="A343" s="6" t="s">
        <v>2160</v>
      </c>
      <c r="B343" s="20">
        <v>45843</v>
      </c>
      <c r="C343" s="1" t="str">
        <f>TEXT(Salesdta[[#This Row],[Order_Date]],"mmmm")</f>
        <v>July</v>
      </c>
      <c r="D343" s="1" t="s">
        <v>499</v>
      </c>
      <c r="E343" s="1" t="str">
        <f>VLOOKUP(Salesdta[[#This Row],[Customer_ID]],Customer_Data_[],6,TRUE)</f>
        <v>Male</v>
      </c>
      <c r="F343" s="1" t="str">
        <f>VLOOKUP(Salesdta[[#This Row],[Customer_ID]],Customer_Data_[],8,TRUE)</f>
        <v>Florida</v>
      </c>
      <c r="G343" s="1" t="s">
        <v>1724</v>
      </c>
      <c r="H343" s="1" t="str">
        <f>VLOOKUP(Salesdta[[#This Row],[Product_ID]],Product_Data_1[],2,TRUE)</f>
        <v>Gaming Mouse Pad XL</v>
      </c>
      <c r="I343" s="1" t="str">
        <f>VLOOKUP(Salesdta[[#This Row],[Product_ID]],Product_Data_1[],3,TRUE)</f>
        <v>Electronics</v>
      </c>
      <c r="J343" s="1">
        <f>VLOOKUP(Salesdta[[#This Row],[Product_ID]],Product_Data_1[],7,TRUE)</f>
        <v>340</v>
      </c>
      <c r="K343" s="1" t="s">
        <v>1790</v>
      </c>
      <c r="L343" s="1" t="str">
        <f>VLOOKUP(Salesdta[[#This Row],[Store_ID]],Store_Data_1[],3,TRUE)</f>
        <v>North</v>
      </c>
      <c r="M343" s="1">
        <v>1</v>
      </c>
      <c r="N343" s="1">
        <v>780</v>
      </c>
      <c r="O343" s="12">
        <v>0.02</v>
      </c>
      <c r="P343" s="1" t="s">
        <v>1822</v>
      </c>
      <c r="Q343" s="1">
        <v>765</v>
      </c>
      <c r="R343" s="1">
        <f>Salesdta[[#This Row],[Final Revenue]]-Salesdta[[#This Row],[Product cost]]</f>
        <v>425</v>
      </c>
      <c r="S343" s="1" t="str">
        <f>IF(Salesdta[[#This Row],[Final Revenue]]&gt;1000,"Selected","Not Selected")</f>
        <v>Not Selected</v>
      </c>
    </row>
    <row r="344" spans="1:19" x14ac:dyDescent="0.35">
      <c r="A344" s="6" t="s">
        <v>2161</v>
      </c>
      <c r="B344" s="20">
        <v>45446</v>
      </c>
      <c r="C344" s="1" t="str">
        <f>TEXT(Salesdta[[#This Row],[Order_Date]],"mmmm")</f>
        <v>June</v>
      </c>
      <c r="D344" s="1" t="s">
        <v>1029</v>
      </c>
      <c r="E344" s="1" t="str">
        <f>VLOOKUP(Salesdta[[#This Row],[Customer_ID]],Customer_Data_[],6,TRUE)</f>
        <v>Male</v>
      </c>
      <c r="F344" s="1" t="str">
        <f>VLOOKUP(Salesdta[[#This Row],[Customer_ID]],Customer_Data_[],8,TRUE)</f>
        <v>Minnesota</v>
      </c>
      <c r="G344" s="1" t="s">
        <v>1584</v>
      </c>
      <c r="H344" s="1" t="str">
        <f>VLOOKUP(Salesdta[[#This Row],[Product_ID]],Product_Data_1[],2,TRUE)</f>
        <v>Outdoor Sports Water Bottle</v>
      </c>
      <c r="I344" s="1" t="str">
        <f>VLOOKUP(Salesdta[[#This Row],[Product_ID]],Product_Data_1[],3,TRUE)</f>
        <v>Sports</v>
      </c>
      <c r="J344" s="1">
        <f>VLOOKUP(Salesdta[[#This Row],[Product_ID]],Product_Data_1[],7,TRUE)</f>
        <v>132</v>
      </c>
      <c r="K344" s="1" t="s">
        <v>1772</v>
      </c>
      <c r="L344" s="1" t="str">
        <f>VLOOKUP(Salesdta[[#This Row],[Store_ID]],Store_Data_1[],3,TRUE)</f>
        <v>East</v>
      </c>
      <c r="M344" s="1">
        <v>2</v>
      </c>
      <c r="N344" s="1">
        <v>741</v>
      </c>
      <c r="O344" s="12">
        <v>0.02</v>
      </c>
      <c r="P344" s="1" t="s">
        <v>1819</v>
      </c>
      <c r="Q344" s="1">
        <v>1452</v>
      </c>
      <c r="R344" s="1">
        <f>Salesdta[[#This Row],[Final Revenue]]-Salesdta[[#This Row],[Product cost]]</f>
        <v>1320</v>
      </c>
      <c r="S344" s="1" t="str">
        <f>IF(Salesdta[[#This Row],[Final Revenue]]&gt;1000,"Selected","Not Selected")</f>
        <v>Selected</v>
      </c>
    </row>
    <row r="345" spans="1:19" x14ac:dyDescent="0.35">
      <c r="A345" s="6" t="s">
        <v>2162</v>
      </c>
      <c r="B345" s="20">
        <v>45348</v>
      </c>
      <c r="C345" s="1" t="str">
        <f>TEXT(Salesdta[[#This Row],[Order_Date]],"mmmm")</f>
        <v>February</v>
      </c>
      <c r="D345" s="1" t="s">
        <v>1418</v>
      </c>
      <c r="E345" s="1" t="str">
        <f>VLOOKUP(Salesdta[[#This Row],[Customer_ID]],Customer_Data_[],6,TRUE)</f>
        <v>Female</v>
      </c>
      <c r="F345" s="1" t="str">
        <f>VLOOKUP(Salesdta[[#This Row],[Customer_ID]],Customer_Data_[],8,TRUE)</f>
        <v>Kansas</v>
      </c>
      <c r="G345" s="1" t="s">
        <v>1674</v>
      </c>
      <c r="H345" s="1" t="str">
        <f>VLOOKUP(Salesdta[[#This Row],[Product_ID]],Product_Data_1[],2,TRUE)</f>
        <v>Adjustable Dumbbells 20kg</v>
      </c>
      <c r="I345" s="1" t="str">
        <f>VLOOKUP(Salesdta[[#This Row],[Product_ID]],Product_Data_1[],3,TRUE)</f>
        <v>Sports</v>
      </c>
      <c r="J345" s="1">
        <f>VLOOKUP(Salesdta[[#This Row],[Product_ID]],Product_Data_1[],7,TRUE)</f>
        <v>241</v>
      </c>
      <c r="K345" s="1" t="s">
        <v>1762</v>
      </c>
      <c r="L345" s="1" t="str">
        <f>VLOOKUP(Salesdta[[#This Row],[Store_ID]],Store_Data_1[],3,TRUE)</f>
        <v>North</v>
      </c>
      <c r="M345" s="1">
        <v>3</v>
      </c>
      <c r="N345" s="1">
        <v>346</v>
      </c>
      <c r="O345" s="12">
        <v>0.22</v>
      </c>
      <c r="P345" s="1" t="s">
        <v>1817</v>
      </c>
      <c r="Q345" s="1">
        <v>809</v>
      </c>
      <c r="R345" s="1">
        <f>Salesdta[[#This Row],[Final Revenue]]-Salesdta[[#This Row],[Product cost]]</f>
        <v>568</v>
      </c>
      <c r="S345" s="1" t="str">
        <f>IF(Salesdta[[#This Row],[Final Revenue]]&gt;1000,"Selected","Not Selected")</f>
        <v>Not Selected</v>
      </c>
    </row>
    <row r="346" spans="1:19" x14ac:dyDescent="0.35">
      <c r="A346" s="6" t="s">
        <v>2163</v>
      </c>
      <c r="B346" s="20">
        <v>45688</v>
      </c>
      <c r="C346" s="1" t="str">
        <f>TEXT(Salesdta[[#This Row],[Order_Date]],"mmmm")</f>
        <v>January</v>
      </c>
      <c r="D346" s="1" t="s">
        <v>899</v>
      </c>
      <c r="E346" s="1" t="str">
        <f>VLOOKUP(Salesdta[[#This Row],[Customer_ID]],Customer_Data_[],6,TRUE)</f>
        <v>Male</v>
      </c>
      <c r="F346" s="1" t="str">
        <f>VLOOKUP(Salesdta[[#This Row],[Customer_ID]],Customer_Data_[],8,TRUE)</f>
        <v>Connecticut</v>
      </c>
      <c r="G346" s="1" t="s">
        <v>1580</v>
      </c>
      <c r="H346" s="1" t="str">
        <f>VLOOKUP(Salesdta[[#This Row],[Product_ID]],Product_Data_1[],2,TRUE)</f>
        <v>Women's Denim Jeans</v>
      </c>
      <c r="I346" s="1" t="str">
        <f>VLOOKUP(Salesdta[[#This Row],[Product_ID]],Product_Data_1[],3,TRUE)</f>
        <v>Clothing</v>
      </c>
      <c r="J346" s="1">
        <f>VLOOKUP(Salesdta[[#This Row],[Product_ID]],Product_Data_1[],7,TRUE)</f>
        <v>254</v>
      </c>
      <c r="K346" s="1" t="s">
        <v>1788</v>
      </c>
      <c r="L346" s="1" t="str">
        <f>VLOOKUP(Salesdta[[#This Row],[Store_ID]],Store_Data_1[],3,TRUE)</f>
        <v>North</v>
      </c>
      <c r="M346" s="1">
        <v>1</v>
      </c>
      <c r="N346" s="1">
        <v>975</v>
      </c>
      <c r="O346" s="12">
        <v>0.01</v>
      </c>
      <c r="P346" s="1" t="s">
        <v>1819</v>
      </c>
      <c r="Q346" s="1">
        <v>965</v>
      </c>
      <c r="R346" s="1">
        <f>Salesdta[[#This Row],[Final Revenue]]-Salesdta[[#This Row],[Product cost]]</f>
        <v>711</v>
      </c>
      <c r="S346" s="1" t="str">
        <f>IF(Salesdta[[#This Row],[Final Revenue]]&gt;1000,"Selected","Not Selected")</f>
        <v>Not Selected</v>
      </c>
    </row>
    <row r="347" spans="1:19" x14ac:dyDescent="0.35">
      <c r="A347" s="6" t="s">
        <v>2164</v>
      </c>
      <c r="B347" s="20">
        <v>45249</v>
      </c>
      <c r="C347" s="1" t="str">
        <f>TEXT(Salesdta[[#This Row],[Order_Date]],"mmmm")</f>
        <v>November</v>
      </c>
      <c r="D347" s="1" t="s">
        <v>155</v>
      </c>
      <c r="E347" s="1" t="str">
        <f>VLOOKUP(Salesdta[[#This Row],[Customer_ID]],Customer_Data_[],6,TRUE)</f>
        <v>Male</v>
      </c>
      <c r="F347" s="1" t="str">
        <f>VLOOKUP(Salesdta[[#This Row],[Customer_ID]],Customer_Data_[],8,TRUE)</f>
        <v>Kansas</v>
      </c>
      <c r="G347" s="1" t="s">
        <v>1578</v>
      </c>
      <c r="H347" s="1" t="str">
        <f>VLOOKUP(Salesdta[[#This Row],[Product_ID]],Product_Data_1[],2,TRUE)</f>
        <v>Soccer Training Cone Set</v>
      </c>
      <c r="I347" s="1" t="str">
        <f>VLOOKUP(Salesdta[[#This Row],[Product_ID]],Product_Data_1[],3,TRUE)</f>
        <v>Sports</v>
      </c>
      <c r="J347" s="1">
        <f>VLOOKUP(Salesdta[[#This Row],[Product_ID]],Product_Data_1[],7,TRUE)</f>
        <v>145</v>
      </c>
      <c r="K347" s="1" t="s">
        <v>1753</v>
      </c>
      <c r="L347" s="1" t="str">
        <f>VLOOKUP(Salesdta[[#This Row],[Store_ID]],Store_Data_1[],3,TRUE)</f>
        <v>North</v>
      </c>
      <c r="M347" s="1">
        <v>3</v>
      </c>
      <c r="N347" s="1">
        <v>282</v>
      </c>
      <c r="O347" s="12">
        <v>7.0000000000000007E-2</v>
      </c>
      <c r="P347" s="1" t="s">
        <v>1817</v>
      </c>
      <c r="Q347" s="1">
        <v>788</v>
      </c>
      <c r="R347" s="1">
        <f>Salesdta[[#This Row],[Final Revenue]]-Salesdta[[#This Row],[Product cost]]</f>
        <v>643</v>
      </c>
      <c r="S347" s="1" t="str">
        <f>IF(Salesdta[[#This Row],[Final Revenue]]&gt;1000,"Selected","Not Selected")</f>
        <v>Not Selected</v>
      </c>
    </row>
    <row r="348" spans="1:19" x14ac:dyDescent="0.35">
      <c r="A348" s="6" t="s">
        <v>2165</v>
      </c>
      <c r="B348" s="20">
        <v>45273</v>
      </c>
      <c r="C348" s="1" t="str">
        <f>TEXT(Salesdta[[#This Row],[Order_Date]],"mmmm")</f>
        <v>December</v>
      </c>
      <c r="D348" s="1" t="s">
        <v>773</v>
      </c>
      <c r="E348" s="1" t="str">
        <f>VLOOKUP(Salesdta[[#This Row],[Customer_ID]],Customer_Data_[],6,TRUE)</f>
        <v>Female</v>
      </c>
      <c r="F348" s="1" t="str">
        <f>VLOOKUP(Salesdta[[#This Row],[Customer_ID]],Customer_Data_[],8,TRUE)</f>
        <v>Connecticut</v>
      </c>
      <c r="G348" s="1" t="s">
        <v>1706</v>
      </c>
      <c r="H348" s="1" t="str">
        <f>VLOOKUP(Salesdta[[#This Row],[Product_ID]],Product_Data_1[],2,TRUE)</f>
        <v>Badminton Racket Set</v>
      </c>
      <c r="I348" s="1" t="str">
        <f>VLOOKUP(Salesdta[[#This Row],[Product_ID]],Product_Data_1[],3,TRUE)</f>
        <v>Sports</v>
      </c>
      <c r="J348" s="1">
        <f>VLOOKUP(Salesdta[[#This Row],[Product_ID]],Product_Data_1[],7,TRUE)</f>
        <v>286</v>
      </c>
      <c r="K348" s="1" t="s">
        <v>1765</v>
      </c>
      <c r="L348" s="1" t="str">
        <f>VLOOKUP(Salesdta[[#This Row],[Store_ID]],Store_Data_1[],3,TRUE)</f>
        <v>South</v>
      </c>
      <c r="M348" s="1">
        <v>4</v>
      </c>
      <c r="N348" s="1">
        <v>968</v>
      </c>
      <c r="O348" s="12">
        <v>0.03</v>
      </c>
      <c r="P348" s="1" t="s">
        <v>1819</v>
      </c>
      <c r="Q348" s="1">
        <v>3757</v>
      </c>
      <c r="R348" s="1">
        <f>Salesdta[[#This Row],[Final Revenue]]-Salesdta[[#This Row],[Product cost]]</f>
        <v>3471</v>
      </c>
      <c r="S348" s="1" t="str">
        <f>IF(Salesdta[[#This Row],[Final Revenue]]&gt;1000,"Selected","Not Selected")</f>
        <v>Selected</v>
      </c>
    </row>
    <row r="349" spans="1:19" x14ac:dyDescent="0.35">
      <c r="A349" s="6" t="s">
        <v>2166</v>
      </c>
      <c r="B349" s="20">
        <v>45354</v>
      </c>
      <c r="C349" s="1" t="str">
        <f>TEXT(Salesdta[[#This Row],[Order_Date]],"mmmm")</f>
        <v>March</v>
      </c>
      <c r="D349" s="1" t="s">
        <v>493</v>
      </c>
      <c r="E349" s="1" t="str">
        <f>VLOOKUP(Salesdta[[#This Row],[Customer_ID]],Customer_Data_[],6,TRUE)</f>
        <v>Female</v>
      </c>
      <c r="F349" s="1" t="str">
        <f>VLOOKUP(Salesdta[[#This Row],[Customer_ID]],Customer_Data_[],8,TRUE)</f>
        <v>Alaska</v>
      </c>
      <c r="G349" s="1" t="s">
        <v>1648</v>
      </c>
      <c r="H349" s="1" t="str">
        <f>VLOOKUP(Salesdta[[#This Row],[Product_ID]],Product_Data_1[],2,TRUE)</f>
        <v>Rugby Ball</v>
      </c>
      <c r="I349" s="1" t="str">
        <f>VLOOKUP(Salesdta[[#This Row],[Product_ID]],Product_Data_1[],3,TRUE)</f>
        <v>Sports</v>
      </c>
      <c r="J349" s="1">
        <f>VLOOKUP(Salesdta[[#This Row],[Product_ID]],Product_Data_1[],7,TRUE)</f>
        <v>212</v>
      </c>
      <c r="K349" s="1" t="s">
        <v>1775</v>
      </c>
      <c r="L349" s="1" t="str">
        <f>VLOOKUP(Salesdta[[#This Row],[Store_ID]],Store_Data_1[],3,TRUE)</f>
        <v>South</v>
      </c>
      <c r="M349" s="1">
        <v>4</v>
      </c>
      <c r="N349" s="1">
        <v>915</v>
      </c>
      <c r="O349" s="12">
        <v>0.19</v>
      </c>
      <c r="P349" s="1" t="s">
        <v>1822</v>
      </c>
      <c r="Q349" s="1">
        <v>2965</v>
      </c>
      <c r="R349" s="1">
        <f>Salesdta[[#This Row],[Final Revenue]]-Salesdta[[#This Row],[Product cost]]</f>
        <v>2753</v>
      </c>
      <c r="S349" s="1" t="str">
        <f>IF(Salesdta[[#This Row],[Final Revenue]]&gt;1000,"Selected","Not Selected")</f>
        <v>Selected</v>
      </c>
    </row>
    <row r="350" spans="1:19" x14ac:dyDescent="0.35">
      <c r="A350" s="6" t="s">
        <v>2167</v>
      </c>
      <c r="B350" s="20">
        <v>45891</v>
      </c>
      <c r="C350" s="1" t="str">
        <f>TEXT(Salesdta[[#This Row],[Order_Date]],"mmmm")</f>
        <v>August</v>
      </c>
      <c r="D350" s="1" t="s">
        <v>571</v>
      </c>
      <c r="E350" s="1" t="str">
        <f>VLOOKUP(Salesdta[[#This Row],[Customer_ID]],Customer_Data_[],6,TRUE)</f>
        <v>Female</v>
      </c>
      <c r="F350" s="1" t="str">
        <f>VLOOKUP(Salesdta[[#This Row],[Customer_ID]],Customer_Data_[],8,TRUE)</f>
        <v>Iowa</v>
      </c>
      <c r="G350" s="1" t="s">
        <v>1584</v>
      </c>
      <c r="H350" s="1" t="str">
        <f>VLOOKUP(Salesdta[[#This Row],[Product_ID]],Product_Data_1[],2,TRUE)</f>
        <v>Outdoor Sports Water Bottle</v>
      </c>
      <c r="I350" s="1" t="str">
        <f>VLOOKUP(Salesdta[[#This Row],[Product_ID]],Product_Data_1[],3,TRUE)</f>
        <v>Sports</v>
      </c>
      <c r="J350" s="1">
        <f>VLOOKUP(Salesdta[[#This Row],[Product_ID]],Product_Data_1[],7,TRUE)</f>
        <v>132</v>
      </c>
      <c r="K350" s="1" t="s">
        <v>1775</v>
      </c>
      <c r="L350" s="1" t="str">
        <f>VLOOKUP(Salesdta[[#This Row],[Store_ID]],Store_Data_1[],3,TRUE)</f>
        <v>South</v>
      </c>
      <c r="M350" s="1">
        <v>4</v>
      </c>
      <c r="N350" s="1">
        <v>895</v>
      </c>
      <c r="O350" s="12">
        <v>0.05</v>
      </c>
      <c r="P350" s="1" t="s">
        <v>1822</v>
      </c>
      <c r="Q350" s="1">
        <v>3401</v>
      </c>
      <c r="R350" s="1">
        <f>Salesdta[[#This Row],[Final Revenue]]-Salesdta[[#This Row],[Product cost]]</f>
        <v>3269</v>
      </c>
      <c r="S350" s="1" t="str">
        <f>IF(Salesdta[[#This Row],[Final Revenue]]&gt;1000,"Selected","Not Selected")</f>
        <v>Selected</v>
      </c>
    </row>
    <row r="351" spans="1:19" x14ac:dyDescent="0.35">
      <c r="A351" s="6" t="s">
        <v>2168</v>
      </c>
      <c r="B351" s="20">
        <v>45842</v>
      </c>
      <c r="C351" s="1" t="str">
        <f>TEXT(Salesdta[[#This Row],[Order_Date]],"mmmm")</f>
        <v>July</v>
      </c>
      <c r="D351" s="1" t="s">
        <v>657</v>
      </c>
      <c r="E351" s="1" t="str">
        <f>VLOOKUP(Salesdta[[#This Row],[Customer_ID]],Customer_Data_[],6,TRUE)</f>
        <v>Female</v>
      </c>
      <c r="F351" s="1" t="str">
        <f>VLOOKUP(Salesdta[[#This Row],[Customer_ID]],Customer_Data_[],8,TRUE)</f>
        <v>Kansas</v>
      </c>
      <c r="G351" s="1" t="s">
        <v>1700</v>
      </c>
      <c r="H351" s="1" t="str">
        <f>VLOOKUP(Salesdta[[#This Row],[Product_ID]],Product_Data_1[],2,TRUE)</f>
        <v>Essential Oil Diffuser</v>
      </c>
      <c r="I351" s="1" t="str">
        <f>VLOOKUP(Salesdta[[#This Row],[Product_ID]],Product_Data_1[],3,TRUE)</f>
        <v>Home</v>
      </c>
      <c r="J351" s="1">
        <f>VLOOKUP(Salesdta[[#This Row],[Product_ID]],Product_Data_1[],7,TRUE)</f>
        <v>325</v>
      </c>
      <c r="K351" s="1" t="s">
        <v>1778</v>
      </c>
      <c r="L351" s="1" t="str">
        <f>VLOOKUP(Salesdta[[#This Row],[Store_ID]],Store_Data_1[],3,TRUE)</f>
        <v>West</v>
      </c>
      <c r="M351" s="1">
        <v>4</v>
      </c>
      <c r="N351" s="1">
        <v>870</v>
      </c>
      <c r="O351" s="12">
        <v>0.13</v>
      </c>
      <c r="P351" s="1" t="s">
        <v>1822</v>
      </c>
      <c r="Q351" s="1">
        <v>3028</v>
      </c>
      <c r="R351" s="1">
        <f>Salesdta[[#This Row],[Final Revenue]]-Salesdta[[#This Row],[Product cost]]</f>
        <v>2703</v>
      </c>
      <c r="S351" s="1" t="str">
        <f>IF(Salesdta[[#This Row],[Final Revenue]]&gt;1000,"Selected","Not Selected")</f>
        <v>Selected</v>
      </c>
    </row>
    <row r="352" spans="1:19" x14ac:dyDescent="0.35">
      <c r="A352" s="6" t="s">
        <v>2169</v>
      </c>
      <c r="B352" s="20">
        <v>45806</v>
      </c>
      <c r="C352" s="1" t="str">
        <f>TEXT(Salesdta[[#This Row],[Order_Date]],"mmmm")</f>
        <v>May</v>
      </c>
      <c r="D352" s="1" t="s">
        <v>1062</v>
      </c>
      <c r="E352" s="1" t="str">
        <f>VLOOKUP(Salesdta[[#This Row],[Customer_ID]],Customer_Data_[],6,TRUE)</f>
        <v>Female</v>
      </c>
      <c r="F352" s="1" t="str">
        <f>VLOOKUP(Salesdta[[#This Row],[Customer_ID]],Customer_Data_[],8,TRUE)</f>
        <v>Arizona</v>
      </c>
      <c r="G352" s="1" t="s">
        <v>1561</v>
      </c>
      <c r="H352" s="1" t="str">
        <f>VLOOKUP(Salesdta[[#This Row],[Product_ID]],Product_Data_1[],2,TRUE)</f>
        <v>Face Foundation Kit</v>
      </c>
      <c r="I352" s="1" t="str">
        <f>VLOOKUP(Salesdta[[#This Row],[Product_ID]],Product_Data_1[],3,TRUE)</f>
        <v>Beauty</v>
      </c>
      <c r="J352" s="1">
        <f>VLOOKUP(Salesdta[[#This Row],[Product_ID]],Product_Data_1[],7,TRUE)</f>
        <v>183</v>
      </c>
      <c r="K352" s="1" t="s">
        <v>1757</v>
      </c>
      <c r="L352" s="1" t="str">
        <f>VLOOKUP(Salesdta[[#This Row],[Store_ID]],Store_Data_1[],3,TRUE)</f>
        <v>South</v>
      </c>
      <c r="M352" s="1">
        <v>2</v>
      </c>
      <c r="N352" s="1">
        <v>823</v>
      </c>
      <c r="O352" s="12">
        <v>0.18</v>
      </c>
      <c r="P352" s="1" t="s">
        <v>1819</v>
      </c>
      <c r="Q352" s="1">
        <v>1350</v>
      </c>
      <c r="R352" s="1">
        <f>Salesdta[[#This Row],[Final Revenue]]-Salesdta[[#This Row],[Product cost]]</f>
        <v>1167</v>
      </c>
      <c r="S352" s="1" t="str">
        <f>IF(Salesdta[[#This Row],[Final Revenue]]&gt;1000,"Selected","Not Selected")</f>
        <v>Selected</v>
      </c>
    </row>
    <row r="353" spans="1:19" x14ac:dyDescent="0.35">
      <c r="A353" s="6" t="s">
        <v>2170</v>
      </c>
      <c r="B353" s="20">
        <v>45583</v>
      </c>
      <c r="C353" s="1" t="str">
        <f>TEXT(Salesdta[[#This Row],[Order_Date]],"mmmm")</f>
        <v>October</v>
      </c>
      <c r="D353" s="1" t="s">
        <v>1330</v>
      </c>
      <c r="E353" s="1" t="str">
        <f>VLOOKUP(Salesdta[[#This Row],[Customer_ID]],Customer_Data_[],6,TRUE)</f>
        <v>Female</v>
      </c>
      <c r="F353" s="1" t="str">
        <f>VLOOKUP(Salesdta[[#This Row],[Customer_ID]],Customer_Data_[],8,TRUE)</f>
        <v>New Jersey</v>
      </c>
      <c r="G353" s="1" t="s">
        <v>1718</v>
      </c>
      <c r="H353" s="1" t="str">
        <f>VLOOKUP(Salesdta[[#This Row],[Product_ID]],Product_Data_1[],2,TRUE)</f>
        <v>LED Bedside Lamp</v>
      </c>
      <c r="I353" s="1" t="str">
        <f>VLOOKUP(Salesdta[[#This Row],[Product_ID]],Product_Data_1[],3,TRUE)</f>
        <v>Home</v>
      </c>
      <c r="J353" s="1">
        <f>VLOOKUP(Salesdta[[#This Row],[Product_ID]],Product_Data_1[],7,TRUE)</f>
        <v>371</v>
      </c>
      <c r="K353" s="1" t="s">
        <v>1793</v>
      </c>
      <c r="L353" s="1" t="str">
        <f>VLOOKUP(Salesdta[[#This Row],[Store_ID]],Store_Data_1[],3,TRUE)</f>
        <v>North</v>
      </c>
      <c r="M353" s="1">
        <v>3</v>
      </c>
      <c r="N353" s="1">
        <v>927</v>
      </c>
      <c r="O353" s="12">
        <v>0.18</v>
      </c>
      <c r="P353" s="1" t="s">
        <v>1822</v>
      </c>
      <c r="Q353" s="1">
        <v>2280</v>
      </c>
      <c r="R353" s="1">
        <f>Salesdta[[#This Row],[Final Revenue]]-Salesdta[[#This Row],[Product cost]]</f>
        <v>1909</v>
      </c>
      <c r="S353" s="1" t="str">
        <f>IF(Salesdta[[#This Row],[Final Revenue]]&gt;1000,"Selected","Not Selected")</f>
        <v>Selected</v>
      </c>
    </row>
    <row r="354" spans="1:19" x14ac:dyDescent="0.35">
      <c r="A354" s="6" t="s">
        <v>2171</v>
      </c>
      <c r="B354" s="20">
        <v>45662</v>
      </c>
      <c r="C354" s="1" t="str">
        <f>TEXT(Salesdta[[#This Row],[Order_Date]],"mmmm")</f>
        <v>January</v>
      </c>
      <c r="D354" s="1" t="s">
        <v>996</v>
      </c>
      <c r="E354" s="1" t="str">
        <f>VLOOKUP(Salesdta[[#This Row],[Customer_ID]],Customer_Data_[],6,TRUE)</f>
        <v>Female</v>
      </c>
      <c r="F354" s="1" t="str">
        <f>VLOOKUP(Salesdta[[#This Row],[Customer_ID]],Customer_Data_[],8,TRUE)</f>
        <v>New Hampshire</v>
      </c>
      <c r="G354" s="1" t="s">
        <v>1564</v>
      </c>
      <c r="H354" s="1" t="str">
        <f>VLOOKUP(Salesdta[[#This Row],[Product_ID]],Product_Data_1[],2,TRUE)</f>
        <v>Men's Graphic T-Shirt</v>
      </c>
      <c r="I354" s="1" t="str">
        <f>VLOOKUP(Salesdta[[#This Row],[Product_ID]],Product_Data_1[],3,TRUE)</f>
        <v>Clothing</v>
      </c>
      <c r="J354" s="1">
        <f>VLOOKUP(Salesdta[[#This Row],[Product_ID]],Product_Data_1[],7,TRUE)</f>
        <v>343</v>
      </c>
      <c r="K354" s="1" t="s">
        <v>1795</v>
      </c>
      <c r="L354" s="1" t="str">
        <f>VLOOKUP(Salesdta[[#This Row],[Store_ID]],Store_Data_1[],3,TRUE)</f>
        <v>North</v>
      </c>
      <c r="M354" s="1">
        <v>1</v>
      </c>
      <c r="N354" s="1">
        <v>875</v>
      </c>
      <c r="O354" s="12">
        <v>0.28999999999999998</v>
      </c>
      <c r="P354" s="1" t="s">
        <v>1819</v>
      </c>
      <c r="Q354" s="1">
        <v>621</v>
      </c>
      <c r="R354" s="1">
        <f>Salesdta[[#This Row],[Final Revenue]]-Salesdta[[#This Row],[Product cost]]</f>
        <v>278</v>
      </c>
      <c r="S354" s="1" t="str">
        <f>IF(Salesdta[[#This Row],[Final Revenue]]&gt;1000,"Selected","Not Selected")</f>
        <v>Not Selected</v>
      </c>
    </row>
    <row r="355" spans="1:19" x14ac:dyDescent="0.35">
      <c r="A355" s="6" t="s">
        <v>2172</v>
      </c>
      <c r="B355" s="20">
        <v>45772</v>
      </c>
      <c r="C355" s="1" t="str">
        <f>TEXT(Salesdta[[#This Row],[Order_Date]],"mmmm")</f>
        <v>April</v>
      </c>
      <c r="D355" s="1" t="s">
        <v>1315</v>
      </c>
      <c r="E355" s="1" t="str">
        <f>VLOOKUP(Salesdta[[#This Row],[Customer_ID]],Customer_Data_[],6,TRUE)</f>
        <v>Male</v>
      </c>
      <c r="F355" s="1" t="str">
        <f>VLOOKUP(Salesdta[[#This Row],[Customer_ID]],Customer_Data_[],8,TRUE)</f>
        <v>Utah</v>
      </c>
      <c r="G355" s="1" t="s">
        <v>1694</v>
      </c>
      <c r="H355" s="1" t="str">
        <f>VLOOKUP(Salesdta[[#This Row],[Product_ID]],Product_Data_1[],2,TRUE)</f>
        <v>Women's Ankle Boots</v>
      </c>
      <c r="I355" s="1" t="str">
        <f>VLOOKUP(Salesdta[[#This Row],[Product_ID]],Product_Data_1[],3,TRUE)</f>
        <v>Clothing</v>
      </c>
      <c r="J355" s="1">
        <f>VLOOKUP(Salesdta[[#This Row],[Product_ID]],Product_Data_1[],7,TRUE)</f>
        <v>158</v>
      </c>
      <c r="K355" s="1" t="s">
        <v>1785</v>
      </c>
      <c r="L355" s="1" t="str">
        <f>VLOOKUP(Salesdta[[#This Row],[Store_ID]],Store_Data_1[],3,TRUE)</f>
        <v>North</v>
      </c>
      <c r="M355" s="1">
        <v>4</v>
      </c>
      <c r="N355" s="1">
        <v>659</v>
      </c>
      <c r="O355" s="12">
        <v>0.15</v>
      </c>
      <c r="P355" s="1" t="s">
        <v>1817</v>
      </c>
      <c r="Q355" s="1">
        <v>2241</v>
      </c>
      <c r="R355" s="1">
        <f>Salesdta[[#This Row],[Final Revenue]]-Salesdta[[#This Row],[Product cost]]</f>
        <v>2083</v>
      </c>
      <c r="S355" s="1" t="str">
        <f>IF(Salesdta[[#This Row],[Final Revenue]]&gt;1000,"Selected","Not Selected")</f>
        <v>Selected</v>
      </c>
    </row>
    <row r="356" spans="1:19" x14ac:dyDescent="0.35">
      <c r="A356" s="6" t="s">
        <v>2173</v>
      </c>
      <c r="B356" s="20">
        <v>45338</v>
      </c>
      <c r="C356" s="1" t="str">
        <f>TEXT(Salesdta[[#This Row],[Order_Date]],"mmmm")</f>
        <v>February</v>
      </c>
      <c r="D356" s="1" t="s">
        <v>1506</v>
      </c>
      <c r="E356" s="1" t="str">
        <f>VLOOKUP(Salesdta[[#This Row],[Customer_ID]],Customer_Data_[],6,TRUE)</f>
        <v>Female</v>
      </c>
      <c r="F356" s="1" t="str">
        <f>VLOOKUP(Salesdta[[#This Row],[Customer_ID]],Customer_Data_[],8,TRUE)</f>
        <v>South Dakota</v>
      </c>
      <c r="G356" s="1" t="s">
        <v>1561</v>
      </c>
      <c r="H356" s="1" t="str">
        <f>VLOOKUP(Salesdta[[#This Row],[Product_ID]],Product_Data_1[],2,TRUE)</f>
        <v>Face Foundation Kit</v>
      </c>
      <c r="I356" s="1" t="str">
        <f>VLOOKUP(Salesdta[[#This Row],[Product_ID]],Product_Data_1[],3,TRUE)</f>
        <v>Beauty</v>
      </c>
      <c r="J356" s="1">
        <f>VLOOKUP(Salesdta[[#This Row],[Product_ID]],Product_Data_1[],7,TRUE)</f>
        <v>183</v>
      </c>
      <c r="K356" s="1" t="s">
        <v>1757</v>
      </c>
      <c r="L356" s="1" t="str">
        <f>VLOOKUP(Salesdta[[#This Row],[Store_ID]],Store_Data_1[],3,TRUE)</f>
        <v>South</v>
      </c>
      <c r="M356" s="1">
        <v>1</v>
      </c>
      <c r="N356" s="1">
        <v>313</v>
      </c>
      <c r="O356" s="12">
        <v>0.12</v>
      </c>
      <c r="P356" s="1" t="s">
        <v>1819</v>
      </c>
      <c r="Q356" s="1">
        <v>275</v>
      </c>
      <c r="R356" s="1">
        <f>Salesdta[[#This Row],[Final Revenue]]-Salesdta[[#This Row],[Product cost]]</f>
        <v>92</v>
      </c>
      <c r="S356" s="1" t="str">
        <f>IF(Salesdta[[#This Row],[Final Revenue]]&gt;1000,"Selected","Not Selected")</f>
        <v>Not Selected</v>
      </c>
    </row>
    <row r="357" spans="1:19" x14ac:dyDescent="0.35">
      <c r="A357" s="6" t="s">
        <v>2174</v>
      </c>
      <c r="B357" s="20">
        <v>45882</v>
      </c>
      <c r="C357" s="1" t="str">
        <f>TEXT(Salesdta[[#This Row],[Order_Date]],"mmmm")</f>
        <v>August</v>
      </c>
      <c r="D357" s="1" t="s">
        <v>405</v>
      </c>
      <c r="E357" s="1" t="str">
        <f>VLOOKUP(Salesdta[[#This Row],[Customer_ID]],Customer_Data_[],6,TRUE)</f>
        <v>Female</v>
      </c>
      <c r="F357" s="1" t="str">
        <f>VLOOKUP(Salesdta[[#This Row],[Customer_ID]],Customer_Data_[],8,TRUE)</f>
        <v>Washington</v>
      </c>
      <c r="G357" s="1" t="s">
        <v>1738</v>
      </c>
      <c r="H357" s="1" t="str">
        <f>VLOOKUP(Salesdta[[#This Row],[Product_ID]],Product_Data_1[],2,TRUE)</f>
        <v>Cricket Bat</v>
      </c>
      <c r="I357" s="1" t="str">
        <f>VLOOKUP(Salesdta[[#This Row],[Product_ID]],Product_Data_1[],3,TRUE)</f>
        <v>Sports</v>
      </c>
      <c r="J357" s="1">
        <f>VLOOKUP(Salesdta[[#This Row],[Product_ID]],Product_Data_1[],7,TRUE)</f>
        <v>246</v>
      </c>
      <c r="K357" s="1" t="s">
        <v>1775</v>
      </c>
      <c r="L357" s="1" t="str">
        <f>VLOOKUP(Salesdta[[#This Row],[Store_ID]],Store_Data_1[],3,TRUE)</f>
        <v>South</v>
      </c>
      <c r="M357" s="1">
        <v>3</v>
      </c>
      <c r="N357" s="1">
        <v>411</v>
      </c>
      <c r="O357" s="12">
        <v>0.05</v>
      </c>
      <c r="P357" s="1" t="s">
        <v>1817</v>
      </c>
      <c r="Q357" s="1">
        <v>1172</v>
      </c>
      <c r="R357" s="1">
        <f>Salesdta[[#This Row],[Final Revenue]]-Salesdta[[#This Row],[Product cost]]</f>
        <v>926</v>
      </c>
      <c r="S357" s="1" t="str">
        <f>IF(Salesdta[[#This Row],[Final Revenue]]&gt;1000,"Selected","Not Selected")</f>
        <v>Selected</v>
      </c>
    </row>
    <row r="358" spans="1:19" x14ac:dyDescent="0.35">
      <c r="A358" s="6" t="s">
        <v>2175</v>
      </c>
      <c r="B358" s="20">
        <v>45923</v>
      </c>
      <c r="C358" s="1" t="str">
        <f>TEXT(Salesdta[[#This Row],[Order_Date]],"mmmm")</f>
        <v>September</v>
      </c>
      <c r="D358" s="1" t="s">
        <v>1104</v>
      </c>
      <c r="E358" s="1" t="str">
        <f>VLOOKUP(Salesdta[[#This Row],[Customer_ID]],Customer_Data_[],6,TRUE)</f>
        <v>Female</v>
      </c>
      <c r="F358" s="1" t="str">
        <f>VLOOKUP(Salesdta[[#This Row],[Customer_ID]],Customer_Data_[],8,TRUE)</f>
        <v>Oregon</v>
      </c>
      <c r="G358" s="1" t="s">
        <v>1640</v>
      </c>
      <c r="H358" s="1" t="str">
        <f>VLOOKUP(Salesdta[[#This Row],[Product_ID]],Product_Data_1[],2,TRUE)</f>
        <v>Car Dashboard Phone Holder</v>
      </c>
      <c r="I358" s="1" t="str">
        <f>VLOOKUP(Salesdta[[#This Row],[Product_ID]],Product_Data_1[],3,TRUE)</f>
        <v>Electronics</v>
      </c>
      <c r="J358" s="1">
        <f>VLOOKUP(Salesdta[[#This Row],[Product_ID]],Product_Data_1[],7,TRUE)</f>
        <v>178</v>
      </c>
      <c r="K358" s="1" t="s">
        <v>1757</v>
      </c>
      <c r="L358" s="1" t="str">
        <f>VLOOKUP(Salesdta[[#This Row],[Store_ID]],Store_Data_1[],3,TRUE)</f>
        <v>South</v>
      </c>
      <c r="M358" s="1">
        <v>4</v>
      </c>
      <c r="N358" s="1">
        <v>395</v>
      </c>
      <c r="O358" s="12">
        <v>0.01</v>
      </c>
      <c r="P358" s="1" t="s">
        <v>1817</v>
      </c>
      <c r="Q358" s="1">
        <v>1566</v>
      </c>
      <c r="R358" s="1">
        <f>Salesdta[[#This Row],[Final Revenue]]-Salesdta[[#This Row],[Product cost]]</f>
        <v>1388</v>
      </c>
      <c r="S358" s="1" t="str">
        <f>IF(Salesdta[[#This Row],[Final Revenue]]&gt;1000,"Selected","Not Selected")</f>
        <v>Selected</v>
      </c>
    </row>
    <row r="359" spans="1:19" x14ac:dyDescent="0.35">
      <c r="A359" s="6" t="s">
        <v>2176</v>
      </c>
      <c r="B359" s="20">
        <v>45421</v>
      </c>
      <c r="C359" s="1" t="str">
        <f>TEXT(Salesdta[[#This Row],[Order_Date]],"mmmm")</f>
        <v>May</v>
      </c>
      <c r="D359" s="1" t="s">
        <v>142</v>
      </c>
      <c r="E359" s="1" t="str">
        <f>VLOOKUP(Salesdta[[#This Row],[Customer_ID]],Customer_Data_[],6,TRUE)</f>
        <v>Female</v>
      </c>
      <c r="F359" s="1" t="str">
        <f>VLOOKUP(Salesdta[[#This Row],[Customer_ID]],Customer_Data_[],8,TRUE)</f>
        <v>Georgia</v>
      </c>
      <c r="G359" s="1" t="s">
        <v>1724</v>
      </c>
      <c r="H359" s="1" t="str">
        <f>VLOOKUP(Salesdta[[#This Row],[Product_ID]],Product_Data_1[],2,TRUE)</f>
        <v>Gaming Mouse Pad XL</v>
      </c>
      <c r="I359" s="1" t="str">
        <f>VLOOKUP(Salesdta[[#This Row],[Product_ID]],Product_Data_1[],3,TRUE)</f>
        <v>Electronics</v>
      </c>
      <c r="J359" s="1">
        <f>VLOOKUP(Salesdta[[#This Row],[Product_ID]],Product_Data_1[],7,TRUE)</f>
        <v>340</v>
      </c>
      <c r="K359" s="1" t="s">
        <v>1769</v>
      </c>
      <c r="L359" s="1" t="str">
        <f>VLOOKUP(Salesdta[[#This Row],[Store_ID]],Store_Data_1[],3,TRUE)</f>
        <v>North</v>
      </c>
      <c r="M359" s="1">
        <v>2</v>
      </c>
      <c r="N359" s="1">
        <v>679</v>
      </c>
      <c r="O359" s="12">
        <v>0.23</v>
      </c>
      <c r="P359" s="1" t="s">
        <v>1817</v>
      </c>
      <c r="Q359" s="1">
        <v>1046</v>
      </c>
      <c r="R359" s="1">
        <f>Salesdta[[#This Row],[Final Revenue]]-Salesdta[[#This Row],[Product cost]]</f>
        <v>706</v>
      </c>
      <c r="S359" s="1" t="str">
        <f>IF(Salesdta[[#This Row],[Final Revenue]]&gt;1000,"Selected","Not Selected")</f>
        <v>Selected</v>
      </c>
    </row>
    <row r="360" spans="1:19" x14ac:dyDescent="0.35">
      <c r="A360" s="6" t="s">
        <v>2177</v>
      </c>
      <c r="B360" s="20">
        <v>45644</v>
      </c>
      <c r="C360" s="1" t="str">
        <f>TEXT(Salesdta[[#This Row],[Order_Date]],"mmmm")</f>
        <v>December</v>
      </c>
      <c r="D360" s="1" t="s">
        <v>218</v>
      </c>
      <c r="E360" s="1" t="str">
        <f>VLOOKUP(Salesdta[[#This Row],[Customer_ID]],Customer_Data_[],6,TRUE)</f>
        <v>Male</v>
      </c>
      <c r="F360" s="1" t="str">
        <f>VLOOKUP(Salesdta[[#This Row],[Customer_ID]],Customer_Data_[],8,TRUE)</f>
        <v>Montana</v>
      </c>
      <c r="G360" s="1" t="s">
        <v>1732</v>
      </c>
      <c r="H360" s="1" t="str">
        <f>VLOOKUP(Salesdta[[#This Row],[Product_ID]],Product_Data_1[],2,TRUE)</f>
        <v>Vitamin E Body Lotion</v>
      </c>
      <c r="I360" s="1" t="str">
        <f>VLOOKUP(Salesdta[[#This Row],[Product_ID]],Product_Data_1[],3,TRUE)</f>
        <v>Beauty</v>
      </c>
      <c r="J360" s="1">
        <f>VLOOKUP(Salesdta[[#This Row],[Product_ID]],Product_Data_1[],7,TRUE)</f>
        <v>358</v>
      </c>
      <c r="K360" s="1" t="s">
        <v>1765</v>
      </c>
      <c r="L360" s="1" t="str">
        <f>VLOOKUP(Salesdta[[#This Row],[Store_ID]],Store_Data_1[],3,TRUE)</f>
        <v>South</v>
      </c>
      <c r="M360" s="1">
        <v>1</v>
      </c>
      <c r="N360" s="1">
        <v>648</v>
      </c>
      <c r="O360" s="12">
        <v>0.05</v>
      </c>
      <c r="P360" s="1" t="s">
        <v>1822</v>
      </c>
      <c r="Q360" s="1">
        <v>615</v>
      </c>
      <c r="R360" s="1">
        <f>Salesdta[[#This Row],[Final Revenue]]-Salesdta[[#This Row],[Product cost]]</f>
        <v>257</v>
      </c>
      <c r="S360" s="1" t="str">
        <f>IF(Salesdta[[#This Row],[Final Revenue]]&gt;1000,"Selected","Not Selected")</f>
        <v>Not Selected</v>
      </c>
    </row>
    <row r="361" spans="1:19" x14ac:dyDescent="0.35">
      <c r="A361" s="6" t="s">
        <v>2178</v>
      </c>
      <c r="B361" s="20">
        <v>45693</v>
      </c>
      <c r="C361" s="1" t="str">
        <f>TEXT(Salesdta[[#This Row],[Order_Date]],"mmmm")</f>
        <v>February</v>
      </c>
      <c r="D361" s="1" t="s">
        <v>1274</v>
      </c>
      <c r="E361" s="1" t="str">
        <f>VLOOKUP(Salesdta[[#This Row],[Customer_ID]],Customer_Data_[],6,TRUE)</f>
        <v>Male</v>
      </c>
      <c r="F361" s="1" t="str">
        <f>VLOOKUP(Salesdta[[#This Row],[Customer_ID]],Customer_Data_[],8,TRUE)</f>
        <v>Ohio</v>
      </c>
      <c r="G361" s="1" t="s">
        <v>1580</v>
      </c>
      <c r="H361" s="1" t="str">
        <f>VLOOKUP(Salesdta[[#This Row],[Product_ID]],Product_Data_1[],2,TRUE)</f>
        <v>Women's Denim Jeans</v>
      </c>
      <c r="I361" s="1" t="str">
        <f>VLOOKUP(Salesdta[[#This Row],[Product_ID]],Product_Data_1[],3,TRUE)</f>
        <v>Clothing</v>
      </c>
      <c r="J361" s="1">
        <f>VLOOKUP(Salesdta[[#This Row],[Product_ID]],Product_Data_1[],7,TRUE)</f>
        <v>254</v>
      </c>
      <c r="K361" s="1" t="s">
        <v>1797</v>
      </c>
      <c r="L361" s="1" t="str">
        <f>VLOOKUP(Salesdta[[#This Row],[Store_ID]],Store_Data_1[],3,TRUE)</f>
        <v>North</v>
      </c>
      <c r="M361" s="1">
        <v>1</v>
      </c>
      <c r="N361" s="1">
        <v>125</v>
      </c>
      <c r="O361" s="12">
        <v>7.0000000000000007E-2</v>
      </c>
      <c r="P361" s="1" t="s">
        <v>1822</v>
      </c>
      <c r="Q361" s="1">
        <v>116</v>
      </c>
      <c r="R361" s="1">
        <f>Salesdta[[#This Row],[Final Revenue]]-Salesdta[[#This Row],[Product cost]]</f>
        <v>-138</v>
      </c>
      <c r="S361" s="1" t="str">
        <f>IF(Salesdta[[#This Row],[Final Revenue]]&gt;1000,"Selected","Not Selected")</f>
        <v>Not Selected</v>
      </c>
    </row>
    <row r="362" spans="1:19" x14ac:dyDescent="0.35">
      <c r="A362" s="6" t="s">
        <v>2179</v>
      </c>
      <c r="B362" s="20">
        <v>45338</v>
      </c>
      <c r="C362" s="1" t="str">
        <f>TEXT(Salesdta[[#This Row],[Order_Date]],"mmmm")</f>
        <v>February</v>
      </c>
      <c r="D362" s="1" t="s">
        <v>1213</v>
      </c>
      <c r="E362" s="1" t="str">
        <f>VLOOKUP(Salesdta[[#This Row],[Customer_ID]],Customer_Data_[],6,TRUE)</f>
        <v>Male</v>
      </c>
      <c r="F362" s="1" t="str">
        <f>VLOOKUP(Salesdta[[#This Row],[Customer_ID]],Customer_Data_[],8,TRUE)</f>
        <v>Arkansas</v>
      </c>
      <c r="G362" s="1" t="s">
        <v>1566</v>
      </c>
      <c r="H362" s="1" t="str">
        <f>VLOOKUP(Salesdta[[#This Row],[Product_ID]],Product_Data_1[],2,TRUE)</f>
        <v>HD Smart TV Stick</v>
      </c>
      <c r="I362" s="1" t="str">
        <f>VLOOKUP(Salesdta[[#This Row],[Product_ID]],Product_Data_1[],3,TRUE)</f>
        <v>Electronics</v>
      </c>
      <c r="J362" s="1">
        <f>VLOOKUP(Salesdta[[#This Row],[Product_ID]],Product_Data_1[],7,TRUE)</f>
        <v>449</v>
      </c>
      <c r="K362" s="1" t="s">
        <v>1748</v>
      </c>
      <c r="L362" s="1" t="str">
        <f>VLOOKUP(Salesdta[[#This Row],[Store_ID]],Store_Data_1[],3,TRUE)</f>
        <v>East</v>
      </c>
      <c r="M362" s="1">
        <v>1</v>
      </c>
      <c r="N362" s="1">
        <v>363</v>
      </c>
      <c r="O362" s="12">
        <v>0.27</v>
      </c>
      <c r="P362" s="1" t="s">
        <v>1817</v>
      </c>
      <c r="Q362" s="1">
        <v>265</v>
      </c>
      <c r="R362" s="1">
        <f>Salesdta[[#This Row],[Final Revenue]]-Salesdta[[#This Row],[Product cost]]</f>
        <v>-184</v>
      </c>
      <c r="S362" s="1" t="str">
        <f>IF(Salesdta[[#This Row],[Final Revenue]]&gt;1000,"Selected","Not Selected")</f>
        <v>Not Selected</v>
      </c>
    </row>
    <row r="363" spans="1:19" x14ac:dyDescent="0.35">
      <c r="A363" s="6" t="s">
        <v>2180</v>
      </c>
      <c r="B363" s="20">
        <v>45373</v>
      </c>
      <c r="C363" s="1" t="str">
        <f>TEXT(Salesdta[[#This Row],[Order_Date]],"mmmm")</f>
        <v>March</v>
      </c>
      <c r="D363" s="1" t="s">
        <v>1053</v>
      </c>
      <c r="E363" s="1" t="str">
        <f>VLOOKUP(Salesdta[[#This Row],[Customer_ID]],Customer_Data_[],6,TRUE)</f>
        <v>Female</v>
      </c>
      <c r="F363" s="1" t="str">
        <f>VLOOKUP(Salesdta[[#This Row],[Customer_ID]],Customer_Data_[],8,TRUE)</f>
        <v>Oregon</v>
      </c>
      <c r="G363" s="1" t="s">
        <v>1566</v>
      </c>
      <c r="H363" s="1" t="str">
        <f>VLOOKUP(Salesdta[[#This Row],[Product_ID]],Product_Data_1[],2,TRUE)</f>
        <v>HD Smart TV Stick</v>
      </c>
      <c r="I363" s="1" t="str">
        <f>VLOOKUP(Salesdta[[#This Row],[Product_ID]],Product_Data_1[],3,TRUE)</f>
        <v>Electronics</v>
      </c>
      <c r="J363" s="1">
        <f>VLOOKUP(Salesdta[[#This Row],[Product_ID]],Product_Data_1[],7,TRUE)</f>
        <v>449</v>
      </c>
      <c r="K363" s="1" t="s">
        <v>1797</v>
      </c>
      <c r="L363" s="1" t="str">
        <f>VLOOKUP(Salesdta[[#This Row],[Store_ID]],Store_Data_1[],3,TRUE)</f>
        <v>North</v>
      </c>
      <c r="M363" s="1">
        <v>4</v>
      </c>
      <c r="N363" s="1">
        <v>369</v>
      </c>
      <c r="O363" s="12">
        <v>0.18</v>
      </c>
      <c r="P363" s="1" t="s">
        <v>1822</v>
      </c>
      <c r="Q363" s="1">
        <v>1211</v>
      </c>
      <c r="R363" s="1">
        <f>Salesdta[[#This Row],[Final Revenue]]-Salesdta[[#This Row],[Product cost]]</f>
        <v>762</v>
      </c>
      <c r="S363" s="1" t="str">
        <f>IF(Salesdta[[#This Row],[Final Revenue]]&gt;1000,"Selected","Not Selected")</f>
        <v>Selected</v>
      </c>
    </row>
    <row r="364" spans="1:19" x14ac:dyDescent="0.35">
      <c r="A364" s="6" t="s">
        <v>2181</v>
      </c>
      <c r="B364" s="20">
        <v>45590</v>
      </c>
      <c r="C364" s="1" t="str">
        <f>TEXT(Salesdta[[#This Row],[Order_Date]],"mmmm")</f>
        <v>October</v>
      </c>
      <c r="D364" s="1" t="s">
        <v>1271</v>
      </c>
      <c r="E364" s="1" t="str">
        <f>VLOOKUP(Salesdta[[#This Row],[Customer_ID]],Customer_Data_[],6,TRUE)</f>
        <v>Female</v>
      </c>
      <c r="F364" s="1" t="str">
        <f>VLOOKUP(Salesdta[[#This Row],[Customer_ID]],Customer_Data_[],8,TRUE)</f>
        <v>New Jersey</v>
      </c>
      <c r="G364" s="1" t="s">
        <v>1736</v>
      </c>
      <c r="H364" s="1" t="str">
        <f>VLOOKUP(Salesdta[[#This Row],[Product_ID]],Product_Data_1[],2,TRUE)</f>
        <v>Women's Formal Blazer</v>
      </c>
      <c r="I364" s="1" t="str">
        <f>VLOOKUP(Salesdta[[#This Row],[Product_ID]],Product_Data_1[],3,TRUE)</f>
        <v>Clothing</v>
      </c>
      <c r="J364" s="1">
        <f>VLOOKUP(Salesdta[[#This Row],[Product_ID]],Product_Data_1[],7,TRUE)</f>
        <v>358</v>
      </c>
      <c r="K364" s="1" t="s">
        <v>1795</v>
      </c>
      <c r="L364" s="1" t="str">
        <f>VLOOKUP(Salesdta[[#This Row],[Store_ID]],Store_Data_1[],3,TRUE)</f>
        <v>North</v>
      </c>
      <c r="M364" s="1">
        <v>3</v>
      </c>
      <c r="N364" s="1">
        <v>951</v>
      </c>
      <c r="O364" s="12">
        <v>0.06</v>
      </c>
      <c r="P364" s="1" t="s">
        <v>1819</v>
      </c>
      <c r="Q364" s="1">
        <v>2681</v>
      </c>
      <c r="R364" s="1">
        <f>Salesdta[[#This Row],[Final Revenue]]-Salesdta[[#This Row],[Product cost]]</f>
        <v>2323</v>
      </c>
      <c r="S364" s="1" t="str">
        <f>IF(Salesdta[[#This Row],[Final Revenue]]&gt;1000,"Selected","Not Selected")</f>
        <v>Selected</v>
      </c>
    </row>
    <row r="365" spans="1:19" x14ac:dyDescent="0.35">
      <c r="A365" s="6" t="s">
        <v>2182</v>
      </c>
      <c r="B365" s="20">
        <v>45801</v>
      </c>
      <c r="C365" s="1" t="str">
        <f>TEXT(Salesdta[[#This Row],[Order_Date]],"mmmm")</f>
        <v>May</v>
      </c>
      <c r="D365" s="1" t="s">
        <v>1248</v>
      </c>
      <c r="E365" s="1" t="str">
        <f>VLOOKUP(Salesdta[[#This Row],[Customer_ID]],Customer_Data_[],6,TRUE)</f>
        <v>Male</v>
      </c>
      <c r="F365" s="1" t="str">
        <f>VLOOKUP(Salesdta[[#This Row],[Customer_ID]],Customer_Data_[],8,TRUE)</f>
        <v>Mississippi</v>
      </c>
      <c r="G365" s="1" t="s">
        <v>1586</v>
      </c>
      <c r="H365" s="1" t="str">
        <f>VLOOKUP(Salesdta[[#This Row],[Product_ID]],Product_Data_1[],2,TRUE)</f>
        <v>Multi-Purpose Storage Box</v>
      </c>
      <c r="I365" s="1" t="str">
        <f>VLOOKUP(Salesdta[[#This Row],[Product_ID]],Product_Data_1[],3,TRUE)</f>
        <v>Home</v>
      </c>
      <c r="J365" s="1">
        <f>VLOOKUP(Salesdta[[#This Row],[Product_ID]],Product_Data_1[],7,TRUE)</f>
        <v>123</v>
      </c>
      <c r="K365" s="1" t="s">
        <v>1748</v>
      </c>
      <c r="L365" s="1" t="str">
        <f>VLOOKUP(Salesdta[[#This Row],[Store_ID]],Store_Data_1[],3,TRUE)</f>
        <v>East</v>
      </c>
      <c r="M365" s="1">
        <v>2</v>
      </c>
      <c r="N365" s="1">
        <v>348</v>
      </c>
      <c r="O365" s="12">
        <v>0.13</v>
      </c>
      <c r="P365" s="1" t="s">
        <v>1822</v>
      </c>
      <c r="Q365" s="1">
        <v>605</v>
      </c>
      <c r="R365" s="1">
        <f>Salesdta[[#This Row],[Final Revenue]]-Salesdta[[#This Row],[Product cost]]</f>
        <v>482</v>
      </c>
      <c r="S365" s="1" t="str">
        <f>IF(Salesdta[[#This Row],[Final Revenue]]&gt;1000,"Selected","Not Selected")</f>
        <v>Not Selected</v>
      </c>
    </row>
    <row r="366" spans="1:19" x14ac:dyDescent="0.35">
      <c r="A366" s="6" t="s">
        <v>2183</v>
      </c>
      <c r="B366" s="20">
        <v>45332</v>
      </c>
      <c r="C366" s="1" t="str">
        <f>TEXT(Salesdta[[#This Row],[Order_Date]],"mmmm")</f>
        <v>February</v>
      </c>
      <c r="D366" s="1" t="s">
        <v>1358</v>
      </c>
      <c r="E366" s="1" t="str">
        <f>VLOOKUP(Salesdta[[#This Row],[Customer_ID]],Customer_Data_[],6,TRUE)</f>
        <v>Male</v>
      </c>
      <c r="F366" s="1" t="str">
        <f>VLOOKUP(Salesdta[[#This Row],[Customer_ID]],Customer_Data_[],8,TRUE)</f>
        <v>North Dakota</v>
      </c>
      <c r="G366" s="1" t="s">
        <v>1672</v>
      </c>
      <c r="H366" s="1" t="str">
        <f>VLOOKUP(Salesdta[[#This Row],[Product_ID]],Product_Data_1[],2,TRUE)</f>
        <v>Matte Lipstick Set</v>
      </c>
      <c r="I366" s="1" t="str">
        <f>VLOOKUP(Salesdta[[#This Row],[Product_ID]],Product_Data_1[],3,TRUE)</f>
        <v>Beauty</v>
      </c>
      <c r="J366" s="1">
        <f>VLOOKUP(Salesdta[[#This Row],[Product_ID]],Product_Data_1[],7,TRUE)</f>
        <v>299</v>
      </c>
      <c r="K366" s="1" t="s">
        <v>1762</v>
      </c>
      <c r="L366" s="1" t="str">
        <f>VLOOKUP(Salesdta[[#This Row],[Store_ID]],Store_Data_1[],3,TRUE)</f>
        <v>North</v>
      </c>
      <c r="M366" s="1">
        <v>2</v>
      </c>
      <c r="N366" s="1">
        <v>493</v>
      </c>
      <c r="O366" s="12">
        <v>0.26</v>
      </c>
      <c r="P366" s="1" t="s">
        <v>1822</v>
      </c>
      <c r="Q366" s="1">
        <v>729</v>
      </c>
      <c r="R366" s="1">
        <f>Salesdta[[#This Row],[Final Revenue]]-Salesdta[[#This Row],[Product cost]]</f>
        <v>430</v>
      </c>
      <c r="S366" s="1" t="str">
        <f>IF(Salesdta[[#This Row],[Final Revenue]]&gt;1000,"Selected","Not Selected")</f>
        <v>Not Selected</v>
      </c>
    </row>
    <row r="367" spans="1:19" x14ac:dyDescent="0.35">
      <c r="A367" s="6" t="s">
        <v>2184</v>
      </c>
      <c r="B367" s="20">
        <v>45344</v>
      </c>
      <c r="C367" s="1" t="str">
        <f>TEXT(Salesdta[[#This Row],[Order_Date]],"mmmm")</f>
        <v>February</v>
      </c>
      <c r="D367" s="1" t="s">
        <v>1171</v>
      </c>
      <c r="E367" s="1" t="str">
        <f>VLOOKUP(Salesdta[[#This Row],[Customer_ID]],Customer_Data_[],6,TRUE)</f>
        <v>Male</v>
      </c>
      <c r="F367" s="1" t="str">
        <f>VLOOKUP(Salesdta[[#This Row],[Customer_ID]],Customer_Data_[],8,TRUE)</f>
        <v>Connecticut</v>
      </c>
      <c r="G367" s="1" t="s">
        <v>1714</v>
      </c>
      <c r="H367" s="1" t="str">
        <f>VLOOKUP(Salesdta[[#This Row],[Product_ID]],Product_Data_1[],2,TRUE)</f>
        <v>Women's Beanie Hat</v>
      </c>
      <c r="I367" s="1" t="str">
        <f>VLOOKUP(Salesdta[[#This Row],[Product_ID]],Product_Data_1[],3,TRUE)</f>
        <v>Clothing</v>
      </c>
      <c r="J367" s="1">
        <f>VLOOKUP(Salesdta[[#This Row],[Product_ID]],Product_Data_1[],7,TRUE)</f>
        <v>120</v>
      </c>
      <c r="K367" s="1" t="s">
        <v>1762</v>
      </c>
      <c r="L367" s="1" t="str">
        <f>VLOOKUP(Salesdta[[#This Row],[Store_ID]],Store_Data_1[],3,TRUE)</f>
        <v>North</v>
      </c>
      <c r="M367" s="1">
        <v>4</v>
      </c>
      <c r="N367" s="1">
        <v>987</v>
      </c>
      <c r="O367" s="12">
        <v>0.01</v>
      </c>
      <c r="P367" s="1" t="s">
        <v>1817</v>
      </c>
      <c r="Q367" s="1">
        <v>3908</v>
      </c>
      <c r="R367" s="1">
        <f>Salesdta[[#This Row],[Final Revenue]]-Salesdta[[#This Row],[Product cost]]</f>
        <v>3788</v>
      </c>
      <c r="S367" s="1" t="str">
        <f>IF(Salesdta[[#This Row],[Final Revenue]]&gt;1000,"Selected","Not Selected")</f>
        <v>Selected</v>
      </c>
    </row>
    <row r="368" spans="1:19" x14ac:dyDescent="0.35">
      <c r="A368" s="6" t="s">
        <v>2185</v>
      </c>
      <c r="B368" s="20">
        <v>45629</v>
      </c>
      <c r="C368" s="1" t="str">
        <f>TEXT(Salesdta[[#This Row],[Order_Date]],"mmmm")</f>
        <v>December</v>
      </c>
      <c r="D368" s="1" t="s">
        <v>205</v>
      </c>
      <c r="E368" s="1" t="str">
        <f>VLOOKUP(Salesdta[[#This Row],[Customer_ID]],Customer_Data_[],6,TRUE)</f>
        <v>Female</v>
      </c>
      <c r="F368" s="1" t="str">
        <f>VLOOKUP(Salesdta[[#This Row],[Customer_ID]],Customer_Data_[],8,TRUE)</f>
        <v>Minnesota</v>
      </c>
      <c r="G368" s="1" t="s">
        <v>1574</v>
      </c>
      <c r="H368" s="1" t="str">
        <f>VLOOKUP(Salesdta[[#This Row],[Product_ID]],Product_Data_1[],2,TRUE)</f>
        <v>4K Home Projector</v>
      </c>
      <c r="I368" s="1" t="str">
        <f>VLOOKUP(Salesdta[[#This Row],[Product_ID]],Product_Data_1[],3,TRUE)</f>
        <v>Electronics</v>
      </c>
      <c r="J368" s="1">
        <f>VLOOKUP(Salesdta[[#This Row],[Product_ID]],Product_Data_1[],7,TRUE)</f>
        <v>465</v>
      </c>
      <c r="K368" s="1" t="s">
        <v>1772</v>
      </c>
      <c r="L368" s="1" t="str">
        <f>VLOOKUP(Salesdta[[#This Row],[Store_ID]],Store_Data_1[],3,TRUE)</f>
        <v>East</v>
      </c>
      <c r="M368" s="1">
        <v>2</v>
      </c>
      <c r="N368" s="1">
        <v>884</v>
      </c>
      <c r="O368" s="12">
        <v>0</v>
      </c>
      <c r="P368" s="1" t="s">
        <v>1822</v>
      </c>
      <c r="Q368" s="1">
        <v>1769</v>
      </c>
      <c r="R368" s="1">
        <f>Salesdta[[#This Row],[Final Revenue]]-Salesdta[[#This Row],[Product cost]]</f>
        <v>1304</v>
      </c>
      <c r="S368" s="1" t="str">
        <f>IF(Salesdta[[#This Row],[Final Revenue]]&gt;1000,"Selected","Not Selected")</f>
        <v>Selected</v>
      </c>
    </row>
    <row r="369" spans="1:19" x14ac:dyDescent="0.35">
      <c r="A369" s="6" t="s">
        <v>2186</v>
      </c>
      <c r="B369" s="20">
        <v>45914</v>
      </c>
      <c r="C369" s="1" t="str">
        <f>TEXT(Salesdta[[#This Row],[Order_Date]],"mmmm")</f>
        <v>September</v>
      </c>
      <c r="D369" s="1" t="s">
        <v>592</v>
      </c>
      <c r="E369" s="1" t="str">
        <f>VLOOKUP(Salesdta[[#This Row],[Customer_ID]],Customer_Data_[],6,TRUE)</f>
        <v>Male</v>
      </c>
      <c r="F369" s="1" t="str">
        <f>VLOOKUP(Salesdta[[#This Row],[Customer_ID]],Customer_Data_[],8,TRUE)</f>
        <v>Maine</v>
      </c>
      <c r="G369" s="1" t="s">
        <v>1724</v>
      </c>
      <c r="H369" s="1" t="str">
        <f>VLOOKUP(Salesdta[[#This Row],[Product_ID]],Product_Data_1[],2,TRUE)</f>
        <v>Gaming Mouse Pad XL</v>
      </c>
      <c r="I369" s="1" t="str">
        <f>VLOOKUP(Salesdta[[#This Row],[Product_ID]],Product_Data_1[],3,TRUE)</f>
        <v>Electronics</v>
      </c>
      <c r="J369" s="1">
        <f>VLOOKUP(Salesdta[[#This Row],[Product_ID]],Product_Data_1[],7,TRUE)</f>
        <v>340</v>
      </c>
      <c r="K369" s="1" t="s">
        <v>1806</v>
      </c>
      <c r="L369" s="1" t="str">
        <f>VLOOKUP(Salesdta[[#This Row],[Store_ID]],Store_Data_1[],3,TRUE)</f>
        <v>North</v>
      </c>
      <c r="M369" s="1">
        <v>3</v>
      </c>
      <c r="N369" s="1">
        <v>107</v>
      </c>
      <c r="O369" s="12">
        <v>0.27</v>
      </c>
      <c r="P369" s="1" t="s">
        <v>1819</v>
      </c>
      <c r="Q369" s="1">
        <v>235</v>
      </c>
      <c r="R369" s="1">
        <f>Salesdta[[#This Row],[Final Revenue]]-Salesdta[[#This Row],[Product cost]]</f>
        <v>-105</v>
      </c>
      <c r="S369" s="1" t="str">
        <f>IF(Salesdta[[#This Row],[Final Revenue]]&gt;1000,"Selected","Not Selected")</f>
        <v>Not Selected</v>
      </c>
    </row>
    <row r="370" spans="1:19" x14ac:dyDescent="0.35">
      <c r="A370" s="6" t="s">
        <v>2187</v>
      </c>
      <c r="B370" s="20">
        <v>45689</v>
      </c>
      <c r="C370" s="1" t="str">
        <f>TEXT(Salesdta[[#This Row],[Order_Date]],"mmmm")</f>
        <v>February</v>
      </c>
      <c r="D370" s="1" t="s">
        <v>1106</v>
      </c>
      <c r="E370" s="1" t="str">
        <f>VLOOKUP(Salesdta[[#This Row],[Customer_ID]],Customer_Data_[],6,TRUE)</f>
        <v>Male</v>
      </c>
      <c r="F370" s="1" t="str">
        <f>VLOOKUP(Salesdta[[#This Row],[Customer_ID]],Customer_Data_[],8,TRUE)</f>
        <v>Connecticut</v>
      </c>
      <c r="G370" s="1" t="s">
        <v>1666</v>
      </c>
      <c r="H370" s="1" t="str">
        <f>VLOOKUP(Salesdta[[#This Row],[Product_ID]],Product_Data_1[],2,TRUE)</f>
        <v>Tennis Ball 3-Pack</v>
      </c>
      <c r="I370" s="1" t="str">
        <f>VLOOKUP(Salesdta[[#This Row],[Product_ID]],Product_Data_1[],3,TRUE)</f>
        <v>Sports</v>
      </c>
      <c r="J370" s="1">
        <f>VLOOKUP(Salesdta[[#This Row],[Product_ID]],Product_Data_1[],7,TRUE)</f>
        <v>103</v>
      </c>
      <c r="K370" s="1" t="s">
        <v>1772</v>
      </c>
      <c r="L370" s="1" t="str">
        <f>VLOOKUP(Salesdta[[#This Row],[Store_ID]],Store_Data_1[],3,TRUE)</f>
        <v>East</v>
      </c>
      <c r="M370" s="1">
        <v>3</v>
      </c>
      <c r="N370" s="1">
        <v>260</v>
      </c>
      <c r="O370" s="12">
        <v>0.09</v>
      </c>
      <c r="P370" s="1" t="s">
        <v>1817</v>
      </c>
      <c r="Q370" s="1">
        <v>711</v>
      </c>
      <c r="R370" s="1">
        <f>Salesdta[[#This Row],[Final Revenue]]-Salesdta[[#This Row],[Product cost]]</f>
        <v>608</v>
      </c>
      <c r="S370" s="1" t="str">
        <f>IF(Salesdta[[#This Row],[Final Revenue]]&gt;1000,"Selected","Not Selected")</f>
        <v>Not Selected</v>
      </c>
    </row>
    <row r="371" spans="1:19" x14ac:dyDescent="0.35">
      <c r="A371" s="6" t="s">
        <v>2188</v>
      </c>
      <c r="B371" s="20">
        <v>45781</v>
      </c>
      <c r="C371" s="1" t="str">
        <f>TEXT(Salesdta[[#This Row],[Order_Date]],"mmmm")</f>
        <v>May</v>
      </c>
      <c r="D371" s="1" t="s">
        <v>183</v>
      </c>
      <c r="E371" s="1" t="str">
        <f>VLOOKUP(Salesdta[[#This Row],[Customer_ID]],Customer_Data_[],6,TRUE)</f>
        <v>Male</v>
      </c>
      <c r="F371" s="1" t="str">
        <f>VLOOKUP(Salesdta[[#This Row],[Customer_ID]],Customer_Data_[],8,TRUE)</f>
        <v>North Carolina</v>
      </c>
      <c r="G371" s="1" t="s">
        <v>1734</v>
      </c>
      <c r="H371" s="1" t="str">
        <f>VLOOKUP(Salesdta[[#This Row],[Product_ID]],Product_Data_1[],2,TRUE)</f>
        <v>Sports Stopwatch Basic</v>
      </c>
      <c r="I371" s="1" t="str">
        <f>VLOOKUP(Salesdta[[#This Row],[Product_ID]],Product_Data_1[],3,TRUE)</f>
        <v>Sports</v>
      </c>
      <c r="J371" s="1">
        <f>VLOOKUP(Salesdta[[#This Row],[Product_ID]],Product_Data_1[],7,TRUE)</f>
        <v>61</v>
      </c>
      <c r="K371" s="1" t="s">
        <v>1795</v>
      </c>
      <c r="L371" s="1" t="str">
        <f>VLOOKUP(Salesdta[[#This Row],[Store_ID]],Store_Data_1[],3,TRUE)</f>
        <v>North</v>
      </c>
      <c r="M371" s="1">
        <v>4</v>
      </c>
      <c r="N371" s="1">
        <v>20</v>
      </c>
      <c r="O371" s="12">
        <v>0.16</v>
      </c>
      <c r="P371" s="1" t="s">
        <v>1819</v>
      </c>
      <c r="Q371" s="1">
        <v>68</v>
      </c>
      <c r="R371" s="1">
        <f>Salesdta[[#This Row],[Final Revenue]]-Salesdta[[#This Row],[Product cost]]</f>
        <v>7</v>
      </c>
      <c r="S371" s="1" t="str">
        <f>IF(Salesdta[[#This Row],[Final Revenue]]&gt;1000,"Selected","Not Selected")</f>
        <v>Not Selected</v>
      </c>
    </row>
    <row r="372" spans="1:19" x14ac:dyDescent="0.35">
      <c r="A372" s="6" t="s">
        <v>2189</v>
      </c>
      <c r="B372" s="20">
        <v>45594</v>
      </c>
      <c r="C372" s="1" t="str">
        <f>TEXT(Salesdta[[#This Row],[Order_Date]],"mmmm")</f>
        <v>October</v>
      </c>
      <c r="D372" s="1" t="s">
        <v>192</v>
      </c>
      <c r="E372" s="1" t="str">
        <f>VLOOKUP(Salesdta[[#This Row],[Customer_ID]],Customer_Data_[],6,TRUE)</f>
        <v>Female</v>
      </c>
      <c r="F372" s="1" t="str">
        <f>VLOOKUP(Salesdta[[#This Row],[Customer_ID]],Customer_Data_[],8,TRUE)</f>
        <v>West Virginia</v>
      </c>
      <c r="G372" s="1" t="s">
        <v>1586</v>
      </c>
      <c r="H372" s="1" t="str">
        <f>VLOOKUP(Salesdta[[#This Row],[Product_ID]],Product_Data_1[],2,TRUE)</f>
        <v>Multi-Purpose Storage Box</v>
      </c>
      <c r="I372" s="1" t="str">
        <f>VLOOKUP(Salesdta[[#This Row],[Product_ID]],Product_Data_1[],3,TRUE)</f>
        <v>Home</v>
      </c>
      <c r="J372" s="1">
        <f>VLOOKUP(Salesdta[[#This Row],[Product_ID]],Product_Data_1[],7,TRUE)</f>
        <v>123</v>
      </c>
      <c r="K372" s="1" t="s">
        <v>1748</v>
      </c>
      <c r="L372" s="1" t="str">
        <f>VLOOKUP(Salesdta[[#This Row],[Store_ID]],Store_Data_1[],3,TRUE)</f>
        <v>East</v>
      </c>
      <c r="M372" s="1">
        <v>1</v>
      </c>
      <c r="N372" s="1">
        <v>242</v>
      </c>
      <c r="O372" s="12">
        <v>0.18</v>
      </c>
      <c r="P372" s="1" t="s">
        <v>1819</v>
      </c>
      <c r="Q372" s="1">
        <v>199</v>
      </c>
      <c r="R372" s="1">
        <f>Salesdta[[#This Row],[Final Revenue]]-Salesdta[[#This Row],[Product cost]]</f>
        <v>76</v>
      </c>
      <c r="S372" s="1" t="str">
        <f>IF(Salesdta[[#This Row],[Final Revenue]]&gt;1000,"Selected","Not Selected")</f>
        <v>Not Selected</v>
      </c>
    </row>
    <row r="373" spans="1:19" x14ac:dyDescent="0.35">
      <c r="A373" s="6" t="s">
        <v>2190</v>
      </c>
      <c r="B373" s="20">
        <v>45510</v>
      </c>
      <c r="C373" s="1" t="str">
        <f>TEXT(Salesdta[[#This Row],[Order_Date]],"mmmm")</f>
        <v>August</v>
      </c>
      <c r="D373" s="1" t="s">
        <v>1491</v>
      </c>
      <c r="E373" s="1" t="str">
        <f>VLOOKUP(Salesdta[[#This Row],[Customer_ID]],Customer_Data_[],6,TRUE)</f>
        <v>Female</v>
      </c>
      <c r="F373" s="1" t="str">
        <f>VLOOKUP(Salesdta[[#This Row],[Customer_ID]],Customer_Data_[],8,TRUE)</f>
        <v>Vermont</v>
      </c>
      <c r="G373" s="1" t="s">
        <v>1624</v>
      </c>
      <c r="H373" s="1" t="str">
        <f>VLOOKUP(Salesdta[[#This Row],[Product_ID]],Product_Data_1[],2,TRUE)</f>
        <v>Noise-Canceling Headphones</v>
      </c>
      <c r="I373" s="1" t="str">
        <f>VLOOKUP(Salesdta[[#This Row],[Product_ID]],Product_Data_1[],3,TRUE)</f>
        <v>Electronics</v>
      </c>
      <c r="J373" s="1">
        <f>VLOOKUP(Salesdta[[#This Row],[Product_ID]],Product_Data_1[],7,TRUE)</f>
        <v>39</v>
      </c>
      <c r="K373" s="1" t="s">
        <v>1803</v>
      </c>
      <c r="L373" s="1" t="str">
        <f>VLOOKUP(Salesdta[[#This Row],[Store_ID]],Store_Data_1[],3,TRUE)</f>
        <v>North</v>
      </c>
      <c r="M373" s="1">
        <v>4</v>
      </c>
      <c r="N373" s="1">
        <v>503</v>
      </c>
      <c r="O373" s="12">
        <v>0.14000000000000001</v>
      </c>
      <c r="P373" s="1" t="s">
        <v>1822</v>
      </c>
      <c r="Q373" s="1">
        <v>1730</v>
      </c>
      <c r="R373" s="1">
        <f>Salesdta[[#This Row],[Final Revenue]]-Salesdta[[#This Row],[Product cost]]</f>
        <v>1691</v>
      </c>
      <c r="S373" s="1" t="str">
        <f>IF(Salesdta[[#This Row],[Final Revenue]]&gt;1000,"Selected","Not Selected")</f>
        <v>Selected</v>
      </c>
    </row>
    <row r="374" spans="1:19" x14ac:dyDescent="0.35">
      <c r="A374" s="6" t="s">
        <v>2191</v>
      </c>
      <c r="B374" s="20">
        <v>45842</v>
      </c>
      <c r="C374" s="1" t="str">
        <f>TEXT(Salesdta[[#This Row],[Order_Date]],"mmmm")</f>
        <v>July</v>
      </c>
      <c r="D374" s="1" t="s">
        <v>582</v>
      </c>
      <c r="E374" s="1" t="str">
        <f>VLOOKUP(Salesdta[[#This Row],[Customer_ID]],Customer_Data_[],6,TRUE)</f>
        <v>Male</v>
      </c>
      <c r="F374" s="1" t="str">
        <f>VLOOKUP(Salesdta[[#This Row],[Customer_ID]],Customer_Data_[],8,TRUE)</f>
        <v>Kentucky</v>
      </c>
      <c r="G374" s="1" t="s">
        <v>1662</v>
      </c>
      <c r="H374" s="1" t="str">
        <f>VLOOKUP(Salesdta[[#This Row],[Product_ID]],Product_Data_1[],2,TRUE)</f>
        <v>Men's Hair Styling Gel</v>
      </c>
      <c r="I374" s="1" t="str">
        <f>VLOOKUP(Salesdta[[#This Row],[Product_ID]],Product_Data_1[],3,TRUE)</f>
        <v>Beauty</v>
      </c>
      <c r="J374" s="1">
        <f>VLOOKUP(Salesdta[[#This Row],[Product_ID]],Product_Data_1[],7,TRUE)</f>
        <v>17</v>
      </c>
      <c r="K374" s="1" t="s">
        <v>1795</v>
      </c>
      <c r="L374" s="1" t="str">
        <f>VLOOKUP(Salesdta[[#This Row],[Store_ID]],Store_Data_1[],3,TRUE)</f>
        <v>North</v>
      </c>
      <c r="M374" s="1">
        <v>2</v>
      </c>
      <c r="N374" s="1">
        <v>37</v>
      </c>
      <c r="O374" s="12">
        <v>0.19</v>
      </c>
      <c r="P374" s="1" t="s">
        <v>1817</v>
      </c>
      <c r="Q374" s="1">
        <v>60</v>
      </c>
      <c r="R374" s="1">
        <f>Salesdta[[#This Row],[Final Revenue]]-Salesdta[[#This Row],[Product cost]]</f>
        <v>43</v>
      </c>
      <c r="S374" s="1" t="str">
        <f>IF(Salesdta[[#This Row],[Final Revenue]]&gt;1000,"Selected","Not Selected")</f>
        <v>Not Selected</v>
      </c>
    </row>
    <row r="375" spans="1:19" x14ac:dyDescent="0.35">
      <c r="A375" s="6" t="s">
        <v>2192</v>
      </c>
      <c r="B375" s="20">
        <v>45278</v>
      </c>
      <c r="C375" s="1" t="str">
        <f>TEXT(Salesdta[[#This Row],[Order_Date]],"mmmm")</f>
        <v>December</v>
      </c>
      <c r="D375" s="1" t="s">
        <v>890</v>
      </c>
      <c r="E375" s="1" t="str">
        <f>VLOOKUP(Salesdta[[#This Row],[Customer_ID]],Customer_Data_[],6,TRUE)</f>
        <v>Male</v>
      </c>
      <c r="F375" s="1" t="str">
        <f>VLOOKUP(Salesdta[[#This Row],[Customer_ID]],Customer_Data_[],8,TRUE)</f>
        <v>Connecticut</v>
      </c>
      <c r="G375" s="1" t="s">
        <v>1654</v>
      </c>
      <c r="H375" s="1" t="str">
        <f>VLOOKUP(Salesdta[[#This Row],[Product_ID]],Product_Data_1[],2,TRUE)</f>
        <v>Ceramic Plant Pot</v>
      </c>
      <c r="I375" s="1" t="str">
        <f>VLOOKUP(Salesdta[[#This Row],[Product_ID]],Product_Data_1[],3,TRUE)</f>
        <v>Home</v>
      </c>
      <c r="J375" s="1">
        <f>VLOOKUP(Salesdta[[#This Row],[Product_ID]],Product_Data_1[],7,TRUE)</f>
        <v>82</v>
      </c>
      <c r="K375" s="1" t="s">
        <v>1772</v>
      </c>
      <c r="L375" s="1" t="str">
        <f>VLOOKUP(Salesdta[[#This Row],[Store_ID]],Store_Data_1[],3,TRUE)</f>
        <v>East</v>
      </c>
      <c r="M375" s="1">
        <v>3</v>
      </c>
      <c r="N375" s="1">
        <v>599</v>
      </c>
      <c r="O375" s="12">
        <v>0.22</v>
      </c>
      <c r="P375" s="1" t="s">
        <v>1819</v>
      </c>
      <c r="Q375" s="1">
        <v>1403</v>
      </c>
      <c r="R375" s="1">
        <f>Salesdta[[#This Row],[Final Revenue]]-Salesdta[[#This Row],[Product cost]]</f>
        <v>1321</v>
      </c>
      <c r="S375" s="1" t="str">
        <f>IF(Salesdta[[#This Row],[Final Revenue]]&gt;1000,"Selected","Not Selected")</f>
        <v>Selected</v>
      </c>
    </row>
    <row r="376" spans="1:19" x14ac:dyDescent="0.35">
      <c r="A376" s="6" t="s">
        <v>2193</v>
      </c>
      <c r="B376" s="20">
        <v>45232</v>
      </c>
      <c r="C376" s="1" t="str">
        <f>TEXT(Salesdta[[#This Row],[Order_Date]],"mmmm")</f>
        <v>November</v>
      </c>
      <c r="D376" s="1" t="s">
        <v>1115</v>
      </c>
      <c r="E376" s="1" t="str">
        <f>VLOOKUP(Salesdta[[#This Row],[Customer_ID]],Customer_Data_[],6,TRUE)</f>
        <v>Male</v>
      </c>
      <c r="F376" s="1" t="str">
        <f>VLOOKUP(Salesdta[[#This Row],[Customer_ID]],Customer_Data_[],8,TRUE)</f>
        <v>Tennessee</v>
      </c>
      <c r="G376" s="1" t="s">
        <v>1578</v>
      </c>
      <c r="H376" s="1" t="str">
        <f>VLOOKUP(Salesdta[[#This Row],[Product_ID]],Product_Data_1[],2,TRUE)</f>
        <v>Soccer Training Cone Set</v>
      </c>
      <c r="I376" s="1" t="str">
        <f>VLOOKUP(Salesdta[[#This Row],[Product_ID]],Product_Data_1[],3,TRUE)</f>
        <v>Sports</v>
      </c>
      <c r="J376" s="1">
        <f>VLOOKUP(Salesdta[[#This Row],[Product_ID]],Product_Data_1[],7,TRUE)</f>
        <v>145</v>
      </c>
      <c r="K376" s="1" t="s">
        <v>1753</v>
      </c>
      <c r="L376" s="1" t="str">
        <f>VLOOKUP(Salesdta[[#This Row],[Store_ID]],Store_Data_1[],3,TRUE)</f>
        <v>North</v>
      </c>
      <c r="M376" s="1">
        <v>3</v>
      </c>
      <c r="N376" s="1">
        <v>401</v>
      </c>
      <c r="O376" s="12">
        <v>0.01</v>
      </c>
      <c r="P376" s="1" t="s">
        <v>1822</v>
      </c>
      <c r="Q376" s="1">
        <v>1192</v>
      </c>
      <c r="R376" s="1">
        <f>Salesdta[[#This Row],[Final Revenue]]-Salesdta[[#This Row],[Product cost]]</f>
        <v>1047</v>
      </c>
      <c r="S376" s="1" t="str">
        <f>IF(Salesdta[[#This Row],[Final Revenue]]&gt;1000,"Selected","Not Selected")</f>
        <v>Selected</v>
      </c>
    </row>
    <row r="377" spans="1:19" x14ac:dyDescent="0.35">
      <c r="A377" s="6" t="s">
        <v>2194</v>
      </c>
      <c r="B377" s="20">
        <v>45907</v>
      </c>
      <c r="C377" s="1" t="str">
        <f>TEXT(Salesdta[[#This Row],[Order_Date]],"mmmm")</f>
        <v>September</v>
      </c>
      <c r="D377" s="1" t="s">
        <v>628</v>
      </c>
      <c r="E377" s="1" t="str">
        <f>VLOOKUP(Salesdta[[#This Row],[Customer_ID]],Customer_Data_[],6,TRUE)</f>
        <v>Male</v>
      </c>
      <c r="F377" s="1" t="str">
        <f>VLOOKUP(Salesdta[[#This Row],[Customer_ID]],Customer_Data_[],8,TRUE)</f>
        <v>Idaho</v>
      </c>
      <c r="G377" s="1" t="s">
        <v>1636</v>
      </c>
      <c r="H377" s="1" t="str">
        <f>VLOOKUP(Salesdta[[#This Row],[Product_ID]],Product_Data_1[],2,TRUE)</f>
        <v>Men's Winter Jacket</v>
      </c>
      <c r="I377" s="1" t="str">
        <f>VLOOKUP(Salesdta[[#This Row],[Product_ID]],Product_Data_1[],3,TRUE)</f>
        <v>Clothing</v>
      </c>
      <c r="J377" s="1">
        <f>VLOOKUP(Salesdta[[#This Row],[Product_ID]],Product_Data_1[],7,TRUE)</f>
        <v>167</v>
      </c>
      <c r="K377" s="1" t="s">
        <v>1778</v>
      </c>
      <c r="L377" s="1" t="str">
        <f>VLOOKUP(Salesdta[[#This Row],[Store_ID]],Store_Data_1[],3,TRUE)</f>
        <v>West</v>
      </c>
      <c r="M377" s="1">
        <v>4</v>
      </c>
      <c r="N377" s="1">
        <v>443</v>
      </c>
      <c r="O377" s="12">
        <v>0.06</v>
      </c>
      <c r="P377" s="1" t="s">
        <v>1817</v>
      </c>
      <c r="Q377" s="1">
        <v>1664</v>
      </c>
      <c r="R377" s="1">
        <f>Salesdta[[#This Row],[Final Revenue]]-Salesdta[[#This Row],[Product cost]]</f>
        <v>1497</v>
      </c>
      <c r="S377" s="1" t="str">
        <f>IF(Salesdta[[#This Row],[Final Revenue]]&gt;1000,"Selected","Not Selected")</f>
        <v>Selected</v>
      </c>
    </row>
    <row r="378" spans="1:19" x14ac:dyDescent="0.35">
      <c r="A378" s="6" t="s">
        <v>2195</v>
      </c>
      <c r="B378" s="20">
        <v>45270</v>
      </c>
      <c r="C378" s="1" t="str">
        <f>TEXT(Salesdta[[#This Row],[Order_Date]],"mmmm")</f>
        <v>December</v>
      </c>
      <c r="D378" s="1" t="s">
        <v>1404</v>
      </c>
      <c r="E378" s="1" t="str">
        <f>VLOOKUP(Salesdta[[#This Row],[Customer_ID]],Customer_Data_[],6,TRUE)</f>
        <v>Female</v>
      </c>
      <c r="F378" s="1" t="str">
        <f>VLOOKUP(Salesdta[[#This Row],[Customer_ID]],Customer_Data_[],8,TRUE)</f>
        <v>Arkansas</v>
      </c>
      <c r="G378" s="1" t="s">
        <v>1720</v>
      </c>
      <c r="H378" s="1" t="str">
        <f>VLOOKUP(Salesdta[[#This Row],[Product_ID]],Product_Data_1[],2,TRUE)</f>
        <v>Sports Wrist Sweatbands</v>
      </c>
      <c r="I378" s="1" t="str">
        <f>VLOOKUP(Salesdta[[#This Row],[Product_ID]],Product_Data_1[],3,TRUE)</f>
        <v>Sports</v>
      </c>
      <c r="J378" s="1">
        <f>VLOOKUP(Salesdta[[#This Row],[Product_ID]],Product_Data_1[],7,TRUE)</f>
        <v>131</v>
      </c>
      <c r="K378" s="1" t="s">
        <v>1793</v>
      </c>
      <c r="L378" s="1" t="str">
        <f>VLOOKUP(Salesdta[[#This Row],[Store_ID]],Store_Data_1[],3,TRUE)</f>
        <v>North</v>
      </c>
      <c r="M378" s="1">
        <v>4</v>
      </c>
      <c r="N378" s="1">
        <v>451</v>
      </c>
      <c r="O378" s="12">
        <v>0.06</v>
      </c>
      <c r="P378" s="1" t="s">
        <v>1819</v>
      </c>
      <c r="Q378" s="1">
        <v>1697</v>
      </c>
      <c r="R378" s="1">
        <f>Salesdta[[#This Row],[Final Revenue]]-Salesdta[[#This Row],[Product cost]]</f>
        <v>1566</v>
      </c>
      <c r="S378" s="1" t="str">
        <f>IF(Salesdta[[#This Row],[Final Revenue]]&gt;1000,"Selected","Not Selected")</f>
        <v>Selected</v>
      </c>
    </row>
    <row r="379" spans="1:19" x14ac:dyDescent="0.35">
      <c r="A379" s="6" t="s">
        <v>2196</v>
      </c>
      <c r="B379" s="20">
        <v>45857</v>
      </c>
      <c r="C379" s="1" t="str">
        <f>TEXT(Salesdta[[#This Row],[Order_Date]],"mmmm")</f>
        <v>July</v>
      </c>
      <c r="D379" s="1" t="s">
        <v>425</v>
      </c>
      <c r="E379" s="1" t="str">
        <f>VLOOKUP(Salesdta[[#This Row],[Customer_ID]],Customer_Data_[],6,TRUE)</f>
        <v>Male</v>
      </c>
      <c r="F379" s="1" t="str">
        <f>VLOOKUP(Salesdta[[#This Row],[Customer_ID]],Customer_Data_[],8,TRUE)</f>
        <v>Illinois</v>
      </c>
      <c r="G379" s="1" t="s">
        <v>1588</v>
      </c>
      <c r="H379" s="1" t="str">
        <f>VLOOKUP(Salesdta[[#This Row],[Product_ID]],Product_Data_1[],2,TRUE)</f>
        <v>Carbon Fiber Tennis Racket</v>
      </c>
      <c r="I379" s="1" t="str">
        <f>VLOOKUP(Salesdta[[#This Row],[Product_ID]],Product_Data_1[],3,TRUE)</f>
        <v>Sports</v>
      </c>
      <c r="J379" s="1">
        <f>VLOOKUP(Salesdta[[#This Row],[Product_ID]],Product_Data_1[],7,TRUE)</f>
        <v>485</v>
      </c>
      <c r="K379" s="1" t="s">
        <v>1757</v>
      </c>
      <c r="L379" s="1" t="str">
        <f>VLOOKUP(Salesdta[[#This Row],[Store_ID]],Store_Data_1[],3,TRUE)</f>
        <v>South</v>
      </c>
      <c r="M379" s="1">
        <v>2</v>
      </c>
      <c r="N379" s="1">
        <v>419</v>
      </c>
      <c r="O379" s="12">
        <v>0.17</v>
      </c>
      <c r="P379" s="1" t="s">
        <v>1819</v>
      </c>
      <c r="Q379" s="1">
        <v>696</v>
      </c>
      <c r="R379" s="1">
        <f>Salesdta[[#This Row],[Final Revenue]]-Salesdta[[#This Row],[Product cost]]</f>
        <v>211</v>
      </c>
      <c r="S379" s="1" t="str">
        <f>IF(Salesdta[[#This Row],[Final Revenue]]&gt;1000,"Selected","Not Selected")</f>
        <v>Not Selected</v>
      </c>
    </row>
    <row r="380" spans="1:19" x14ac:dyDescent="0.35">
      <c r="A380" s="6" t="s">
        <v>2197</v>
      </c>
      <c r="B380" s="20">
        <v>45615</v>
      </c>
      <c r="C380" s="1" t="str">
        <f>TEXT(Salesdta[[#This Row],[Order_Date]],"mmmm")</f>
        <v>November</v>
      </c>
      <c r="D380" s="1" t="s">
        <v>1098</v>
      </c>
      <c r="E380" s="1" t="str">
        <f>VLOOKUP(Salesdta[[#This Row],[Customer_ID]],Customer_Data_[],6,TRUE)</f>
        <v>Female</v>
      </c>
      <c r="F380" s="1" t="str">
        <f>VLOOKUP(Salesdta[[#This Row],[Customer_ID]],Customer_Data_[],8,TRUE)</f>
        <v>Nebraska</v>
      </c>
      <c r="G380" s="1" t="s">
        <v>1596</v>
      </c>
      <c r="H380" s="1" t="str">
        <f>VLOOKUP(Salesdta[[#This Row],[Product_ID]],Product_Data_1[],2,TRUE)</f>
        <v>Wireless Bluetooth Speaker</v>
      </c>
      <c r="I380" s="1" t="str">
        <f>VLOOKUP(Salesdta[[#This Row],[Product_ID]],Product_Data_1[],3,TRUE)</f>
        <v>Electronics</v>
      </c>
      <c r="J380" s="1">
        <f>VLOOKUP(Salesdta[[#This Row],[Product_ID]],Product_Data_1[],7,TRUE)</f>
        <v>322</v>
      </c>
      <c r="K380" s="1" t="s">
        <v>1785</v>
      </c>
      <c r="L380" s="1" t="str">
        <f>VLOOKUP(Salesdta[[#This Row],[Store_ID]],Store_Data_1[],3,TRUE)</f>
        <v>North</v>
      </c>
      <c r="M380" s="1">
        <v>4</v>
      </c>
      <c r="N380" s="1">
        <v>413</v>
      </c>
      <c r="O380" s="12">
        <v>0.02</v>
      </c>
      <c r="P380" s="1" t="s">
        <v>1819</v>
      </c>
      <c r="Q380" s="1">
        <v>1621</v>
      </c>
      <c r="R380" s="1">
        <f>Salesdta[[#This Row],[Final Revenue]]-Salesdta[[#This Row],[Product cost]]</f>
        <v>1299</v>
      </c>
      <c r="S380" s="1" t="str">
        <f>IF(Salesdta[[#This Row],[Final Revenue]]&gt;1000,"Selected","Not Selected")</f>
        <v>Selected</v>
      </c>
    </row>
    <row r="381" spans="1:19" x14ac:dyDescent="0.35">
      <c r="A381" s="6" t="s">
        <v>2198</v>
      </c>
      <c r="B381" s="20">
        <v>45832</v>
      </c>
      <c r="C381" s="1" t="str">
        <f>TEXT(Salesdta[[#This Row],[Order_Date]],"mmmm")</f>
        <v>June</v>
      </c>
      <c r="D381" s="1" t="s">
        <v>469</v>
      </c>
      <c r="E381" s="1" t="str">
        <f>VLOOKUP(Salesdta[[#This Row],[Customer_ID]],Customer_Data_[],6,TRUE)</f>
        <v>Male</v>
      </c>
      <c r="F381" s="1" t="str">
        <f>VLOOKUP(Salesdta[[#This Row],[Customer_ID]],Customer_Data_[],8,TRUE)</f>
        <v>Utah</v>
      </c>
      <c r="G381" s="1" t="s">
        <v>1574</v>
      </c>
      <c r="H381" s="1" t="str">
        <f>VLOOKUP(Salesdta[[#This Row],[Product_ID]],Product_Data_1[],2,TRUE)</f>
        <v>4K Home Projector</v>
      </c>
      <c r="I381" s="1" t="str">
        <f>VLOOKUP(Salesdta[[#This Row],[Product_ID]],Product_Data_1[],3,TRUE)</f>
        <v>Electronics</v>
      </c>
      <c r="J381" s="1">
        <f>VLOOKUP(Salesdta[[#This Row],[Product_ID]],Product_Data_1[],7,TRUE)</f>
        <v>465</v>
      </c>
      <c r="K381" s="1" t="s">
        <v>1806</v>
      </c>
      <c r="L381" s="1" t="str">
        <f>VLOOKUP(Salesdta[[#This Row],[Store_ID]],Store_Data_1[],3,TRUE)</f>
        <v>North</v>
      </c>
      <c r="M381" s="1">
        <v>2</v>
      </c>
      <c r="N381" s="1">
        <v>669</v>
      </c>
      <c r="O381" s="12">
        <v>0.22</v>
      </c>
      <c r="P381" s="1" t="s">
        <v>1817</v>
      </c>
      <c r="Q381" s="1">
        <v>1044</v>
      </c>
      <c r="R381" s="1">
        <f>Salesdta[[#This Row],[Final Revenue]]-Salesdta[[#This Row],[Product cost]]</f>
        <v>579</v>
      </c>
      <c r="S381" s="1" t="str">
        <f>IF(Salesdta[[#This Row],[Final Revenue]]&gt;1000,"Selected","Not Selected")</f>
        <v>Selected</v>
      </c>
    </row>
    <row r="382" spans="1:19" x14ac:dyDescent="0.35">
      <c r="A382" s="6" t="s">
        <v>2199</v>
      </c>
      <c r="B382" s="20">
        <v>45401</v>
      </c>
      <c r="C382" s="1" t="str">
        <f>TEXT(Salesdta[[#This Row],[Order_Date]],"mmmm")</f>
        <v>April</v>
      </c>
      <c r="D382" s="1" t="s">
        <v>902</v>
      </c>
      <c r="E382" s="1" t="str">
        <f>VLOOKUP(Salesdta[[#This Row],[Customer_ID]],Customer_Data_[],6,TRUE)</f>
        <v>Female</v>
      </c>
      <c r="F382" s="1" t="str">
        <f>VLOOKUP(Salesdta[[#This Row],[Customer_ID]],Customer_Data_[],8,TRUE)</f>
        <v>Massachusetts</v>
      </c>
      <c r="G382" s="1" t="s">
        <v>1553</v>
      </c>
      <c r="H382" s="1" t="str">
        <f>VLOOKUP(Salesdta[[#This Row],[Product_ID]],Product_Data_1[],2,TRUE)</f>
        <v>Men's Hair Styling Gel</v>
      </c>
      <c r="I382" s="1" t="str">
        <f>VLOOKUP(Salesdta[[#This Row],[Product_ID]],Product_Data_1[],3,TRUE)</f>
        <v>Beauty</v>
      </c>
      <c r="J382" s="1">
        <f>VLOOKUP(Salesdta[[#This Row],[Product_ID]],Product_Data_1[],7,TRUE)</f>
        <v>17</v>
      </c>
      <c r="K382" s="1" t="s">
        <v>1757</v>
      </c>
      <c r="L382" s="1" t="str">
        <f>VLOOKUP(Salesdta[[#This Row],[Store_ID]],Store_Data_1[],3,TRUE)</f>
        <v>South</v>
      </c>
      <c r="M382" s="1">
        <v>4</v>
      </c>
      <c r="N382" s="1">
        <v>255</v>
      </c>
      <c r="O382" s="12">
        <v>0.06</v>
      </c>
      <c r="P382" s="1" t="s">
        <v>1819</v>
      </c>
      <c r="Q382" s="1">
        <v>959</v>
      </c>
      <c r="R382" s="1">
        <f>Salesdta[[#This Row],[Final Revenue]]-Salesdta[[#This Row],[Product cost]]</f>
        <v>942</v>
      </c>
      <c r="S382" s="1" t="str">
        <f>IF(Salesdta[[#This Row],[Final Revenue]]&gt;1000,"Selected","Not Selected")</f>
        <v>Not Selected</v>
      </c>
    </row>
    <row r="383" spans="1:19" x14ac:dyDescent="0.35">
      <c r="A383" s="6" t="s">
        <v>2200</v>
      </c>
      <c r="B383" s="20">
        <v>45429</v>
      </c>
      <c r="C383" s="1" t="str">
        <f>TEXT(Salesdta[[#This Row],[Order_Date]],"mmmm")</f>
        <v>May</v>
      </c>
      <c r="D383" s="1" t="s">
        <v>640</v>
      </c>
      <c r="E383" s="1" t="str">
        <f>VLOOKUP(Salesdta[[#This Row],[Customer_ID]],Customer_Data_[],6,TRUE)</f>
        <v>Female</v>
      </c>
      <c r="F383" s="1" t="str">
        <f>VLOOKUP(Salesdta[[#This Row],[Customer_ID]],Customer_Data_[],8,TRUE)</f>
        <v>Alaska</v>
      </c>
      <c r="G383" s="1" t="s">
        <v>1574</v>
      </c>
      <c r="H383" s="1" t="str">
        <f>VLOOKUP(Salesdta[[#This Row],[Product_ID]],Product_Data_1[],2,TRUE)</f>
        <v>4K Home Projector</v>
      </c>
      <c r="I383" s="1" t="str">
        <f>VLOOKUP(Salesdta[[#This Row],[Product_ID]],Product_Data_1[],3,TRUE)</f>
        <v>Electronics</v>
      </c>
      <c r="J383" s="1">
        <f>VLOOKUP(Salesdta[[#This Row],[Product_ID]],Product_Data_1[],7,TRUE)</f>
        <v>465</v>
      </c>
      <c r="K383" s="1" t="s">
        <v>1800</v>
      </c>
      <c r="L383" s="1" t="str">
        <f>VLOOKUP(Salesdta[[#This Row],[Store_ID]],Store_Data_1[],3,TRUE)</f>
        <v>North</v>
      </c>
      <c r="M383" s="1">
        <v>3</v>
      </c>
      <c r="N383" s="1">
        <v>263</v>
      </c>
      <c r="O383" s="12">
        <v>0.04</v>
      </c>
      <c r="P383" s="1" t="s">
        <v>1819</v>
      </c>
      <c r="Q383" s="1">
        <v>757</v>
      </c>
      <c r="R383" s="1">
        <f>Salesdta[[#This Row],[Final Revenue]]-Salesdta[[#This Row],[Product cost]]</f>
        <v>292</v>
      </c>
      <c r="S383" s="1" t="str">
        <f>IF(Salesdta[[#This Row],[Final Revenue]]&gt;1000,"Selected","Not Selected")</f>
        <v>Not Selected</v>
      </c>
    </row>
    <row r="384" spans="1:19" x14ac:dyDescent="0.35">
      <c r="A384" s="6" t="s">
        <v>2201</v>
      </c>
      <c r="B384" s="20">
        <v>45386</v>
      </c>
      <c r="C384" s="1" t="str">
        <f>TEXT(Salesdta[[#This Row],[Order_Date]],"mmmm")</f>
        <v>April</v>
      </c>
      <c r="D384" s="1" t="s">
        <v>1480</v>
      </c>
      <c r="E384" s="1" t="str">
        <f>VLOOKUP(Salesdta[[#This Row],[Customer_ID]],Customer_Data_[],6,TRUE)</f>
        <v>Male</v>
      </c>
      <c r="F384" s="1" t="str">
        <f>VLOOKUP(Salesdta[[#This Row],[Customer_ID]],Customer_Data_[],8,TRUE)</f>
        <v>Kentucky</v>
      </c>
      <c r="G384" s="1" t="s">
        <v>1680</v>
      </c>
      <c r="H384" s="1" t="str">
        <f>VLOOKUP(Salesdta[[#This Row],[Product_ID]],Product_Data_1[],2,TRUE)</f>
        <v>Wooden Nightstand</v>
      </c>
      <c r="I384" s="1" t="str">
        <f>VLOOKUP(Salesdta[[#This Row],[Product_ID]],Product_Data_1[],3,TRUE)</f>
        <v>Home</v>
      </c>
      <c r="J384" s="1">
        <f>VLOOKUP(Salesdta[[#This Row],[Product_ID]],Product_Data_1[],7,TRUE)</f>
        <v>244</v>
      </c>
      <c r="K384" s="1" t="s">
        <v>1757</v>
      </c>
      <c r="L384" s="1" t="str">
        <f>VLOOKUP(Salesdta[[#This Row],[Store_ID]],Store_Data_1[],3,TRUE)</f>
        <v>South</v>
      </c>
      <c r="M384" s="1">
        <v>3</v>
      </c>
      <c r="N384" s="1">
        <v>213</v>
      </c>
      <c r="O384" s="12">
        <v>0.22</v>
      </c>
      <c r="P384" s="1" t="s">
        <v>1819</v>
      </c>
      <c r="Q384" s="1">
        <v>498</v>
      </c>
      <c r="R384" s="1">
        <f>Salesdta[[#This Row],[Final Revenue]]-Salesdta[[#This Row],[Product cost]]</f>
        <v>254</v>
      </c>
      <c r="S384" s="1" t="str">
        <f>IF(Salesdta[[#This Row],[Final Revenue]]&gt;1000,"Selected","Not Selected")</f>
        <v>Not Selected</v>
      </c>
    </row>
    <row r="385" spans="1:19" x14ac:dyDescent="0.35">
      <c r="A385" s="6" t="s">
        <v>2202</v>
      </c>
      <c r="B385" s="20">
        <v>45803</v>
      </c>
      <c r="C385" s="1" t="str">
        <f>TEXT(Salesdta[[#This Row],[Order_Date]],"mmmm")</f>
        <v>May</v>
      </c>
      <c r="D385" s="1" t="s">
        <v>505</v>
      </c>
      <c r="E385" s="1" t="str">
        <f>VLOOKUP(Salesdta[[#This Row],[Customer_ID]],Customer_Data_[],6,TRUE)</f>
        <v>Female</v>
      </c>
      <c r="F385" s="1" t="str">
        <f>VLOOKUP(Salesdta[[#This Row],[Customer_ID]],Customer_Data_[],8,TRUE)</f>
        <v>Oregon</v>
      </c>
      <c r="G385" s="1" t="s">
        <v>1592</v>
      </c>
      <c r="H385" s="1" t="str">
        <f>VLOOKUP(Salesdta[[#This Row],[Product_ID]],Product_Data_1[],2,TRUE)</f>
        <v>Foldable Camping Chair</v>
      </c>
      <c r="I385" s="1" t="str">
        <f>VLOOKUP(Salesdta[[#This Row],[Product_ID]],Product_Data_1[],3,TRUE)</f>
        <v>Sports</v>
      </c>
      <c r="J385" s="1">
        <f>VLOOKUP(Salesdta[[#This Row],[Product_ID]],Product_Data_1[],7,TRUE)</f>
        <v>166</v>
      </c>
      <c r="K385" s="1" t="s">
        <v>1806</v>
      </c>
      <c r="L385" s="1" t="str">
        <f>VLOOKUP(Salesdta[[#This Row],[Store_ID]],Store_Data_1[],3,TRUE)</f>
        <v>North</v>
      </c>
      <c r="M385" s="1">
        <v>4</v>
      </c>
      <c r="N385" s="1">
        <v>758</v>
      </c>
      <c r="O385" s="12">
        <v>0.22</v>
      </c>
      <c r="P385" s="1" t="s">
        <v>1819</v>
      </c>
      <c r="Q385" s="1">
        <v>2365</v>
      </c>
      <c r="R385" s="1">
        <f>Salesdta[[#This Row],[Final Revenue]]-Salesdta[[#This Row],[Product cost]]</f>
        <v>2199</v>
      </c>
      <c r="S385" s="1" t="str">
        <f>IF(Salesdta[[#This Row],[Final Revenue]]&gt;1000,"Selected","Not Selected")</f>
        <v>Selected</v>
      </c>
    </row>
    <row r="386" spans="1:19" x14ac:dyDescent="0.35">
      <c r="A386" s="6" t="s">
        <v>2203</v>
      </c>
      <c r="B386" s="20">
        <v>45572</v>
      </c>
      <c r="C386" s="1" t="str">
        <f>TEXT(Salesdta[[#This Row],[Order_Date]],"mmmm")</f>
        <v>October</v>
      </c>
      <c r="D386" s="1" t="s">
        <v>1376</v>
      </c>
      <c r="E386" s="1" t="str">
        <f>VLOOKUP(Salesdta[[#This Row],[Customer_ID]],Customer_Data_[],6,TRUE)</f>
        <v>Male</v>
      </c>
      <c r="F386" s="1" t="str">
        <f>VLOOKUP(Salesdta[[#This Row],[Customer_ID]],Customer_Data_[],8,TRUE)</f>
        <v>Oklahoma</v>
      </c>
      <c r="G386" s="1" t="s">
        <v>1606</v>
      </c>
      <c r="H386" s="1" t="str">
        <f>VLOOKUP(Salesdta[[#This Row],[Product_ID]],Product_Data_1[],2,TRUE)</f>
        <v>Basketball</v>
      </c>
      <c r="I386" s="1" t="str">
        <f>VLOOKUP(Salesdta[[#This Row],[Product_ID]],Product_Data_1[],3,TRUE)</f>
        <v>Sports</v>
      </c>
      <c r="J386" s="1">
        <f>VLOOKUP(Salesdta[[#This Row],[Product_ID]],Product_Data_1[],7,TRUE)</f>
        <v>204</v>
      </c>
      <c r="K386" s="1" t="s">
        <v>1765</v>
      </c>
      <c r="L386" s="1" t="str">
        <f>VLOOKUP(Salesdta[[#This Row],[Store_ID]],Store_Data_1[],3,TRUE)</f>
        <v>South</v>
      </c>
      <c r="M386" s="1">
        <v>4</v>
      </c>
      <c r="N386" s="1">
        <v>681</v>
      </c>
      <c r="O386" s="12">
        <v>0</v>
      </c>
      <c r="P386" s="1" t="s">
        <v>1819</v>
      </c>
      <c r="Q386" s="1">
        <v>2724</v>
      </c>
      <c r="R386" s="1">
        <f>Salesdta[[#This Row],[Final Revenue]]-Salesdta[[#This Row],[Product cost]]</f>
        <v>2520</v>
      </c>
      <c r="S386" s="1" t="str">
        <f>IF(Salesdta[[#This Row],[Final Revenue]]&gt;1000,"Selected","Not Selected")</f>
        <v>Selected</v>
      </c>
    </row>
    <row r="387" spans="1:19" x14ac:dyDescent="0.35">
      <c r="A387" s="6" t="s">
        <v>2204</v>
      </c>
      <c r="B387" s="20">
        <v>45333</v>
      </c>
      <c r="C387" s="1" t="str">
        <f>TEXT(Salesdta[[#This Row],[Order_Date]],"mmmm")</f>
        <v>February</v>
      </c>
      <c r="D387" s="1" t="s">
        <v>101</v>
      </c>
      <c r="E387" s="1" t="str">
        <f>VLOOKUP(Salesdta[[#This Row],[Customer_ID]],Customer_Data_[],6,TRUE)</f>
        <v>Male</v>
      </c>
      <c r="F387" s="1" t="str">
        <f>VLOOKUP(Salesdta[[#This Row],[Customer_ID]],Customer_Data_[],8,TRUE)</f>
        <v>Idaho</v>
      </c>
      <c r="G387" s="1" t="s">
        <v>1547</v>
      </c>
      <c r="H387" s="1" t="str">
        <f>VLOOKUP(Salesdta[[#This Row],[Product_ID]],Product_Data_1[],2,TRUE)</f>
        <v>Fabric Sofa Throw Blanket</v>
      </c>
      <c r="I387" s="1" t="str">
        <f>VLOOKUP(Salesdta[[#This Row],[Product_ID]],Product_Data_1[],3,TRUE)</f>
        <v>Home</v>
      </c>
      <c r="J387" s="1">
        <f>VLOOKUP(Salesdta[[#This Row],[Product_ID]],Product_Data_1[],7,TRUE)</f>
        <v>218</v>
      </c>
      <c r="K387" s="1" t="s">
        <v>1772</v>
      </c>
      <c r="L387" s="1" t="str">
        <f>VLOOKUP(Salesdta[[#This Row],[Store_ID]],Store_Data_1[],3,TRUE)</f>
        <v>East</v>
      </c>
      <c r="M387" s="1">
        <v>2</v>
      </c>
      <c r="N387" s="1">
        <v>635</v>
      </c>
      <c r="O387" s="12">
        <v>0.1</v>
      </c>
      <c r="P387" s="1" t="s">
        <v>1822</v>
      </c>
      <c r="Q387" s="1">
        <v>1143</v>
      </c>
      <c r="R387" s="1">
        <f>Salesdta[[#This Row],[Final Revenue]]-Salesdta[[#This Row],[Product cost]]</f>
        <v>925</v>
      </c>
      <c r="S387" s="1" t="str">
        <f>IF(Salesdta[[#This Row],[Final Revenue]]&gt;1000,"Selected","Not Selected")</f>
        <v>Selected</v>
      </c>
    </row>
    <row r="388" spans="1:19" x14ac:dyDescent="0.35">
      <c r="A388" s="6" t="s">
        <v>2205</v>
      </c>
      <c r="B388" s="20">
        <v>45752</v>
      </c>
      <c r="C388" s="1" t="str">
        <f>TEXT(Salesdta[[#This Row],[Order_Date]],"mmmm")</f>
        <v>April</v>
      </c>
      <c r="D388" s="1" t="s">
        <v>1183</v>
      </c>
      <c r="E388" s="1" t="str">
        <f>VLOOKUP(Salesdta[[#This Row],[Customer_ID]],Customer_Data_[],6,TRUE)</f>
        <v>Male</v>
      </c>
      <c r="F388" s="1" t="str">
        <f>VLOOKUP(Salesdta[[#This Row],[Customer_ID]],Customer_Data_[],8,TRUE)</f>
        <v>Rhode Island</v>
      </c>
      <c r="G388" s="1" t="s">
        <v>1740</v>
      </c>
      <c r="H388" s="1" t="str">
        <f>VLOOKUP(Salesdta[[#This Row],[Product_ID]],Product_Data_1[],2,TRUE)</f>
        <v>Portable Bluetooth Speaker</v>
      </c>
      <c r="I388" s="1" t="str">
        <f>VLOOKUP(Salesdta[[#This Row],[Product_ID]],Product_Data_1[],3,TRUE)</f>
        <v>Electronics</v>
      </c>
      <c r="J388" s="1">
        <f>VLOOKUP(Salesdta[[#This Row],[Product_ID]],Product_Data_1[],7,TRUE)</f>
        <v>432</v>
      </c>
      <c r="K388" s="1" t="s">
        <v>1795</v>
      </c>
      <c r="L388" s="1" t="str">
        <f>VLOOKUP(Salesdta[[#This Row],[Store_ID]],Store_Data_1[],3,TRUE)</f>
        <v>North</v>
      </c>
      <c r="M388" s="1">
        <v>4</v>
      </c>
      <c r="N388" s="1">
        <v>913</v>
      </c>
      <c r="O388" s="12">
        <v>0.14000000000000001</v>
      </c>
      <c r="P388" s="1" t="s">
        <v>1817</v>
      </c>
      <c r="Q388" s="1">
        <v>3139</v>
      </c>
      <c r="R388" s="1">
        <f>Salesdta[[#This Row],[Final Revenue]]-Salesdta[[#This Row],[Product cost]]</f>
        <v>2707</v>
      </c>
      <c r="S388" s="1" t="str">
        <f>IF(Salesdta[[#This Row],[Final Revenue]]&gt;1000,"Selected","Not Selected")</f>
        <v>Selected</v>
      </c>
    </row>
    <row r="389" spans="1:19" x14ac:dyDescent="0.35">
      <c r="A389" s="6" t="s">
        <v>2206</v>
      </c>
      <c r="B389" s="20">
        <v>45795</v>
      </c>
      <c r="C389" s="1" t="str">
        <f>TEXT(Salesdta[[#This Row],[Order_Date]],"mmmm")</f>
        <v>May</v>
      </c>
      <c r="D389" s="1" t="s">
        <v>869</v>
      </c>
      <c r="E389" s="1" t="str">
        <f>VLOOKUP(Salesdta[[#This Row],[Customer_ID]],Customer_Data_[],6,TRUE)</f>
        <v>Male</v>
      </c>
      <c r="F389" s="1" t="str">
        <f>VLOOKUP(Salesdta[[#This Row],[Customer_ID]],Customer_Data_[],8,TRUE)</f>
        <v>Vermont</v>
      </c>
      <c r="G389" s="1" t="s">
        <v>1638</v>
      </c>
      <c r="H389" s="1" t="str">
        <f>VLOOKUP(Salesdta[[#This Row],[Product_ID]],Product_Data_1[],2,TRUE)</f>
        <v>Makeup Brush Set</v>
      </c>
      <c r="I389" s="1" t="str">
        <f>VLOOKUP(Salesdta[[#This Row],[Product_ID]],Product_Data_1[],3,TRUE)</f>
        <v>Beauty</v>
      </c>
      <c r="J389" s="1">
        <f>VLOOKUP(Salesdta[[#This Row],[Product_ID]],Product_Data_1[],7,TRUE)</f>
        <v>254</v>
      </c>
      <c r="K389" s="1" t="s">
        <v>1775</v>
      </c>
      <c r="L389" s="1" t="str">
        <f>VLOOKUP(Salesdta[[#This Row],[Store_ID]],Store_Data_1[],3,TRUE)</f>
        <v>South</v>
      </c>
      <c r="M389" s="1">
        <v>3</v>
      </c>
      <c r="N389" s="1">
        <v>80</v>
      </c>
      <c r="O389" s="12">
        <v>0.09</v>
      </c>
      <c r="P389" s="1" t="s">
        <v>1817</v>
      </c>
      <c r="Q389" s="1">
        <v>218</v>
      </c>
      <c r="R389" s="1">
        <f>Salesdta[[#This Row],[Final Revenue]]-Salesdta[[#This Row],[Product cost]]</f>
        <v>-36</v>
      </c>
      <c r="S389" s="1" t="str">
        <f>IF(Salesdta[[#This Row],[Final Revenue]]&gt;1000,"Selected","Not Selected")</f>
        <v>Not Selected</v>
      </c>
    </row>
    <row r="390" spans="1:19" x14ac:dyDescent="0.35">
      <c r="A390" s="6" t="s">
        <v>2207</v>
      </c>
      <c r="B390" s="20">
        <v>45656</v>
      </c>
      <c r="C390" s="1" t="str">
        <f>TEXT(Salesdta[[#This Row],[Order_Date]],"mmmm")</f>
        <v>December</v>
      </c>
      <c r="D390" s="1" t="s">
        <v>1523</v>
      </c>
      <c r="E390" s="1" t="str">
        <f>VLOOKUP(Salesdta[[#This Row],[Customer_ID]],Customer_Data_[],6,TRUE)</f>
        <v>Female</v>
      </c>
      <c r="F390" s="1" t="str">
        <f>VLOOKUP(Salesdta[[#This Row],[Customer_ID]],Customer_Data_[],8,TRUE)</f>
        <v>New York</v>
      </c>
      <c r="G390" s="1" t="s">
        <v>1610</v>
      </c>
      <c r="H390" s="1" t="str">
        <f>VLOOKUP(Salesdta[[#This Row],[Product_ID]],Product_Data_1[],2,TRUE)</f>
        <v>Modern Wall Clock</v>
      </c>
      <c r="I390" s="1" t="str">
        <f>VLOOKUP(Salesdta[[#This Row],[Product_ID]],Product_Data_1[],3,TRUE)</f>
        <v>Home</v>
      </c>
      <c r="J390" s="1">
        <f>VLOOKUP(Salesdta[[#This Row],[Product_ID]],Product_Data_1[],7,TRUE)</f>
        <v>180</v>
      </c>
      <c r="K390" s="1" t="s">
        <v>1782</v>
      </c>
      <c r="L390" s="1" t="str">
        <f>VLOOKUP(Salesdta[[#This Row],[Store_ID]],Store_Data_1[],3,TRUE)</f>
        <v>South</v>
      </c>
      <c r="M390" s="1">
        <v>2</v>
      </c>
      <c r="N390" s="1">
        <v>974</v>
      </c>
      <c r="O390" s="12">
        <v>0.15</v>
      </c>
      <c r="P390" s="1" t="s">
        <v>1817</v>
      </c>
      <c r="Q390" s="1">
        <v>1656</v>
      </c>
      <c r="R390" s="1">
        <f>Salesdta[[#This Row],[Final Revenue]]-Salesdta[[#This Row],[Product cost]]</f>
        <v>1476</v>
      </c>
      <c r="S390" s="1" t="str">
        <f>IF(Salesdta[[#This Row],[Final Revenue]]&gt;1000,"Selected","Not Selected")</f>
        <v>Selected</v>
      </c>
    </row>
    <row r="391" spans="1:19" x14ac:dyDescent="0.35">
      <c r="A391" s="6" t="s">
        <v>2208</v>
      </c>
      <c r="B391" s="20">
        <v>45674</v>
      </c>
      <c r="C391" s="1" t="str">
        <f>TEXT(Salesdta[[#This Row],[Order_Date]],"mmmm")</f>
        <v>January</v>
      </c>
      <c r="D391" s="1" t="s">
        <v>1068</v>
      </c>
      <c r="E391" s="1" t="str">
        <f>VLOOKUP(Salesdta[[#This Row],[Customer_ID]],Customer_Data_[],6,TRUE)</f>
        <v>Female</v>
      </c>
      <c r="F391" s="1" t="str">
        <f>VLOOKUP(Salesdta[[#This Row],[Customer_ID]],Customer_Data_[],8,TRUE)</f>
        <v>Illinois</v>
      </c>
      <c r="G391" s="1" t="s">
        <v>1626</v>
      </c>
      <c r="H391" s="1" t="str">
        <f>VLOOKUP(Salesdta[[#This Row],[Product_ID]],Product_Data_1[],2,TRUE)</f>
        <v>Yoga Exercise Mat</v>
      </c>
      <c r="I391" s="1" t="str">
        <f>VLOOKUP(Salesdta[[#This Row],[Product_ID]],Product_Data_1[],3,TRUE)</f>
        <v>Sports</v>
      </c>
      <c r="J391" s="1">
        <f>VLOOKUP(Salesdta[[#This Row],[Product_ID]],Product_Data_1[],7,TRUE)</f>
        <v>313</v>
      </c>
      <c r="K391" s="1" t="s">
        <v>1793</v>
      </c>
      <c r="L391" s="1" t="str">
        <f>VLOOKUP(Salesdta[[#This Row],[Store_ID]],Store_Data_1[],3,TRUE)</f>
        <v>North</v>
      </c>
      <c r="M391" s="1">
        <v>2</v>
      </c>
      <c r="N391" s="1">
        <v>556</v>
      </c>
      <c r="O391" s="12">
        <v>0.14000000000000001</v>
      </c>
      <c r="P391" s="1" t="s">
        <v>1817</v>
      </c>
      <c r="Q391" s="1">
        <v>956</v>
      </c>
      <c r="R391" s="1">
        <f>Salesdta[[#This Row],[Final Revenue]]-Salesdta[[#This Row],[Product cost]]</f>
        <v>643</v>
      </c>
      <c r="S391" s="1" t="str">
        <f>IF(Salesdta[[#This Row],[Final Revenue]]&gt;1000,"Selected","Not Selected")</f>
        <v>Not Selected</v>
      </c>
    </row>
    <row r="392" spans="1:19" x14ac:dyDescent="0.35">
      <c r="A392" s="6" t="s">
        <v>2209</v>
      </c>
      <c r="B392" s="20">
        <v>45640</v>
      </c>
      <c r="C392" s="1" t="str">
        <f>TEXT(Salesdta[[#This Row],[Order_Date]],"mmmm")</f>
        <v>December</v>
      </c>
      <c r="D392" s="1" t="s">
        <v>444</v>
      </c>
      <c r="E392" s="1" t="str">
        <f>VLOOKUP(Salesdta[[#This Row],[Customer_ID]],Customer_Data_[],6,TRUE)</f>
        <v>Male</v>
      </c>
      <c r="F392" s="1" t="str">
        <f>VLOOKUP(Salesdta[[#This Row],[Customer_ID]],Customer_Data_[],8,TRUE)</f>
        <v>Connecticut</v>
      </c>
      <c r="G392" s="1" t="s">
        <v>1626</v>
      </c>
      <c r="H392" s="1" t="str">
        <f>VLOOKUP(Salesdta[[#This Row],[Product_ID]],Product_Data_1[],2,TRUE)</f>
        <v>Yoga Exercise Mat</v>
      </c>
      <c r="I392" s="1" t="str">
        <f>VLOOKUP(Salesdta[[#This Row],[Product_ID]],Product_Data_1[],3,TRUE)</f>
        <v>Sports</v>
      </c>
      <c r="J392" s="1">
        <f>VLOOKUP(Salesdta[[#This Row],[Product_ID]],Product_Data_1[],7,TRUE)</f>
        <v>313</v>
      </c>
      <c r="K392" s="1" t="s">
        <v>1788</v>
      </c>
      <c r="L392" s="1" t="str">
        <f>VLOOKUP(Salesdta[[#This Row],[Store_ID]],Store_Data_1[],3,TRUE)</f>
        <v>North</v>
      </c>
      <c r="M392" s="1">
        <v>3</v>
      </c>
      <c r="N392" s="1">
        <v>29</v>
      </c>
      <c r="O392" s="12">
        <v>0.02</v>
      </c>
      <c r="P392" s="1" t="s">
        <v>1817</v>
      </c>
      <c r="Q392" s="1">
        <v>84</v>
      </c>
      <c r="R392" s="1">
        <f>Salesdta[[#This Row],[Final Revenue]]-Salesdta[[#This Row],[Product cost]]</f>
        <v>-229</v>
      </c>
      <c r="S392" s="1" t="str">
        <f>IF(Salesdta[[#This Row],[Final Revenue]]&gt;1000,"Selected","Not Selected")</f>
        <v>Not Selected</v>
      </c>
    </row>
    <row r="393" spans="1:19" x14ac:dyDescent="0.35">
      <c r="A393" s="6" t="s">
        <v>2210</v>
      </c>
      <c r="B393" s="20">
        <v>45253</v>
      </c>
      <c r="C393" s="1" t="str">
        <f>TEXT(Salesdta[[#This Row],[Order_Date]],"mmmm")</f>
        <v>November</v>
      </c>
      <c r="D393" s="1" t="s">
        <v>1204</v>
      </c>
      <c r="E393" s="1" t="str">
        <f>VLOOKUP(Salesdta[[#This Row],[Customer_ID]],Customer_Data_[],6,TRUE)</f>
        <v>Female</v>
      </c>
      <c r="F393" s="1" t="str">
        <f>VLOOKUP(Salesdta[[#This Row],[Customer_ID]],Customer_Data_[],8,TRUE)</f>
        <v>New Jersey</v>
      </c>
      <c r="G393" s="1" t="s">
        <v>1696</v>
      </c>
      <c r="H393" s="1" t="str">
        <f>VLOOKUP(Salesdta[[#This Row],[Product_ID]],Product_Data_1[],2,TRUE)</f>
        <v>Wireless Mouse</v>
      </c>
      <c r="I393" s="1" t="str">
        <f>VLOOKUP(Salesdta[[#This Row],[Product_ID]],Product_Data_1[],3,TRUE)</f>
        <v>Electronics</v>
      </c>
      <c r="J393" s="1">
        <f>VLOOKUP(Salesdta[[#This Row],[Product_ID]],Product_Data_1[],7,TRUE)</f>
        <v>393</v>
      </c>
      <c r="K393" s="1" t="s">
        <v>1765</v>
      </c>
      <c r="L393" s="1" t="str">
        <f>VLOOKUP(Salesdta[[#This Row],[Store_ID]],Store_Data_1[],3,TRUE)</f>
        <v>South</v>
      </c>
      <c r="M393" s="1">
        <v>1</v>
      </c>
      <c r="N393" s="1">
        <v>106</v>
      </c>
      <c r="O393" s="12">
        <v>0.23</v>
      </c>
      <c r="P393" s="1" t="s">
        <v>1822</v>
      </c>
      <c r="Q393" s="1">
        <v>82</v>
      </c>
      <c r="R393" s="1">
        <f>Salesdta[[#This Row],[Final Revenue]]-Salesdta[[#This Row],[Product cost]]</f>
        <v>-311</v>
      </c>
      <c r="S393" s="1" t="str">
        <f>IF(Salesdta[[#This Row],[Final Revenue]]&gt;1000,"Selected","Not Selected")</f>
        <v>Not Selected</v>
      </c>
    </row>
    <row r="394" spans="1:19" x14ac:dyDescent="0.35">
      <c r="A394" s="6" t="s">
        <v>2211</v>
      </c>
      <c r="B394" s="20">
        <v>45554</v>
      </c>
      <c r="C394" s="1" t="str">
        <f>TEXT(Salesdta[[#This Row],[Order_Date]],"mmmm")</f>
        <v>September</v>
      </c>
      <c r="D394" s="1" t="s">
        <v>1198</v>
      </c>
      <c r="E394" s="1" t="str">
        <f>VLOOKUP(Salesdta[[#This Row],[Customer_ID]],Customer_Data_[],6,TRUE)</f>
        <v>Male</v>
      </c>
      <c r="F394" s="1" t="str">
        <f>VLOOKUP(Salesdta[[#This Row],[Customer_ID]],Customer_Data_[],8,TRUE)</f>
        <v>South Carolina</v>
      </c>
      <c r="G394" s="1" t="s">
        <v>1680</v>
      </c>
      <c r="H394" s="1" t="str">
        <f>VLOOKUP(Salesdta[[#This Row],[Product_ID]],Product_Data_1[],2,TRUE)</f>
        <v>Wooden Nightstand</v>
      </c>
      <c r="I394" s="1" t="str">
        <f>VLOOKUP(Salesdta[[#This Row],[Product_ID]],Product_Data_1[],3,TRUE)</f>
        <v>Home</v>
      </c>
      <c r="J394" s="1">
        <f>VLOOKUP(Salesdta[[#This Row],[Product_ID]],Product_Data_1[],7,TRUE)</f>
        <v>244</v>
      </c>
      <c r="K394" s="1" t="s">
        <v>1795</v>
      </c>
      <c r="L394" s="1" t="str">
        <f>VLOOKUP(Salesdta[[#This Row],[Store_ID]],Store_Data_1[],3,TRUE)</f>
        <v>North</v>
      </c>
      <c r="M394" s="1">
        <v>1</v>
      </c>
      <c r="N394" s="1">
        <v>523</v>
      </c>
      <c r="O394" s="12">
        <v>0.25</v>
      </c>
      <c r="P394" s="1" t="s">
        <v>1819</v>
      </c>
      <c r="Q394" s="1">
        <v>392</v>
      </c>
      <c r="R394" s="1">
        <f>Salesdta[[#This Row],[Final Revenue]]-Salesdta[[#This Row],[Product cost]]</f>
        <v>148</v>
      </c>
      <c r="S394" s="1" t="str">
        <f>IF(Salesdta[[#This Row],[Final Revenue]]&gt;1000,"Selected","Not Selected")</f>
        <v>Not Selected</v>
      </c>
    </row>
    <row r="395" spans="1:19" x14ac:dyDescent="0.35">
      <c r="A395" s="6" t="s">
        <v>2212</v>
      </c>
      <c r="B395" s="20">
        <v>45783</v>
      </c>
      <c r="C395" s="1" t="str">
        <f>TEXT(Salesdta[[#This Row],[Order_Date]],"mmmm")</f>
        <v>May</v>
      </c>
      <c r="D395" s="1" t="s">
        <v>1035</v>
      </c>
      <c r="E395" s="1" t="str">
        <f>VLOOKUP(Salesdta[[#This Row],[Customer_ID]],Customer_Data_[],6,TRUE)</f>
        <v>Male</v>
      </c>
      <c r="F395" s="1" t="str">
        <f>VLOOKUP(Salesdta[[#This Row],[Customer_ID]],Customer_Data_[],8,TRUE)</f>
        <v>Illinois</v>
      </c>
      <c r="G395" s="1" t="s">
        <v>1628</v>
      </c>
      <c r="H395" s="1" t="str">
        <f>VLOOKUP(Salesdta[[#This Row],[Product_ID]],Product_Data_1[],2,TRUE)</f>
        <v>Smart Home WiFi Camera</v>
      </c>
      <c r="I395" s="1" t="str">
        <f>VLOOKUP(Salesdta[[#This Row],[Product_ID]],Product_Data_1[],3,TRUE)</f>
        <v>Electronics</v>
      </c>
      <c r="J395" s="1">
        <f>VLOOKUP(Salesdta[[#This Row],[Product_ID]],Product_Data_1[],7,TRUE)</f>
        <v>451</v>
      </c>
      <c r="K395" s="1" t="s">
        <v>1772</v>
      </c>
      <c r="L395" s="1" t="str">
        <f>VLOOKUP(Salesdta[[#This Row],[Store_ID]],Store_Data_1[],3,TRUE)</f>
        <v>East</v>
      </c>
      <c r="M395" s="1">
        <v>4</v>
      </c>
      <c r="N395" s="1">
        <v>758</v>
      </c>
      <c r="O395" s="12">
        <v>0.05</v>
      </c>
      <c r="P395" s="1" t="s">
        <v>1819</v>
      </c>
      <c r="Q395" s="1">
        <v>2881</v>
      </c>
      <c r="R395" s="1">
        <f>Salesdta[[#This Row],[Final Revenue]]-Salesdta[[#This Row],[Product cost]]</f>
        <v>2430</v>
      </c>
      <c r="S395" s="1" t="str">
        <f>IF(Salesdta[[#This Row],[Final Revenue]]&gt;1000,"Selected","Not Selected")</f>
        <v>Selected</v>
      </c>
    </row>
    <row r="396" spans="1:19" x14ac:dyDescent="0.35">
      <c r="A396" s="6" t="s">
        <v>2213</v>
      </c>
      <c r="B396" s="20">
        <v>45453</v>
      </c>
      <c r="C396" s="1" t="str">
        <f>TEXT(Salesdta[[#This Row],[Order_Date]],"mmmm")</f>
        <v>June</v>
      </c>
      <c r="D396" s="1" t="s">
        <v>1109</v>
      </c>
      <c r="E396" s="1" t="str">
        <f>VLOOKUP(Salesdta[[#This Row],[Customer_ID]],Customer_Data_[],6,TRUE)</f>
        <v>Male</v>
      </c>
      <c r="F396" s="1" t="str">
        <f>VLOOKUP(Salesdta[[#This Row],[Customer_ID]],Customer_Data_[],8,TRUE)</f>
        <v>Washington</v>
      </c>
      <c r="G396" s="1" t="s">
        <v>1726</v>
      </c>
      <c r="H396" s="1" t="str">
        <f>VLOOKUP(Salesdta[[#This Row],[Product_ID]],Product_Data_1[],2,TRUE)</f>
        <v>Women's High Heels</v>
      </c>
      <c r="I396" s="1" t="str">
        <f>VLOOKUP(Salesdta[[#This Row],[Product_ID]],Product_Data_1[],3,TRUE)</f>
        <v>Clothing</v>
      </c>
      <c r="J396" s="1">
        <f>VLOOKUP(Salesdta[[#This Row],[Product_ID]],Product_Data_1[],7,TRUE)</f>
        <v>438</v>
      </c>
      <c r="K396" s="1" t="s">
        <v>1803</v>
      </c>
      <c r="L396" s="1" t="str">
        <f>VLOOKUP(Salesdta[[#This Row],[Store_ID]],Store_Data_1[],3,TRUE)</f>
        <v>North</v>
      </c>
      <c r="M396" s="1">
        <v>1</v>
      </c>
      <c r="N396" s="1">
        <v>230</v>
      </c>
      <c r="O396" s="12">
        <v>0.05</v>
      </c>
      <c r="P396" s="1" t="s">
        <v>1822</v>
      </c>
      <c r="Q396" s="1">
        <v>219</v>
      </c>
      <c r="R396" s="1">
        <f>Salesdta[[#This Row],[Final Revenue]]-Salesdta[[#This Row],[Product cost]]</f>
        <v>-219</v>
      </c>
      <c r="S396" s="1" t="str">
        <f>IF(Salesdta[[#This Row],[Final Revenue]]&gt;1000,"Selected","Not Selected")</f>
        <v>Not Selected</v>
      </c>
    </row>
    <row r="397" spans="1:19" x14ac:dyDescent="0.35">
      <c r="A397" s="6" t="s">
        <v>2214</v>
      </c>
      <c r="B397" s="20">
        <v>45526</v>
      </c>
      <c r="C397" s="1" t="str">
        <f>TEXT(Salesdta[[#This Row],[Order_Date]],"mmmm")</f>
        <v>August</v>
      </c>
      <c r="D397" s="1" t="s">
        <v>1071</v>
      </c>
      <c r="E397" s="1" t="str">
        <f>VLOOKUP(Salesdta[[#This Row],[Customer_ID]],Customer_Data_[],6,TRUE)</f>
        <v>Female</v>
      </c>
      <c r="F397" s="1" t="str">
        <f>VLOOKUP(Salesdta[[#This Row],[Customer_ID]],Customer_Data_[],8,TRUE)</f>
        <v>Connecticut</v>
      </c>
      <c r="G397" s="1" t="s">
        <v>1666</v>
      </c>
      <c r="H397" s="1" t="str">
        <f>VLOOKUP(Salesdta[[#This Row],[Product_ID]],Product_Data_1[],2,TRUE)</f>
        <v>Tennis Ball 3-Pack</v>
      </c>
      <c r="I397" s="1" t="str">
        <f>VLOOKUP(Salesdta[[#This Row],[Product_ID]],Product_Data_1[],3,TRUE)</f>
        <v>Sports</v>
      </c>
      <c r="J397" s="1">
        <f>VLOOKUP(Salesdta[[#This Row],[Product_ID]],Product_Data_1[],7,TRUE)</f>
        <v>103</v>
      </c>
      <c r="K397" s="1" t="s">
        <v>1772</v>
      </c>
      <c r="L397" s="1" t="str">
        <f>VLOOKUP(Salesdta[[#This Row],[Store_ID]],Store_Data_1[],3,TRUE)</f>
        <v>East</v>
      </c>
      <c r="M397" s="1">
        <v>2</v>
      </c>
      <c r="N397" s="1">
        <v>985</v>
      </c>
      <c r="O397" s="12">
        <v>0.28000000000000003</v>
      </c>
      <c r="P397" s="1" t="s">
        <v>1822</v>
      </c>
      <c r="Q397" s="1">
        <v>1419</v>
      </c>
      <c r="R397" s="1">
        <f>Salesdta[[#This Row],[Final Revenue]]-Salesdta[[#This Row],[Product cost]]</f>
        <v>1316</v>
      </c>
      <c r="S397" s="1" t="str">
        <f>IF(Salesdta[[#This Row],[Final Revenue]]&gt;1000,"Selected","Not Selected")</f>
        <v>Selected</v>
      </c>
    </row>
    <row r="398" spans="1:19" x14ac:dyDescent="0.35">
      <c r="A398" s="6" t="s">
        <v>2215</v>
      </c>
      <c r="B398" s="20">
        <v>45384</v>
      </c>
      <c r="C398" s="1" t="str">
        <f>TEXT(Salesdta[[#This Row],[Order_Date]],"mmmm")</f>
        <v>April</v>
      </c>
      <c r="D398" s="1" t="s">
        <v>568</v>
      </c>
      <c r="E398" s="1" t="str">
        <f>VLOOKUP(Salesdta[[#This Row],[Customer_ID]],Customer_Data_[],6,TRUE)</f>
        <v>Female</v>
      </c>
      <c r="F398" s="1" t="str">
        <f>VLOOKUP(Salesdta[[#This Row],[Customer_ID]],Customer_Data_[],8,TRUE)</f>
        <v>West Virginia</v>
      </c>
      <c r="G398" s="1" t="s">
        <v>1702</v>
      </c>
      <c r="H398" s="1" t="str">
        <f>VLOOKUP(Salesdta[[#This Row],[Product_ID]],Product_Data_1[],2,TRUE)</f>
        <v>Decorative Lamp Shade</v>
      </c>
      <c r="I398" s="1" t="str">
        <f>VLOOKUP(Salesdta[[#This Row],[Product_ID]],Product_Data_1[],3,TRUE)</f>
        <v>Home</v>
      </c>
      <c r="J398" s="1">
        <f>VLOOKUP(Salesdta[[#This Row],[Product_ID]],Product_Data_1[],7,TRUE)</f>
        <v>229</v>
      </c>
      <c r="K398" s="1" t="s">
        <v>1762</v>
      </c>
      <c r="L398" s="1" t="str">
        <f>VLOOKUP(Salesdta[[#This Row],[Store_ID]],Store_Data_1[],3,TRUE)</f>
        <v>North</v>
      </c>
      <c r="M398" s="1">
        <v>3</v>
      </c>
      <c r="N398" s="1">
        <v>339</v>
      </c>
      <c r="O398" s="12">
        <v>0.26</v>
      </c>
      <c r="P398" s="1" t="s">
        <v>1817</v>
      </c>
      <c r="Q398" s="1">
        <v>753</v>
      </c>
      <c r="R398" s="1">
        <f>Salesdta[[#This Row],[Final Revenue]]-Salesdta[[#This Row],[Product cost]]</f>
        <v>524</v>
      </c>
      <c r="S398" s="1" t="str">
        <f>IF(Salesdta[[#This Row],[Final Revenue]]&gt;1000,"Selected","Not Selected")</f>
        <v>Not Selected</v>
      </c>
    </row>
    <row r="399" spans="1:19" x14ac:dyDescent="0.35">
      <c r="A399" s="6" t="s">
        <v>2216</v>
      </c>
      <c r="B399" s="20">
        <v>45916</v>
      </c>
      <c r="C399" s="1" t="str">
        <f>TEXT(Salesdta[[#This Row],[Order_Date]],"mmmm")</f>
        <v>September</v>
      </c>
      <c r="D399" s="1" t="s">
        <v>419</v>
      </c>
      <c r="E399" s="1" t="str">
        <f>VLOOKUP(Salesdta[[#This Row],[Customer_ID]],Customer_Data_[],6,TRUE)</f>
        <v>Male</v>
      </c>
      <c r="F399" s="1" t="str">
        <f>VLOOKUP(Salesdta[[#This Row],[Customer_ID]],Customer_Data_[],8,TRUE)</f>
        <v>North Carolina</v>
      </c>
      <c r="G399" s="1" t="s">
        <v>1732</v>
      </c>
      <c r="H399" s="1" t="str">
        <f>VLOOKUP(Salesdta[[#This Row],[Product_ID]],Product_Data_1[],2,TRUE)</f>
        <v>Vitamin E Body Lotion</v>
      </c>
      <c r="I399" s="1" t="str">
        <f>VLOOKUP(Salesdta[[#This Row],[Product_ID]],Product_Data_1[],3,TRUE)</f>
        <v>Beauty</v>
      </c>
      <c r="J399" s="1">
        <f>VLOOKUP(Salesdta[[#This Row],[Product_ID]],Product_Data_1[],7,TRUE)</f>
        <v>358</v>
      </c>
      <c r="K399" s="1" t="s">
        <v>1753</v>
      </c>
      <c r="L399" s="1" t="str">
        <f>VLOOKUP(Salesdta[[#This Row],[Store_ID]],Store_Data_1[],3,TRUE)</f>
        <v>North</v>
      </c>
      <c r="M399" s="1">
        <v>1</v>
      </c>
      <c r="N399" s="1">
        <v>126</v>
      </c>
      <c r="O399" s="12">
        <v>0.05</v>
      </c>
      <c r="P399" s="1" t="s">
        <v>1822</v>
      </c>
      <c r="Q399" s="1">
        <v>120</v>
      </c>
      <c r="R399" s="1">
        <f>Salesdta[[#This Row],[Final Revenue]]-Salesdta[[#This Row],[Product cost]]</f>
        <v>-238</v>
      </c>
      <c r="S399" s="1" t="str">
        <f>IF(Salesdta[[#This Row],[Final Revenue]]&gt;1000,"Selected","Not Selected")</f>
        <v>Not Selected</v>
      </c>
    </row>
    <row r="400" spans="1:19" x14ac:dyDescent="0.35">
      <c r="A400" s="6" t="s">
        <v>2217</v>
      </c>
      <c r="B400" s="20">
        <v>45243</v>
      </c>
      <c r="C400" s="1" t="str">
        <f>TEXT(Salesdta[[#This Row],[Order_Date]],"mmmm")</f>
        <v>November</v>
      </c>
      <c r="D400" s="1" t="s">
        <v>860</v>
      </c>
      <c r="E400" s="1" t="str">
        <f>VLOOKUP(Salesdta[[#This Row],[Customer_ID]],Customer_Data_[],6,TRUE)</f>
        <v>Male</v>
      </c>
      <c r="F400" s="1" t="str">
        <f>VLOOKUP(Salesdta[[#This Row],[Customer_ID]],Customer_Data_[],8,TRUE)</f>
        <v>Nebraska</v>
      </c>
      <c r="G400" s="1" t="s">
        <v>1692</v>
      </c>
      <c r="H400" s="1" t="str">
        <f>VLOOKUP(Salesdta[[#This Row],[Product_ID]],Product_Data_1[],2,TRUE)</f>
        <v>Bluetooth Car Audio System</v>
      </c>
      <c r="I400" s="1" t="str">
        <f>VLOOKUP(Salesdta[[#This Row],[Product_ID]],Product_Data_1[],3,TRUE)</f>
        <v>Electronics</v>
      </c>
      <c r="J400" s="1">
        <f>VLOOKUP(Salesdta[[#This Row],[Product_ID]],Product_Data_1[],7,TRUE)</f>
        <v>404</v>
      </c>
      <c r="K400" s="1" t="s">
        <v>1769</v>
      </c>
      <c r="L400" s="1" t="str">
        <f>VLOOKUP(Salesdta[[#This Row],[Store_ID]],Store_Data_1[],3,TRUE)</f>
        <v>North</v>
      </c>
      <c r="M400" s="1">
        <v>1</v>
      </c>
      <c r="N400" s="1">
        <v>371</v>
      </c>
      <c r="O400" s="12">
        <v>0.01</v>
      </c>
      <c r="P400" s="1" t="s">
        <v>1819</v>
      </c>
      <c r="Q400" s="1">
        <v>367</v>
      </c>
      <c r="R400" s="1">
        <f>Salesdta[[#This Row],[Final Revenue]]-Salesdta[[#This Row],[Product cost]]</f>
        <v>-37</v>
      </c>
      <c r="S400" s="1" t="str">
        <f>IF(Salesdta[[#This Row],[Final Revenue]]&gt;1000,"Selected","Not Selected")</f>
        <v>Not Selected</v>
      </c>
    </row>
    <row r="401" spans="1:19" x14ac:dyDescent="0.35">
      <c r="A401" s="6" t="s">
        <v>2218</v>
      </c>
      <c r="B401" s="20">
        <v>45341</v>
      </c>
      <c r="C401" s="1" t="str">
        <f>TEXT(Salesdta[[#This Row],[Order_Date]],"mmmm")</f>
        <v>February</v>
      </c>
      <c r="D401" s="1" t="s">
        <v>30</v>
      </c>
      <c r="E401" s="1" t="str">
        <f>VLOOKUP(Salesdta[[#This Row],[Customer_ID]],Customer_Data_[],6,TRUE)</f>
        <v>Male</v>
      </c>
      <c r="F401" s="1" t="str">
        <f>VLOOKUP(Salesdta[[#This Row],[Customer_ID]],Customer_Data_[],8,TRUE)</f>
        <v>Oregon</v>
      </c>
      <c r="G401" s="1" t="s">
        <v>1666</v>
      </c>
      <c r="H401" s="1" t="str">
        <f>VLOOKUP(Salesdta[[#This Row],[Product_ID]],Product_Data_1[],2,TRUE)</f>
        <v>Tennis Ball 3-Pack</v>
      </c>
      <c r="I401" s="1" t="str">
        <f>VLOOKUP(Salesdta[[#This Row],[Product_ID]],Product_Data_1[],3,TRUE)</f>
        <v>Sports</v>
      </c>
      <c r="J401" s="1">
        <f>VLOOKUP(Salesdta[[#This Row],[Product_ID]],Product_Data_1[],7,TRUE)</f>
        <v>103</v>
      </c>
      <c r="K401" s="1" t="s">
        <v>1790</v>
      </c>
      <c r="L401" s="1" t="str">
        <f>VLOOKUP(Salesdta[[#This Row],[Store_ID]],Store_Data_1[],3,TRUE)</f>
        <v>North</v>
      </c>
      <c r="M401" s="1">
        <v>4</v>
      </c>
      <c r="N401" s="1">
        <v>732</v>
      </c>
      <c r="O401" s="12">
        <v>0.12</v>
      </c>
      <c r="P401" s="1" t="s">
        <v>1817</v>
      </c>
      <c r="Q401" s="1">
        <v>2575</v>
      </c>
      <c r="R401" s="1">
        <f>Salesdta[[#This Row],[Final Revenue]]-Salesdta[[#This Row],[Product cost]]</f>
        <v>2472</v>
      </c>
      <c r="S401" s="1" t="str">
        <f>IF(Salesdta[[#This Row],[Final Revenue]]&gt;1000,"Selected","Not Selected")</f>
        <v>Selected</v>
      </c>
    </row>
    <row r="402" spans="1:19" x14ac:dyDescent="0.35">
      <c r="A402" s="6" t="s">
        <v>2219</v>
      </c>
      <c r="B402" s="20">
        <v>45752</v>
      </c>
      <c r="C402" s="1" t="str">
        <f>TEXT(Salesdta[[#This Row],[Order_Date]],"mmmm")</f>
        <v>April</v>
      </c>
      <c r="D402" s="1" t="s">
        <v>788</v>
      </c>
      <c r="E402" s="1" t="str">
        <f>VLOOKUP(Salesdta[[#This Row],[Customer_ID]],Customer_Data_[],6,TRUE)</f>
        <v>Male</v>
      </c>
      <c r="F402" s="1" t="str">
        <f>VLOOKUP(Salesdta[[#This Row],[Customer_ID]],Customer_Data_[],8,TRUE)</f>
        <v>New Hampshire</v>
      </c>
      <c r="G402" s="1" t="s">
        <v>1564</v>
      </c>
      <c r="H402" s="1" t="str">
        <f>VLOOKUP(Salesdta[[#This Row],[Product_ID]],Product_Data_1[],2,TRUE)</f>
        <v>Men's Graphic T-Shirt</v>
      </c>
      <c r="I402" s="1" t="str">
        <f>VLOOKUP(Salesdta[[#This Row],[Product_ID]],Product_Data_1[],3,TRUE)</f>
        <v>Clothing</v>
      </c>
      <c r="J402" s="1">
        <f>VLOOKUP(Salesdta[[#This Row],[Product_ID]],Product_Data_1[],7,TRUE)</f>
        <v>343</v>
      </c>
      <c r="K402" s="1" t="s">
        <v>1765</v>
      </c>
      <c r="L402" s="1" t="str">
        <f>VLOOKUP(Salesdta[[#This Row],[Store_ID]],Store_Data_1[],3,TRUE)</f>
        <v>South</v>
      </c>
      <c r="M402" s="1">
        <v>1</v>
      </c>
      <c r="N402" s="1">
        <v>768</v>
      </c>
      <c r="O402" s="12">
        <v>0.18</v>
      </c>
      <c r="P402" s="1" t="s">
        <v>1817</v>
      </c>
      <c r="Q402" s="1">
        <v>630</v>
      </c>
      <c r="R402" s="1">
        <f>Salesdta[[#This Row],[Final Revenue]]-Salesdta[[#This Row],[Product cost]]</f>
        <v>287</v>
      </c>
      <c r="S402" s="1" t="str">
        <f>IF(Salesdta[[#This Row],[Final Revenue]]&gt;1000,"Selected","Not Selected")</f>
        <v>Not Selected</v>
      </c>
    </row>
    <row r="403" spans="1:19" x14ac:dyDescent="0.35">
      <c r="A403" s="6" t="s">
        <v>2220</v>
      </c>
      <c r="B403" s="20">
        <v>45254</v>
      </c>
      <c r="C403" s="1" t="str">
        <f>TEXT(Salesdta[[#This Row],[Order_Date]],"mmmm")</f>
        <v>November</v>
      </c>
      <c r="D403" s="1" t="s">
        <v>1095</v>
      </c>
      <c r="E403" s="1" t="str">
        <f>VLOOKUP(Salesdta[[#This Row],[Customer_ID]],Customer_Data_[],6,TRUE)</f>
        <v>Male</v>
      </c>
      <c r="F403" s="1" t="str">
        <f>VLOOKUP(Salesdta[[#This Row],[Customer_ID]],Customer_Data_[],8,TRUE)</f>
        <v>Iowa</v>
      </c>
      <c r="G403" s="1" t="s">
        <v>1728</v>
      </c>
      <c r="H403" s="1" t="str">
        <f>VLOOKUP(Salesdta[[#This Row],[Product_ID]],Product_Data_1[],2,TRUE)</f>
        <v>Microwave Oven</v>
      </c>
      <c r="I403" s="1" t="str">
        <f>VLOOKUP(Salesdta[[#This Row],[Product_ID]],Product_Data_1[],3,TRUE)</f>
        <v>Home</v>
      </c>
      <c r="J403" s="1">
        <f>VLOOKUP(Salesdta[[#This Row],[Product_ID]],Product_Data_1[],7,TRUE)</f>
        <v>447</v>
      </c>
      <c r="K403" s="1" t="s">
        <v>1809</v>
      </c>
      <c r="L403" s="1" t="str">
        <f>VLOOKUP(Salesdta[[#This Row],[Store_ID]],Store_Data_1[],3,TRUE)</f>
        <v>North</v>
      </c>
      <c r="M403" s="1">
        <v>2</v>
      </c>
      <c r="N403" s="1">
        <v>319</v>
      </c>
      <c r="O403" s="12">
        <v>0.02</v>
      </c>
      <c r="P403" s="1" t="s">
        <v>1822</v>
      </c>
      <c r="Q403" s="1">
        <v>624</v>
      </c>
      <c r="R403" s="1">
        <f>Salesdta[[#This Row],[Final Revenue]]-Salesdta[[#This Row],[Product cost]]</f>
        <v>177</v>
      </c>
      <c r="S403" s="1" t="str">
        <f>IF(Salesdta[[#This Row],[Final Revenue]]&gt;1000,"Selected","Not Selected")</f>
        <v>Not Selected</v>
      </c>
    </row>
    <row r="404" spans="1:19" x14ac:dyDescent="0.35">
      <c r="A404" s="6" t="s">
        <v>2221</v>
      </c>
      <c r="B404" s="20">
        <v>45331</v>
      </c>
      <c r="C404" s="1" t="str">
        <f>TEXT(Salesdta[[#This Row],[Order_Date]],"mmmm")</f>
        <v>February</v>
      </c>
      <c r="D404" s="1" t="s">
        <v>1133</v>
      </c>
      <c r="E404" s="1" t="str">
        <f>VLOOKUP(Salesdta[[#This Row],[Customer_ID]],Customer_Data_[],6,TRUE)</f>
        <v>Male</v>
      </c>
      <c r="F404" s="1" t="str">
        <f>VLOOKUP(Salesdta[[#This Row],[Customer_ID]],Customer_Data_[],8,TRUE)</f>
        <v>Ohio</v>
      </c>
      <c r="G404" s="1" t="s">
        <v>1726</v>
      </c>
      <c r="H404" s="1" t="str">
        <f>VLOOKUP(Salesdta[[#This Row],[Product_ID]],Product_Data_1[],2,TRUE)</f>
        <v>Women's High Heels</v>
      </c>
      <c r="I404" s="1" t="str">
        <f>VLOOKUP(Salesdta[[#This Row],[Product_ID]],Product_Data_1[],3,TRUE)</f>
        <v>Clothing</v>
      </c>
      <c r="J404" s="1">
        <f>VLOOKUP(Salesdta[[#This Row],[Product_ID]],Product_Data_1[],7,TRUE)</f>
        <v>438</v>
      </c>
      <c r="K404" s="1" t="s">
        <v>1790</v>
      </c>
      <c r="L404" s="1" t="str">
        <f>VLOOKUP(Salesdta[[#This Row],[Store_ID]],Store_Data_1[],3,TRUE)</f>
        <v>North</v>
      </c>
      <c r="M404" s="1">
        <v>2</v>
      </c>
      <c r="N404" s="1">
        <v>230</v>
      </c>
      <c r="O404" s="12">
        <v>0.21</v>
      </c>
      <c r="P404" s="1" t="s">
        <v>1822</v>
      </c>
      <c r="Q404" s="1">
        <v>363</v>
      </c>
      <c r="R404" s="1">
        <f>Salesdta[[#This Row],[Final Revenue]]-Salesdta[[#This Row],[Product cost]]</f>
        <v>-75</v>
      </c>
      <c r="S404" s="1" t="str">
        <f>IF(Salesdta[[#This Row],[Final Revenue]]&gt;1000,"Selected","Not Selected")</f>
        <v>Not Selected</v>
      </c>
    </row>
    <row r="405" spans="1:19" x14ac:dyDescent="0.35">
      <c r="A405" s="6" t="s">
        <v>2222</v>
      </c>
      <c r="B405" s="20">
        <v>45794</v>
      </c>
      <c r="C405" s="1" t="str">
        <f>TEXT(Salesdta[[#This Row],[Order_Date]],"mmmm")</f>
        <v>May</v>
      </c>
      <c r="D405" s="1" t="s">
        <v>1457</v>
      </c>
      <c r="E405" s="1" t="str">
        <f>VLOOKUP(Salesdta[[#This Row],[Customer_ID]],Customer_Data_[],6,TRUE)</f>
        <v>Female</v>
      </c>
      <c r="F405" s="1" t="str">
        <f>VLOOKUP(Salesdta[[#This Row],[Customer_ID]],Customer_Data_[],8,TRUE)</f>
        <v>South Dakota</v>
      </c>
      <c r="G405" s="1" t="s">
        <v>1742</v>
      </c>
      <c r="H405" s="1" t="str">
        <f>VLOOKUP(Salesdta[[#This Row],[Product_ID]],Product_Data_1[],2,TRUE)</f>
        <v>Stainless Steel Cookware Set</v>
      </c>
      <c r="I405" s="1" t="str">
        <f>VLOOKUP(Salesdta[[#This Row],[Product_ID]],Product_Data_1[],3,TRUE)</f>
        <v>Home</v>
      </c>
      <c r="J405" s="1">
        <f>VLOOKUP(Salesdta[[#This Row],[Product_ID]],Product_Data_1[],7,TRUE)</f>
        <v>201</v>
      </c>
      <c r="K405" s="1" t="s">
        <v>1806</v>
      </c>
      <c r="L405" s="1" t="str">
        <f>VLOOKUP(Salesdta[[#This Row],[Store_ID]],Store_Data_1[],3,TRUE)</f>
        <v>North</v>
      </c>
      <c r="M405" s="1">
        <v>1</v>
      </c>
      <c r="N405" s="1">
        <v>873</v>
      </c>
      <c r="O405" s="12">
        <v>0.03</v>
      </c>
      <c r="P405" s="1" t="s">
        <v>1822</v>
      </c>
      <c r="Q405" s="1">
        <v>847</v>
      </c>
      <c r="R405" s="1">
        <f>Salesdta[[#This Row],[Final Revenue]]-Salesdta[[#This Row],[Product cost]]</f>
        <v>646</v>
      </c>
      <c r="S405" s="1" t="str">
        <f>IF(Salesdta[[#This Row],[Final Revenue]]&gt;1000,"Selected","Not Selected")</f>
        <v>Not Selected</v>
      </c>
    </row>
    <row r="406" spans="1:19" x14ac:dyDescent="0.35">
      <c r="A406" s="6" t="s">
        <v>2223</v>
      </c>
      <c r="B406" s="20">
        <v>45602</v>
      </c>
      <c r="C406" s="1" t="str">
        <f>TEXT(Salesdta[[#This Row],[Order_Date]],"mmmm")</f>
        <v>November</v>
      </c>
      <c r="D406" s="1" t="s">
        <v>923</v>
      </c>
      <c r="E406" s="1" t="str">
        <f>VLOOKUP(Salesdta[[#This Row],[Customer_ID]],Customer_Data_[],6,TRUE)</f>
        <v>Male</v>
      </c>
      <c r="F406" s="1" t="str">
        <f>VLOOKUP(Salesdta[[#This Row],[Customer_ID]],Customer_Data_[],8,TRUE)</f>
        <v>Minnesota</v>
      </c>
      <c r="G406" s="1" t="s">
        <v>1742</v>
      </c>
      <c r="H406" s="1" t="str">
        <f>VLOOKUP(Salesdta[[#This Row],[Product_ID]],Product_Data_1[],2,TRUE)</f>
        <v>Stainless Steel Cookware Set</v>
      </c>
      <c r="I406" s="1" t="str">
        <f>VLOOKUP(Salesdta[[#This Row],[Product_ID]],Product_Data_1[],3,TRUE)</f>
        <v>Home</v>
      </c>
      <c r="J406" s="1">
        <f>VLOOKUP(Salesdta[[#This Row],[Product_ID]],Product_Data_1[],7,TRUE)</f>
        <v>201</v>
      </c>
      <c r="K406" s="1" t="s">
        <v>1762</v>
      </c>
      <c r="L406" s="1" t="str">
        <f>VLOOKUP(Salesdta[[#This Row],[Store_ID]],Store_Data_1[],3,TRUE)</f>
        <v>North</v>
      </c>
      <c r="M406" s="1">
        <v>3</v>
      </c>
      <c r="N406" s="1">
        <v>762</v>
      </c>
      <c r="O406" s="12">
        <v>0.23</v>
      </c>
      <c r="P406" s="1" t="s">
        <v>1819</v>
      </c>
      <c r="Q406" s="1">
        <v>1760</v>
      </c>
      <c r="R406" s="1">
        <f>Salesdta[[#This Row],[Final Revenue]]-Salesdta[[#This Row],[Product cost]]</f>
        <v>1559</v>
      </c>
      <c r="S406" s="1" t="str">
        <f>IF(Salesdta[[#This Row],[Final Revenue]]&gt;1000,"Selected","Not Selected")</f>
        <v>Selected</v>
      </c>
    </row>
    <row r="407" spans="1:19" x14ac:dyDescent="0.35">
      <c r="A407" s="6" t="s">
        <v>2224</v>
      </c>
      <c r="B407" s="20">
        <v>45778</v>
      </c>
      <c r="C407" s="1" t="str">
        <f>TEXT(Salesdta[[#This Row],[Order_Date]],"mmmm")</f>
        <v>May</v>
      </c>
      <c r="D407" s="1" t="s">
        <v>1460</v>
      </c>
      <c r="E407" s="1" t="str">
        <f>VLOOKUP(Salesdta[[#This Row],[Customer_ID]],Customer_Data_[],6,TRUE)</f>
        <v>Female</v>
      </c>
      <c r="F407" s="1" t="str">
        <f>VLOOKUP(Salesdta[[#This Row],[Customer_ID]],Customer_Data_[],8,TRUE)</f>
        <v>Vermont</v>
      </c>
      <c r="G407" s="1" t="s">
        <v>1690</v>
      </c>
      <c r="H407" s="1" t="str">
        <f>VLOOKUP(Salesdta[[#This Row],[Product_ID]],Product_Data_1[],2,TRUE)</f>
        <v>Shin Guards – Adult</v>
      </c>
      <c r="I407" s="1" t="str">
        <f>VLOOKUP(Salesdta[[#This Row],[Product_ID]],Product_Data_1[],3,TRUE)</f>
        <v>Sports</v>
      </c>
      <c r="J407" s="1">
        <f>VLOOKUP(Salesdta[[#This Row],[Product_ID]],Product_Data_1[],7,TRUE)</f>
        <v>107</v>
      </c>
      <c r="K407" s="1" t="s">
        <v>1765</v>
      </c>
      <c r="L407" s="1" t="str">
        <f>VLOOKUP(Salesdta[[#This Row],[Store_ID]],Store_Data_1[],3,TRUE)</f>
        <v>South</v>
      </c>
      <c r="M407" s="1">
        <v>4</v>
      </c>
      <c r="N407" s="1">
        <v>753</v>
      </c>
      <c r="O407" s="12">
        <v>0.28000000000000003</v>
      </c>
      <c r="P407" s="1" t="s">
        <v>1822</v>
      </c>
      <c r="Q407" s="1">
        <v>2169</v>
      </c>
      <c r="R407" s="1">
        <f>Salesdta[[#This Row],[Final Revenue]]-Salesdta[[#This Row],[Product cost]]</f>
        <v>2062</v>
      </c>
      <c r="S407" s="1" t="str">
        <f>IF(Salesdta[[#This Row],[Final Revenue]]&gt;1000,"Selected","Not Selected")</f>
        <v>Selected</v>
      </c>
    </row>
    <row r="408" spans="1:19" x14ac:dyDescent="0.35">
      <c r="A408" s="6" t="s">
        <v>2225</v>
      </c>
      <c r="B408" s="20">
        <v>45299</v>
      </c>
      <c r="C408" s="1" t="str">
        <f>TEXT(Salesdta[[#This Row],[Order_Date]],"mmmm")</f>
        <v>January</v>
      </c>
      <c r="D408" s="1" t="s">
        <v>195</v>
      </c>
      <c r="E408" s="1" t="str">
        <f>VLOOKUP(Salesdta[[#This Row],[Customer_ID]],Customer_Data_[],6,TRUE)</f>
        <v>Male</v>
      </c>
      <c r="F408" s="1" t="str">
        <f>VLOOKUP(Salesdta[[#This Row],[Customer_ID]],Customer_Data_[],8,TRUE)</f>
        <v>Minnesota</v>
      </c>
      <c r="G408" s="1" t="s">
        <v>1646</v>
      </c>
      <c r="H408" s="1" t="str">
        <f>VLOOKUP(Salesdta[[#This Row],[Product_ID]],Product_Data_1[],2,TRUE)</f>
        <v>HDMI Cable – 2m</v>
      </c>
      <c r="I408" s="1" t="str">
        <f>VLOOKUP(Salesdta[[#This Row],[Product_ID]],Product_Data_1[],3,TRUE)</f>
        <v>Electronics</v>
      </c>
      <c r="J408" s="1">
        <f>VLOOKUP(Salesdta[[#This Row],[Product_ID]],Product_Data_1[],7,TRUE)</f>
        <v>88</v>
      </c>
      <c r="K408" s="1" t="s">
        <v>1800</v>
      </c>
      <c r="L408" s="1" t="str">
        <f>VLOOKUP(Salesdta[[#This Row],[Store_ID]],Store_Data_1[],3,TRUE)</f>
        <v>North</v>
      </c>
      <c r="M408" s="1">
        <v>1</v>
      </c>
      <c r="N408" s="1">
        <v>409</v>
      </c>
      <c r="O408" s="12">
        <v>0.13</v>
      </c>
      <c r="P408" s="1" t="s">
        <v>1822</v>
      </c>
      <c r="Q408" s="1">
        <v>356</v>
      </c>
      <c r="R408" s="1">
        <f>Salesdta[[#This Row],[Final Revenue]]-Salesdta[[#This Row],[Product cost]]</f>
        <v>268</v>
      </c>
      <c r="S408" s="1" t="str">
        <f>IF(Salesdta[[#This Row],[Final Revenue]]&gt;1000,"Selected","Not Selected")</f>
        <v>Not Selected</v>
      </c>
    </row>
    <row r="409" spans="1:19" x14ac:dyDescent="0.35">
      <c r="A409" s="6" t="s">
        <v>2226</v>
      </c>
      <c r="B409" s="20">
        <v>45447</v>
      </c>
      <c r="C409" s="1" t="str">
        <f>TEXT(Salesdta[[#This Row],[Order_Date]],"mmmm")</f>
        <v>June</v>
      </c>
      <c r="D409" s="1" t="s">
        <v>384</v>
      </c>
      <c r="E409" s="1" t="str">
        <f>VLOOKUP(Salesdta[[#This Row],[Customer_ID]],Customer_Data_[],6,TRUE)</f>
        <v>Female</v>
      </c>
      <c r="F409" s="1" t="str">
        <f>VLOOKUP(Salesdta[[#This Row],[Customer_ID]],Customer_Data_[],8,TRUE)</f>
        <v>Maryland</v>
      </c>
      <c r="G409" s="1" t="s">
        <v>1558</v>
      </c>
      <c r="H409" s="1" t="str">
        <f>VLOOKUP(Salesdta[[#This Row],[Product_ID]],Product_Data_1[],2,TRUE)</f>
        <v>Decorative Lamp Shade</v>
      </c>
      <c r="I409" s="1" t="str">
        <f>VLOOKUP(Salesdta[[#This Row],[Product_ID]],Product_Data_1[],3,TRUE)</f>
        <v>Home</v>
      </c>
      <c r="J409" s="1">
        <f>VLOOKUP(Salesdta[[#This Row],[Product_ID]],Product_Data_1[],7,TRUE)</f>
        <v>229</v>
      </c>
      <c r="K409" s="1" t="s">
        <v>1803</v>
      </c>
      <c r="L409" s="1" t="str">
        <f>VLOOKUP(Salesdta[[#This Row],[Store_ID]],Store_Data_1[],3,TRUE)</f>
        <v>North</v>
      </c>
      <c r="M409" s="1">
        <v>3</v>
      </c>
      <c r="N409" s="1">
        <v>170</v>
      </c>
      <c r="O409" s="12">
        <v>0.06</v>
      </c>
      <c r="P409" s="1" t="s">
        <v>1822</v>
      </c>
      <c r="Q409" s="1">
        <v>481</v>
      </c>
      <c r="R409" s="1">
        <f>Salesdta[[#This Row],[Final Revenue]]-Salesdta[[#This Row],[Product cost]]</f>
        <v>252</v>
      </c>
      <c r="S409" s="1" t="str">
        <f>IF(Salesdta[[#This Row],[Final Revenue]]&gt;1000,"Selected","Not Selected")</f>
        <v>Not Selected</v>
      </c>
    </row>
    <row r="410" spans="1:19" x14ac:dyDescent="0.35">
      <c r="A410" s="6" t="s">
        <v>2227</v>
      </c>
      <c r="B410" s="20">
        <v>45778</v>
      </c>
      <c r="C410" s="1" t="str">
        <f>TEXT(Salesdta[[#This Row],[Order_Date]],"mmmm")</f>
        <v>May</v>
      </c>
      <c r="D410" s="1" t="s">
        <v>963</v>
      </c>
      <c r="E410" s="1" t="str">
        <f>VLOOKUP(Salesdta[[#This Row],[Customer_ID]],Customer_Data_[],6,TRUE)</f>
        <v>Male</v>
      </c>
      <c r="F410" s="1" t="str">
        <f>VLOOKUP(Salesdta[[#This Row],[Customer_ID]],Customer_Data_[],8,TRUE)</f>
        <v>Tennessee</v>
      </c>
      <c r="G410" s="1" t="s">
        <v>1551</v>
      </c>
      <c r="H410" s="1" t="str">
        <f>VLOOKUP(Salesdta[[#This Row],[Product_ID]],Product_Data_1[],2,TRUE)</f>
        <v>Men's Roll-On Perfume</v>
      </c>
      <c r="I410" s="1" t="str">
        <f>VLOOKUP(Salesdta[[#This Row],[Product_ID]],Product_Data_1[],3,TRUE)</f>
        <v>Beauty</v>
      </c>
      <c r="J410" s="1">
        <f>VLOOKUP(Salesdta[[#This Row],[Product_ID]],Product_Data_1[],7,TRUE)</f>
        <v>43</v>
      </c>
      <c r="K410" s="1" t="s">
        <v>1785</v>
      </c>
      <c r="L410" s="1" t="str">
        <f>VLOOKUP(Salesdta[[#This Row],[Store_ID]],Store_Data_1[],3,TRUE)</f>
        <v>North</v>
      </c>
      <c r="M410" s="1">
        <v>2</v>
      </c>
      <c r="N410" s="1">
        <v>516</v>
      </c>
      <c r="O410" s="12">
        <v>0.19</v>
      </c>
      <c r="P410" s="1" t="s">
        <v>1822</v>
      </c>
      <c r="Q410" s="1">
        <v>836</v>
      </c>
      <c r="R410" s="1">
        <f>Salesdta[[#This Row],[Final Revenue]]-Salesdta[[#This Row],[Product cost]]</f>
        <v>793</v>
      </c>
      <c r="S410" s="1" t="str">
        <f>IF(Salesdta[[#This Row],[Final Revenue]]&gt;1000,"Selected","Not Selected")</f>
        <v>Not Selected</v>
      </c>
    </row>
    <row r="411" spans="1:19" x14ac:dyDescent="0.35">
      <c r="A411" s="6" t="s">
        <v>2228</v>
      </c>
      <c r="B411" s="20">
        <v>45486</v>
      </c>
      <c r="C411" s="1" t="str">
        <f>TEXT(Salesdta[[#This Row],[Order_Date]],"mmmm")</f>
        <v>July</v>
      </c>
      <c r="D411" s="1" t="s">
        <v>737</v>
      </c>
      <c r="E411" s="1" t="str">
        <f>VLOOKUP(Salesdta[[#This Row],[Customer_ID]],Customer_Data_[],6,TRUE)</f>
        <v>Male</v>
      </c>
      <c r="F411" s="1" t="str">
        <f>VLOOKUP(Salesdta[[#This Row],[Customer_ID]],Customer_Data_[],8,TRUE)</f>
        <v>Florida</v>
      </c>
      <c r="G411" s="1" t="s">
        <v>1680</v>
      </c>
      <c r="H411" s="1" t="str">
        <f>VLOOKUP(Salesdta[[#This Row],[Product_ID]],Product_Data_1[],2,TRUE)</f>
        <v>Wooden Nightstand</v>
      </c>
      <c r="I411" s="1" t="str">
        <f>VLOOKUP(Salesdta[[#This Row],[Product_ID]],Product_Data_1[],3,TRUE)</f>
        <v>Home</v>
      </c>
      <c r="J411" s="1">
        <f>VLOOKUP(Salesdta[[#This Row],[Product_ID]],Product_Data_1[],7,TRUE)</f>
        <v>244</v>
      </c>
      <c r="K411" s="1" t="s">
        <v>1793</v>
      </c>
      <c r="L411" s="1" t="str">
        <f>VLOOKUP(Salesdta[[#This Row],[Store_ID]],Store_Data_1[],3,TRUE)</f>
        <v>North</v>
      </c>
      <c r="M411" s="1">
        <v>1</v>
      </c>
      <c r="N411" s="1">
        <v>290</v>
      </c>
      <c r="O411" s="12">
        <v>0.18</v>
      </c>
      <c r="P411" s="1" t="s">
        <v>1822</v>
      </c>
      <c r="Q411" s="1">
        <v>238</v>
      </c>
      <c r="R411" s="1">
        <f>Salesdta[[#This Row],[Final Revenue]]-Salesdta[[#This Row],[Product cost]]</f>
        <v>-6</v>
      </c>
      <c r="S411" s="1" t="str">
        <f>IF(Salesdta[[#This Row],[Final Revenue]]&gt;1000,"Selected","Not Selected")</f>
        <v>Not Selected</v>
      </c>
    </row>
    <row r="412" spans="1:19" x14ac:dyDescent="0.35">
      <c r="A412" s="6" t="s">
        <v>2229</v>
      </c>
      <c r="B412" s="20">
        <v>45406</v>
      </c>
      <c r="C412" s="1" t="str">
        <f>TEXT(Salesdta[[#This Row],[Order_Date]],"mmmm")</f>
        <v>April</v>
      </c>
      <c r="D412" s="1" t="s">
        <v>622</v>
      </c>
      <c r="E412" s="1" t="str">
        <f>VLOOKUP(Salesdta[[#This Row],[Customer_ID]],Customer_Data_[],6,TRUE)</f>
        <v>Male</v>
      </c>
      <c r="F412" s="1" t="str">
        <f>VLOOKUP(Salesdta[[#This Row],[Customer_ID]],Customer_Data_[],8,TRUE)</f>
        <v>New York</v>
      </c>
      <c r="G412" s="1" t="s">
        <v>1598</v>
      </c>
      <c r="H412" s="1" t="str">
        <f>VLOOKUP(Salesdta[[#This Row],[Product_ID]],Product_Data_1[],2,TRUE)</f>
        <v>Decorative Floor Vase</v>
      </c>
      <c r="I412" s="1" t="str">
        <f>VLOOKUP(Salesdta[[#This Row],[Product_ID]],Product_Data_1[],3,TRUE)</f>
        <v>Home</v>
      </c>
      <c r="J412" s="1">
        <f>VLOOKUP(Salesdta[[#This Row],[Product_ID]],Product_Data_1[],7,TRUE)</f>
        <v>254</v>
      </c>
      <c r="K412" s="1" t="s">
        <v>1809</v>
      </c>
      <c r="L412" s="1" t="str">
        <f>VLOOKUP(Salesdta[[#This Row],[Store_ID]],Store_Data_1[],3,TRUE)</f>
        <v>North</v>
      </c>
      <c r="M412" s="1">
        <v>3</v>
      </c>
      <c r="N412" s="1">
        <v>871</v>
      </c>
      <c r="O412" s="12">
        <v>0.11</v>
      </c>
      <c r="P412" s="1" t="s">
        <v>1822</v>
      </c>
      <c r="Q412" s="1">
        <v>2326</v>
      </c>
      <c r="R412" s="1">
        <f>Salesdta[[#This Row],[Final Revenue]]-Salesdta[[#This Row],[Product cost]]</f>
        <v>2072</v>
      </c>
      <c r="S412" s="1" t="str">
        <f>IF(Salesdta[[#This Row],[Final Revenue]]&gt;1000,"Selected","Not Selected")</f>
        <v>Selected</v>
      </c>
    </row>
    <row r="413" spans="1:19" x14ac:dyDescent="0.35">
      <c r="A413" s="6" t="s">
        <v>2230</v>
      </c>
      <c r="B413" s="20">
        <v>45933</v>
      </c>
      <c r="C413" s="1" t="str">
        <f>TEXT(Salesdta[[#This Row],[Order_Date]],"mmmm")</f>
        <v>October</v>
      </c>
      <c r="D413" s="1" t="s">
        <v>1361</v>
      </c>
      <c r="E413" s="1" t="str">
        <f>VLOOKUP(Salesdta[[#This Row],[Customer_ID]],Customer_Data_[],6,TRUE)</f>
        <v>Male</v>
      </c>
      <c r="F413" s="1" t="str">
        <f>VLOOKUP(Salesdta[[#This Row],[Customer_ID]],Customer_Data_[],8,TRUE)</f>
        <v>Wisconsin</v>
      </c>
      <c r="G413" s="1" t="s">
        <v>1632</v>
      </c>
      <c r="H413" s="1" t="str">
        <f>VLOOKUP(Salesdta[[#This Row],[Product_ID]],Product_Data_1[],2,TRUE)</f>
        <v>Adjustable Jump Rope</v>
      </c>
      <c r="I413" s="1" t="str">
        <f>VLOOKUP(Salesdta[[#This Row],[Product_ID]],Product_Data_1[],3,TRUE)</f>
        <v>Sports</v>
      </c>
      <c r="J413" s="1">
        <f>VLOOKUP(Salesdta[[#This Row],[Product_ID]],Product_Data_1[],7,TRUE)</f>
        <v>167</v>
      </c>
      <c r="K413" s="1" t="s">
        <v>1753</v>
      </c>
      <c r="L413" s="1" t="str">
        <f>VLOOKUP(Salesdta[[#This Row],[Store_ID]],Store_Data_1[],3,TRUE)</f>
        <v>North</v>
      </c>
      <c r="M413" s="1">
        <v>4</v>
      </c>
      <c r="N413" s="1">
        <v>415</v>
      </c>
      <c r="O413" s="12">
        <v>0.01</v>
      </c>
      <c r="P413" s="1" t="s">
        <v>1819</v>
      </c>
      <c r="Q413" s="1">
        <v>1643</v>
      </c>
      <c r="R413" s="1">
        <f>Salesdta[[#This Row],[Final Revenue]]-Salesdta[[#This Row],[Product cost]]</f>
        <v>1476</v>
      </c>
      <c r="S413" s="1" t="str">
        <f>IF(Salesdta[[#This Row],[Final Revenue]]&gt;1000,"Selected","Not Selected")</f>
        <v>Selected</v>
      </c>
    </row>
    <row r="414" spans="1:19" x14ac:dyDescent="0.35">
      <c r="A414" s="6" t="s">
        <v>2231</v>
      </c>
      <c r="B414" s="20">
        <v>45809</v>
      </c>
      <c r="C414" s="1" t="str">
        <f>TEXT(Salesdta[[#This Row],[Order_Date]],"mmmm")</f>
        <v>June</v>
      </c>
      <c r="D414" s="1" t="s">
        <v>1112</v>
      </c>
      <c r="E414" s="1" t="str">
        <f>VLOOKUP(Salesdta[[#This Row],[Customer_ID]],Customer_Data_[],6,TRUE)</f>
        <v>Male</v>
      </c>
      <c r="F414" s="1" t="str">
        <f>VLOOKUP(Salesdta[[#This Row],[Customer_ID]],Customer_Data_[],8,TRUE)</f>
        <v>Virginia</v>
      </c>
      <c r="G414" s="1" t="s">
        <v>1720</v>
      </c>
      <c r="H414" s="1" t="str">
        <f>VLOOKUP(Salesdta[[#This Row],[Product_ID]],Product_Data_1[],2,TRUE)</f>
        <v>Sports Wrist Sweatbands</v>
      </c>
      <c r="I414" s="1" t="str">
        <f>VLOOKUP(Salesdta[[#This Row],[Product_ID]],Product_Data_1[],3,TRUE)</f>
        <v>Sports</v>
      </c>
      <c r="J414" s="1">
        <f>VLOOKUP(Salesdta[[#This Row],[Product_ID]],Product_Data_1[],7,TRUE)</f>
        <v>131</v>
      </c>
      <c r="K414" s="1" t="s">
        <v>1772</v>
      </c>
      <c r="L414" s="1" t="str">
        <f>VLOOKUP(Salesdta[[#This Row],[Store_ID]],Store_Data_1[],3,TRUE)</f>
        <v>East</v>
      </c>
      <c r="M414" s="1">
        <v>1</v>
      </c>
      <c r="N414" s="1">
        <v>539</v>
      </c>
      <c r="O414" s="12">
        <v>0.14000000000000001</v>
      </c>
      <c r="P414" s="1" t="s">
        <v>1817</v>
      </c>
      <c r="Q414" s="1">
        <v>464</v>
      </c>
      <c r="R414" s="1">
        <f>Salesdta[[#This Row],[Final Revenue]]-Salesdta[[#This Row],[Product cost]]</f>
        <v>333</v>
      </c>
      <c r="S414" s="1" t="str">
        <f>IF(Salesdta[[#This Row],[Final Revenue]]&gt;1000,"Selected","Not Selected")</f>
        <v>Not Selected</v>
      </c>
    </row>
    <row r="415" spans="1:19" x14ac:dyDescent="0.35">
      <c r="A415" s="6" t="s">
        <v>2232</v>
      </c>
      <c r="B415" s="20">
        <v>45456</v>
      </c>
      <c r="C415" s="1" t="str">
        <f>TEXT(Salesdta[[#This Row],[Order_Date]],"mmmm")</f>
        <v>June</v>
      </c>
      <c r="D415" s="1" t="s">
        <v>896</v>
      </c>
      <c r="E415" s="1" t="str">
        <f>VLOOKUP(Salesdta[[#This Row],[Customer_ID]],Customer_Data_[],6,TRUE)</f>
        <v>Female</v>
      </c>
      <c r="F415" s="1" t="str">
        <f>VLOOKUP(Salesdta[[#This Row],[Customer_ID]],Customer_Data_[],8,TRUE)</f>
        <v>Wyoming</v>
      </c>
      <c r="G415" s="1" t="s">
        <v>1684</v>
      </c>
      <c r="H415" s="1" t="str">
        <f>VLOOKUP(Salesdta[[#This Row],[Product_ID]],Product_Data_1[],2,TRUE)</f>
        <v>Kitchen Storage Rack</v>
      </c>
      <c r="I415" s="1" t="str">
        <f>VLOOKUP(Salesdta[[#This Row],[Product_ID]],Product_Data_1[],3,TRUE)</f>
        <v>Home</v>
      </c>
      <c r="J415" s="1">
        <f>VLOOKUP(Salesdta[[#This Row],[Product_ID]],Product_Data_1[],7,TRUE)</f>
        <v>138</v>
      </c>
      <c r="K415" s="1" t="s">
        <v>1765</v>
      </c>
      <c r="L415" s="1" t="str">
        <f>VLOOKUP(Salesdta[[#This Row],[Store_ID]],Store_Data_1[],3,TRUE)</f>
        <v>South</v>
      </c>
      <c r="M415" s="1">
        <v>3</v>
      </c>
      <c r="N415" s="1">
        <v>699</v>
      </c>
      <c r="O415" s="12">
        <v>0.28000000000000003</v>
      </c>
      <c r="P415" s="1" t="s">
        <v>1822</v>
      </c>
      <c r="Q415" s="1">
        <v>1509</v>
      </c>
      <c r="R415" s="1">
        <f>Salesdta[[#This Row],[Final Revenue]]-Salesdta[[#This Row],[Product cost]]</f>
        <v>1371</v>
      </c>
      <c r="S415" s="1" t="str">
        <f>IF(Salesdta[[#This Row],[Final Revenue]]&gt;1000,"Selected","Not Selected")</f>
        <v>Selected</v>
      </c>
    </row>
    <row r="416" spans="1:19" x14ac:dyDescent="0.35">
      <c r="A416" s="6" t="s">
        <v>2233</v>
      </c>
      <c r="B416" s="20">
        <v>45527</v>
      </c>
      <c r="C416" s="1" t="str">
        <f>TEXT(Salesdta[[#This Row],[Order_Date]],"mmmm")</f>
        <v>August</v>
      </c>
      <c r="D416" s="1" t="s">
        <v>1407</v>
      </c>
      <c r="E416" s="1" t="str">
        <f>VLOOKUP(Salesdta[[#This Row],[Customer_ID]],Customer_Data_[],6,TRUE)</f>
        <v>Male</v>
      </c>
      <c r="F416" s="1" t="str">
        <f>VLOOKUP(Salesdta[[#This Row],[Customer_ID]],Customer_Data_[],8,TRUE)</f>
        <v>Kentucky</v>
      </c>
      <c r="G416" s="1" t="s">
        <v>1630</v>
      </c>
      <c r="H416" s="1" t="str">
        <f>VLOOKUP(Salesdta[[#This Row],[Product_ID]],Product_Data_1[],2,TRUE)</f>
        <v>USB External Hard Drive</v>
      </c>
      <c r="I416" s="1" t="str">
        <f>VLOOKUP(Salesdta[[#This Row],[Product_ID]],Product_Data_1[],3,TRUE)</f>
        <v>Electronics</v>
      </c>
      <c r="J416" s="1">
        <f>VLOOKUP(Salesdta[[#This Row],[Product_ID]],Product_Data_1[],7,TRUE)</f>
        <v>253</v>
      </c>
      <c r="K416" s="1" t="s">
        <v>1797</v>
      </c>
      <c r="L416" s="1" t="str">
        <f>VLOOKUP(Salesdta[[#This Row],[Store_ID]],Store_Data_1[],3,TRUE)</f>
        <v>North</v>
      </c>
      <c r="M416" s="1">
        <v>3</v>
      </c>
      <c r="N416" s="1">
        <v>792</v>
      </c>
      <c r="O416" s="12">
        <v>0.28999999999999998</v>
      </c>
      <c r="P416" s="1" t="s">
        <v>1817</v>
      </c>
      <c r="Q416" s="1">
        <v>1686</v>
      </c>
      <c r="R416" s="1">
        <f>Salesdta[[#This Row],[Final Revenue]]-Salesdta[[#This Row],[Product cost]]</f>
        <v>1433</v>
      </c>
      <c r="S416" s="1" t="str">
        <f>IF(Salesdta[[#This Row],[Final Revenue]]&gt;1000,"Selected","Not Selected")</f>
        <v>Selected</v>
      </c>
    </row>
    <row r="417" spans="1:19" x14ac:dyDescent="0.35">
      <c r="A417" s="6" t="s">
        <v>2234</v>
      </c>
      <c r="B417" s="20">
        <v>45700</v>
      </c>
      <c r="C417" s="1" t="str">
        <f>TEXT(Salesdta[[#This Row],[Order_Date]],"mmmm")</f>
        <v>February</v>
      </c>
      <c r="D417" s="1" t="s">
        <v>824</v>
      </c>
      <c r="E417" s="1" t="str">
        <f>VLOOKUP(Salesdta[[#This Row],[Customer_ID]],Customer_Data_[],6,TRUE)</f>
        <v>Female</v>
      </c>
      <c r="F417" s="1" t="str">
        <f>VLOOKUP(Salesdta[[#This Row],[Customer_ID]],Customer_Data_[],8,TRUE)</f>
        <v>Oklahoma</v>
      </c>
      <c r="G417" s="1" t="s">
        <v>1570</v>
      </c>
      <c r="H417" s="1" t="str">
        <f>VLOOKUP(Salesdta[[#This Row],[Product_ID]],Product_Data_1[],2,TRUE)</f>
        <v>USB-C Fast Charger</v>
      </c>
      <c r="I417" s="1" t="str">
        <f>VLOOKUP(Salesdta[[#This Row],[Product_ID]],Product_Data_1[],3,TRUE)</f>
        <v>Electronics</v>
      </c>
      <c r="J417" s="1">
        <f>VLOOKUP(Salesdta[[#This Row],[Product_ID]],Product_Data_1[],7,TRUE)</f>
        <v>242</v>
      </c>
      <c r="K417" s="1" t="s">
        <v>1806</v>
      </c>
      <c r="L417" s="1" t="str">
        <f>VLOOKUP(Salesdta[[#This Row],[Store_ID]],Store_Data_1[],3,TRUE)</f>
        <v>North</v>
      </c>
      <c r="M417" s="1">
        <v>4</v>
      </c>
      <c r="N417" s="1">
        <v>267</v>
      </c>
      <c r="O417" s="12">
        <v>0.16</v>
      </c>
      <c r="P417" s="1" t="s">
        <v>1817</v>
      </c>
      <c r="Q417" s="1">
        <v>897</v>
      </c>
      <c r="R417" s="1">
        <f>Salesdta[[#This Row],[Final Revenue]]-Salesdta[[#This Row],[Product cost]]</f>
        <v>655</v>
      </c>
      <c r="S417" s="1" t="str">
        <f>IF(Salesdta[[#This Row],[Final Revenue]]&gt;1000,"Selected","Not Selected")</f>
        <v>Not Selected</v>
      </c>
    </row>
    <row r="418" spans="1:19" x14ac:dyDescent="0.35">
      <c r="A418" s="6" t="s">
        <v>2235</v>
      </c>
      <c r="B418" s="20">
        <v>45873</v>
      </c>
      <c r="C418" s="1" t="str">
        <f>TEXT(Salesdta[[#This Row],[Order_Date]],"mmmm")</f>
        <v>August</v>
      </c>
      <c r="D418" s="1" t="s">
        <v>1262</v>
      </c>
      <c r="E418" s="1" t="str">
        <f>VLOOKUP(Salesdta[[#This Row],[Customer_ID]],Customer_Data_[],6,TRUE)</f>
        <v>Male</v>
      </c>
      <c r="F418" s="1" t="str">
        <f>VLOOKUP(Salesdta[[#This Row],[Customer_ID]],Customer_Data_[],8,TRUE)</f>
        <v>Maryland</v>
      </c>
      <c r="G418" s="1" t="s">
        <v>1684</v>
      </c>
      <c r="H418" s="1" t="str">
        <f>VLOOKUP(Salesdta[[#This Row],[Product_ID]],Product_Data_1[],2,TRUE)</f>
        <v>Kitchen Storage Rack</v>
      </c>
      <c r="I418" s="1" t="str">
        <f>VLOOKUP(Salesdta[[#This Row],[Product_ID]],Product_Data_1[],3,TRUE)</f>
        <v>Home</v>
      </c>
      <c r="J418" s="1">
        <f>VLOOKUP(Salesdta[[#This Row],[Product_ID]],Product_Data_1[],7,TRUE)</f>
        <v>138</v>
      </c>
      <c r="K418" s="1" t="s">
        <v>1797</v>
      </c>
      <c r="L418" s="1" t="str">
        <f>VLOOKUP(Salesdta[[#This Row],[Store_ID]],Store_Data_1[],3,TRUE)</f>
        <v>North</v>
      </c>
      <c r="M418" s="1">
        <v>3</v>
      </c>
      <c r="N418" s="1">
        <v>360</v>
      </c>
      <c r="O418" s="12">
        <v>0.03</v>
      </c>
      <c r="P418" s="1" t="s">
        <v>1817</v>
      </c>
      <c r="Q418" s="1">
        <v>1048</v>
      </c>
      <c r="R418" s="1">
        <f>Salesdta[[#This Row],[Final Revenue]]-Salesdta[[#This Row],[Product cost]]</f>
        <v>910</v>
      </c>
      <c r="S418" s="1" t="str">
        <f>IF(Salesdta[[#This Row],[Final Revenue]]&gt;1000,"Selected","Not Selected")</f>
        <v>Selected</v>
      </c>
    </row>
    <row r="419" spans="1:19" x14ac:dyDescent="0.35">
      <c r="A419" s="6" t="s">
        <v>2236</v>
      </c>
      <c r="B419" s="20">
        <v>45235</v>
      </c>
      <c r="C419" s="1" t="str">
        <f>TEXT(Salesdta[[#This Row],[Order_Date]],"mmmm")</f>
        <v>November</v>
      </c>
      <c r="D419" s="1" t="s">
        <v>281</v>
      </c>
      <c r="E419" s="1" t="str">
        <f>VLOOKUP(Salesdta[[#This Row],[Customer_ID]],Customer_Data_[],6,TRUE)</f>
        <v>Male</v>
      </c>
      <c r="F419" s="1" t="str">
        <f>VLOOKUP(Salesdta[[#This Row],[Customer_ID]],Customer_Data_[],8,TRUE)</f>
        <v>Virginia</v>
      </c>
      <c r="G419" s="1" t="s">
        <v>1634</v>
      </c>
      <c r="H419" s="1" t="str">
        <f>VLOOKUP(Salesdta[[#This Row],[Product_ID]],Product_Data_1[],2,TRUE)</f>
        <v>High-Grip Football</v>
      </c>
      <c r="I419" s="1" t="str">
        <f>VLOOKUP(Salesdta[[#This Row],[Product_ID]],Product_Data_1[],3,TRUE)</f>
        <v>Sports</v>
      </c>
      <c r="J419" s="1">
        <f>VLOOKUP(Salesdta[[#This Row],[Product_ID]],Product_Data_1[],7,TRUE)</f>
        <v>319</v>
      </c>
      <c r="K419" s="1" t="s">
        <v>1797</v>
      </c>
      <c r="L419" s="1" t="str">
        <f>VLOOKUP(Salesdta[[#This Row],[Store_ID]],Store_Data_1[],3,TRUE)</f>
        <v>North</v>
      </c>
      <c r="M419" s="1">
        <v>3</v>
      </c>
      <c r="N419" s="1">
        <v>675</v>
      </c>
      <c r="O419" s="12">
        <v>0.23</v>
      </c>
      <c r="P419" s="1" t="s">
        <v>1817</v>
      </c>
      <c r="Q419" s="1">
        <v>1558</v>
      </c>
      <c r="R419" s="1">
        <f>Salesdta[[#This Row],[Final Revenue]]-Salesdta[[#This Row],[Product cost]]</f>
        <v>1239</v>
      </c>
      <c r="S419" s="1" t="str">
        <f>IF(Salesdta[[#This Row],[Final Revenue]]&gt;1000,"Selected","Not Selected")</f>
        <v>Selected</v>
      </c>
    </row>
    <row r="420" spans="1:19" x14ac:dyDescent="0.35">
      <c r="A420" s="6" t="s">
        <v>2237</v>
      </c>
      <c r="B420" s="20">
        <v>45700</v>
      </c>
      <c r="C420" s="1" t="str">
        <f>TEXT(Salesdta[[#This Row],[Order_Date]],"mmmm")</f>
        <v>February</v>
      </c>
      <c r="D420" s="1" t="s">
        <v>416</v>
      </c>
      <c r="E420" s="1" t="str">
        <f>VLOOKUP(Salesdta[[#This Row],[Customer_ID]],Customer_Data_[],6,TRUE)</f>
        <v>Male</v>
      </c>
      <c r="F420" s="1" t="str">
        <f>VLOOKUP(Salesdta[[#This Row],[Customer_ID]],Customer_Data_[],8,TRUE)</f>
        <v>Hawaii</v>
      </c>
      <c r="G420" s="1" t="s">
        <v>1610</v>
      </c>
      <c r="H420" s="1" t="str">
        <f>VLOOKUP(Salesdta[[#This Row],[Product_ID]],Product_Data_1[],2,TRUE)</f>
        <v>Modern Wall Clock</v>
      </c>
      <c r="I420" s="1" t="str">
        <f>VLOOKUP(Salesdta[[#This Row],[Product_ID]],Product_Data_1[],3,TRUE)</f>
        <v>Home</v>
      </c>
      <c r="J420" s="1">
        <f>VLOOKUP(Salesdta[[#This Row],[Product_ID]],Product_Data_1[],7,TRUE)</f>
        <v>180</v>
      </c>
      <c r="K420" s="1" t="s">
        <v>1797</v>
      </c>
      <c r="L420" s="1" t="str">
        <f>VLOOKUP(Salesdta[[#This Row],[Store_ID]],Store_Data_1[],3,TRUE)</f>
        <v>North</v>
      </c>
      <c r="M420" s="1">
        <v>2</v>
      </c>
      <c r="N420" s="1">
        <v>667</v>
      </c>
      <c r="O420" s="12">
        <v>0.1</v>
      </c>
      <c r="P420" s="1" t="s">
        <v>1819</v>
      </c>
      <c r="Q420" s="1">
        <v>1201</v>
      </c>
      <c r="R420" s="1">
        <f>Salesdta[[#This Row],[Final Revenue]]-Salesdta[[#This Row],[Product cost]]</f>
        <v>1021</v>
      </c>
      <c r="S420" s="1" t="str">
        <f>IF(Salesdta[[#This Row],[Final Revenue]]&gt;1000,"Selected","Not Selected")</f>
        <v>Selected</v>
      </c>
    </row>
    <row r="421" spans="1:19" x14ac:dyDescent="0.35">
      <c r="A421" s="6" t="s">
        <v>2238</v>
      </c>
      <c r="B421" s="20">
        <v>45260</v>
      </c>
      <c r="C421" s="1" t="str">
        <f>TEXT(Salesdta[[#This Row],[Order_Date]],"mmmm")</f>
        <v>November</v>
      </c>
      <c r="D421" s="1" t="s">
        <v>884</v>
      </c>
      <c r="E421" s="1" t="str">
        <f>VLOOKUP(Salesdta[[#This Row],[Customer_ID]],Customer_Data_[],6,TRUE)</f>
        <v>Female</v>
      </c>
      <c r="F421" s="1" t="str">
        <f>VLOOKUP(Salesdta[[#This Row],[Customer_ID]],Customer_Data_[],8,TRUE)</f>
        <v>Ohio</v>
      </c>
      <c r="G421" s="1" t="s">
        <v>1570</v>
      </c>
      <c r="H421" s="1" t="str">
        <f>VLOOKUP(Salesdta[[#This Row],[Product_ID]],Product_Data_1[],2,TRUE)</f>
        <v>USB-C Fast Charger</v>
      </c>
      <c r="I421" s="1" t="str">
        <f>VLOOKUP(Salesdta[[#This Row],[Product_ID]],Product_Data_1[],3,TRUE)</f>
        <v>Electronics</v>
      </c>
      <c r="J421" s="1">
        <f>VLOOKUP(Salesdta[[#This Row],[Product_ID]],Product_Data_1[],7,TRUE)</f>
        <v>242</v>
      </c>
      <c r="K421" s="1" t="s">
        <v>1778</v>
      </c>
      <c r="L421" s="1" t="str">
        <f>VLOOKUP(Salesdta[[#This Row],[Store_ID]],Store_Data_1[],3,TRUE)</f>
        <v>West</v>
      </c>
      <c r="M421" s="1">
        <v>1</v>
      </c>
      <c r="N421" s="1">
        <v>139</v>
      </c>
      <c r="O421" s="12">
        <v>0</v>
      </c>
      <c r="P421" s="1" t="s">
        <v>1817</v>
      </c>
      <c r="Q421" s="1">
        <v>139</v>
      </c>
      <c r="R421" s="1">
        <f>Salesdta[[#This Row],[Final Revenue]]-Salesdta[[#This Row],[Product cost]]</f>
        <v>-103</v>
      </c>
      <c r="S421" s="1" t="str">
        <f>IF(Salesdta[[#This Row],[Final Revenue]]&gt;1000,"Selected","Not Selected")</f>
        <v>Not Selected</v>
      </c>
    </row>
    <row r="422" spans="1:19" x14ac:dyDescent="0.35">
      <c r="A422" s="6" t="s">
        <v>2239</v>
      </c>
      <c r="B422" s="20">
        <v>45661</v>
      </c>
      <c r="C422" s="1" t="str">
        <f>TEXT(Salesdta[[#This Row],[Order_Date]],"mmmm")</f>
        <v>January</v>
      </c>
      <c r="D422" s="1" t="s">
        <v>637</v>
      </c>
      <c r="E422" s="1" t="str">
        <f>VLOOKUP(Salesdta[[#This Row],[Customer_ID]],Customer_Data_[],6,TRUE)</f>
        <v>Male</v>
      </c>
      <c r="F422" s="1" t="str">
        <f>VLOOKUP(Salesdta[[#This Row],[Customer_ID]],Customer_Data_[],8,TRUE)</f>
        <v>Arizona</v>
      </c>
      <c r="G422" s="1" t="s">
        <v>1582</v>
      </c>
      <c r="H422" s="1" t="str">
        <f>VLOOKUP(Salesdta[[#This Row],[Product_ID]],Product_Data_1[],2,TRUE)</f>
        <v>Knee Support Brace</v>
      </c>
      <c r="I422" s="1" t="str">
        <f>VLOOKUP(Salesdta[[#This Row],[Product_ID]],Product_Data_1[],3,TRUE)</f>
        <v>Sports</v>
      </c>
      <c r="J422" s="1">
        <f>VLOOKUP(Salesdta[[#This Row],[Product_ID]],Product_Data_1[],7,TRUE)</f>
        <v>21</v>
      </c>
      <c r="K422" s="1" t="s">
        <v>1762</v>
      </c>
      <c r="L422" s="1" t="str">
        <f>VLOOKUP(Salesdta[[#This Row],[Store_ID]],Store_Data_1[],3,TRUE)</f>
        <v>North</v>
      </c>
      <c r="M422" s="1">
        <v>1</v>
      </c>
      <c r="N422" s="1">
        <v>270</v>
      </c>
      <c r="O422" s="12">
        <v>0.15</v>
      </c>
      <c r="P422" s="1" t="s">
        <v>1822</v>
      </c>
      <c r="Q422" s="1">
        <v>230</v>
      </c>
      <c r="R422" s="1">
        <f>Salesdta[[#This Row],[Final Revenue]]-Salesdta[[#This Row],[Product cost]]</f>
        <v>209</v>
      </c>
      <c r="S422" s="1" t="str">
        <f>IF(Salesdta[[#This Row],[Final Revenue]]&gt;1000,"Selected","Not Selected")</f>
        <v>Not Selected</v>
      </c>
    </row>
    <row r="423" spans="1:19" x14ac:dyDescent="0.35">
      <c r="A423" s="6" t="s">
        <v>2240</v>
      </c>
      <c r="B423" s="20">
        <v>45801</v>
      </c>
      <c r="C423" s="1" t="str">
        <f>TEXT(Salesdta[[#This Row],[Order_Date]],"mmmm")</f>
        <v>May</v>
      </c>
      <c r="D423" s="1" t="s">
        <v>1430</v>
      </c>
      <c r="E423" s="1" t="str">
        <f>VLOOKUP(Salesdta[[#This Row],[Customer_ID]],Customer_Data_[],6,TRUE)</f>
        <v>Female</v>
      </c>
      <c r="F423" s="1" t="str">
        <f>VLOOKUP(Salesdta[[#This Row],[Customer_ID]],Customer_Data_[],8,TRUE)</f>
        <v>North Carolina</v>
      </c>
      <c r="G423" s="1" t="s">
        <v>1678</v>
      </c>
      <c r="H423" s="1" t="str">
        <f>VLOOKUP(Salesdta[[#This Row],[Product_ID]],Product_Data_1[],2,TRUE)</f>
        <v>Smart LED Light Strip</v>
      </c>
      <c r="I423" s="1" t="str">
        <f>VLOOKUP(Salesdta[[#This Row],[Product_ID]],Product_Data_1[],3,TRUE)</f>
        <v>Electronics</v>
      </c>
      <c r="J423" s="1">
        <f>VLOOKUP(Salesdta[[#This Row],[Product_ID]],Product_Data_1[],7,TRUE)</f>
        <v>349</v>
      </c>
      <c r="K423" s="1" t="s">
        <v>1778</v>
      </c>
      <c r="L423" s="1" t="str">
        <f>VLOOKUP(Salesdta[[#This Row],[Store_ID]],Store_Data_1[],3,TRUE)</f>
        <v>West</v>
      </c>
      <c r="M423" s="1">
        <v>2</v>
      </c>
      <c r="N423" s="1">
        <v>995</v>
      </c>
      <c r="O423" s="12">
        <v>0.13</v>
      </c>
      <c r="P423" s="1" t="s">
        <v>1819</v>
      </c>
      <c r="Q423" s="1">
        <v>1731</v>
      </c>
      <c r="R423" s="1">
        <f>Salesdta[[#This Row],[Final Revenue]]-Salesdta[[#This Row],[Product cost]]</f>
        <v>1382</v>
      </c>
      <c r="S423" s="1" t="str">
        <f>IF(Salesdta[[#This Row],[Final Revenue]]&gt;1000,"Selected","Not Selected")</f>
        <v>Selected</v>
      </c>
    </row>
    <row r="424" spans="1:19" x14ac:dyDescent="0.35">
      <c r="A424" s="6" t="s">
        <v>2241</v>
      </c>
      <c r="B424" s="20">
        <v>45799</v>
      </c>
      <c r="C424" s="1" t="str">
        <f>TEXT(Salesdta[[#This Row],[Order_Date]],"mmmm")</f>
        <v>May</v>
      </c>
      <c r="D424" s="1" t="s">
        <v>1219</v>
      </c>
      <c r="E424" s="1" t="str">
        <f>VLOOKUP(Salesdta[[#This Row],[Customer_ID]],Customer_Data_[],6,TRUE)</f>
        <v>Male</v>
      </c>
      <c r="F424" s="1" t="str">
        <f>VLOOKUP(Salesdta[[#This Row],[Customer_ID]],Customer_Data_[],8,TRUE)</f>
        <v>Missouri</v>
      </c>
      <c r="G424" s="1" t="s">
        <v>1648</v>
      </c>
      <c r="H424" s="1" t="str">
        <f>VLOOKUP(Salesdta[[#This Row],[Product_ID]],Product_Data_1[],2,TRUE)</f>
        <v>Rugby Ball</v>
      </c>
      <c r="I424" s="1" t="str">
        <f>VLOOKUP(Salesdta[[#This Row],[Product_ID]],Product_Data_1[],3,TRUE)</f>
        <v>Sports</v>
      </c>
      <c r="J424" s="1">
        <f>VLOOKUP(Salesdta[[#This Row],[Product_ID]],Product_Data_1[],7,TRUE)</f>
        <v>212</v>
      </c>
      <c r="K424" s="1" t="s">
        <v>1785</v>
      </c>
      <c r="L424" s="1" t="str">
        <f>VLOOKUP(Salesdta[[#This Row],[Store_ID]],Store_Data_1[],3,TRUE)</f>
        <v>North</v>
      </c>
      <c r="M424" s="1">
        <v>2</v>
      </c>
      <c r="N424" s="1">
        <v>295</v>
      </c>
      <c r="O424" s="12">
        <v>0.09</v>
      </c>
      <c r="P424" s="1" t="s">
        <v>1822</v>
      </c>
      <c r="Q424" s="1">
        <v>537</v>
      </c>
      <c r="R424" s="1">
        <f>Salesdta[[#This Row],[Final Revenue]]-Salesdta[[#This Row],[Product cost]]</f>
        <v>325</v>
      </c>
      <c r="S424" s="1" t="str">
        <f>IF(Salesdta[[#This Row],[Final Revenue]]&gt;1000,"Selected","Not Selected")</f>
        <v>Not Selected</v>
      </c>
    </row>
    <row r="425" spans="1:19" x14ac:dyDescent="0.35">
      <c r="A425" s="6" t="s">
        <v>2242</v>
      </c>
      <c r="B425" s="20">
        <v>45848</v>
      </c>
      <c r="C425" s="1" t="str">
        <f>TEXT(Salesdta[[#This Row],[Order_Date]],"mmmm")</f>
        <v>July</v>
      </c>
      <c r="D425" s="1" t="s">
        <v>381</v>
      </c>
      <c r="E425" s="1" t="str">
        <f>VLOOKUP(Salesdta[[#This Row],[Customer_ID]],Customer_Data_[],6,TRUE)</f>
        <v>Male</v>
      </c>
      <c r="F425" s="1" t="str">
        <f>VLOOKUP(Salesdta[[#This Row],[Customer_ID]],Customer_Data_[],8,TRUE)</f>
        <v>West Virginia</v>
      </c>
      <c r="G425" s="1" t="s">
        <v>1612</v>
      </c>
      <c r="H425" s="1" t="str">
        <f>VLOOKUP(Salesdta[[#This Row],[Product_ID]],Product_Data_1[],2,TRUE)</f>
        <v>Gaming Mechanical Keyboard</v>
      </c>
      <c r="I425" s="1" t="str">
        <f>VLOOKUP(Salesdta[[#This Row],[Product_ID]],Product_Data_1[],3,TRUE)</f>
        <v>Electronics</v>
      </c>
      <c r="J425" s="1">
        <f>VLOOKUP(Salesdta[[#This Row],[Product_ID]],Product_Data_1[],7,TRUE)</f>
        <v>419</v>
      </c>
      <c r="K425" s="1" t="s">
        <v>1788</v>
      </c>
      <c r="L425" s="1" t="str">
        <f>VLOOKUP(Salesdta[[#This Row],[Store_ID]],Store_Data_1[],3,TRUE)</f>
        <v>North</v>
      </c>
      <c r="M425" s="1">
        <v>2</v>
      </c>
      <c r="N425" s="1">
        <v>414</v>
      </c>
      <c r="O425" s="12">
        <v>0.25</v>
      </c>
      <c r="P425" s="1" t="s">
        <v>1819</v>
      </c>
      <c r="Q425" s="1">
        <v>621</v>
      </c>
      <c r="R425" s="1">
        <f>Salesdta[[#This Row],[Final Revenue]]-Salesdta[[#This Row],[Product cost]]</f>
        <v>202</v>
      </c>
      <c r="S425" s="1" t="str">
        <f>IF(Salesdta[[#This Row],[Final Revenue]]&gt;1000,"Selected","Not Selected")</f>
        <v>Not Selected</v>
      </c>
    </row>
    <row r="426" spans="1:19" x14ac:dyDescent="0.35">
      <c r="A426" s="6" t="s">
        <v>2243</v>
      </c>
      <c r="B426" s="20">
        <v>45918</v>
      </c>
      <c r="C426" s="1" t="str">
        <f>TEXT(Salesdta[[#This Row],[Order_Date]],"mmmm")</f>
        <v>September</v>
      </c>
      <c r="D426" s="1" t="s">
        <v>851</v>
      </c>
      <c r="E426" s="1" t="str">
        <f>VLOOKUP(Salesdta[[#This Row],[Customer_ID]],Customer_Data_[],6,TRUE)</f>
        <v>Female</v>
      </c>
      <c r="F426" s="1" t="str">
        <f>VLOOKUP(Salesdta[[#This Row],[Customer_ID]],Customer_Data_[],8,TRUE)</f>
        <v>Minnesota</v>
      </c>
      <c r="G426" s="1" t="s">
        <v>1660</v>
      </c>
      <c r="H426" s="1" t="str">
        <f>VLOOKUP(Salesdta[[#This Row],[Product_ID]],Product_Data_1[],2,TRUE)</f>
        <v>Womens Cotton Scarf</v>
      </c>
      <c r="I426" s="1" t="str">
        <f>VLOOKUP(Salesdta[[#This Row],[Product_ID]],Product_Data_1[],3,TRUE)</f>
        <v>Clothing</v>
      </c>
      <c r="J426" s="1">
        <f>VLOOKUP(Salesdta[[#This Row],[Product_ID]],Product_Data_1[],7,TRUE)</f>
        <v>114</v>
      </c>
      <c r="K426" s="1" t="s">
        <v>1778</v>
      </c>
      <c r="L426" s="1" t="str">
        <f>VLOOKUP(Salesdta[[#This Row],[Store_ID]],Store_Data_1[],3,TRUE)</f>
        <v>West</v>
      </c>
      <c r="M426" s="1">
        <v>2</v>
      </c>
      <c r="N426" s="1">
        <v>434</v>
      </c>
      <c r="O426" s="12">
        <v>0</v>
      </c>
      <c r="P426" s="1" t="s">
        <v>1817</v>
      </c>
      <c r="Q426" s="1">
        <v>868</v>
      </c>
      <c r="R426" s="1">
        <f>Salesdta[[#This Row],[Final Revenue]]-Salesdta[[#This Row],[Product cost]]</f>
        <v>754</v>
      </c>
      <c r="S426" s="1" t="str">
        <f>IF(Salesdta[[#This Row],[Final Revenue]]&gt;1000,"Selected","Not Selected")</f>
        <v>Not Selected</v>
      </c>
    </row>
    <row r="427" spans="1:19" x14ac:dyDescent="0.35">
      <c r="A427" s="6" t="s">
        <v>2244</v>
      </c>
      <c r="B427" s="20">
        <v>45625</v>
      </c>
      <c r="C427" s="1" t="str">
        <f>TEXT(Salesdta[[#This Row],[Order_Date]],"mmmm")</f>
        <v>November</v>
      </c>
      <c r="D427" s="1" t="s">
        <v>631</v>
      </c>
      <c r="E427" s="1" t="str">
        <f>VLOOKUP(Salesdta[[#This Row],[Customer_ID]],Customer_Data_[],6,TRUE)</f>
        <v>Male</v>
      </c>
      <c r="F427" s="1" t="str">
        <f>VLOOKUP(Salesdta[[#This Row],[Customer_ID]],Customer_Data_[],8,TRUE)</f>
        <v>Georgia</v>
      </c>
      <c r="G427" s="1" t="s">
        <v>1672</v>
      </c>
      <c r="H427" s="1" t="str">
        <f>VLOOKUP(Salesdta[[#This Row],[Product_ID]],Product_Data_1[],2,TRUE)</f>
        <v>Matte Lipstick Set</v>
      </c>
      <c r="I427" s="1" t="str">
        <f>VLOOKUP(Salesdta[[#This Row],[Product_ID]],Product_Data_1[],3,TRUE)</f>
        <v>Beauty</v>
      </c>
      <c r="J427" s="1">
        <f>VLOOKUP(Salesdta[[#This Row],[Product_ID]],Product_Data_1[],7,TRUE)</f>
        <v>299</v>
      </c>
      <c r="K427" s="1" t="s">
        <v>1775</v>
      </c>
      <c r="L427" s="1" t="str">
        <f>VLOOKUP(Salesdta[[#This Row],[Store_ID]],Store_Data_1[],3,TRUE)</f>
        <v>South</v>
      </c>
      <c r="M427" s="1">
        <v>2</v>
      </c>
      <c r="N427" s="1">
        <v>748</v>
      </c>
      <c r="O427" s="12">
        <v>0.08</v>
      </c>
      <c r="P427" s="1" t="s">
        <v>1817</v>
      </c>
      <c r="Q427" s="1">
        <v>1376</v>
      </c>
      <c r="R427" s="1">
        <f>Salesdta[[#This Row],[Final Revenue]]-Salesdta[[#This Row],[Product cost]]</f>
        <v>1077</v>
      </c>
      <c r="S427" s="1" t="str">
        <f>IF(Salesdta[[#This Row],[Final Revenue]]&gt;1000,"Selected","Not Selected")</f>
        <v>Selected</v>
      </c>
    </row>
    <row r="428" spans="1:19" x14ac:dyDescent="0.35">
      <c r="A428" s="6" t="s">
        <v>2245</v>
      </c>
      <c r="B428" s="20">
        <v>45396</v>
      </c>
      <c r="C428" s="1" t="str">
        <f>TEXT(Salesdta[[#This Row],[Order_Date]],"mmmm")</f>
        <v>April</v>
      </c>
      <c r="D428" s="1" t="s">
        <v>221</v>
      </c>
      <c r="E428" s="1" t="str">
        <f>VLOOKUP(Salesdta[[#This Row],[Customer_ID]],Customer_Data_[],6,TRUE)</f>
        <v>Female</v>
      </c>
      <c r="F428" s="1" t="str">
        <f>VLOOKUP(Salesdta[[#This Row],[Customer_ID]],Customer_Data_[],8,TRUE)</f>
        <v>Alaska</v>
      </c>
      <c r="G428" s="1" t="s">
        <v>1620</v>
      </c>
      <c r="H428" s="1" t="str">
        <f>VLOOKUP(Salesdta[[#This Row],[Product_ID]],Product_Data_1[],2,TRUE)</f>
        <v>Sports Water Hydration Pack</v>
      </c>
      <c r="I428" s="1" t="str">
        <f>VLOOKUP(Salesdta[[#This Row],[Product_ID]],Product_Data_1[],3,TRUE)</f>
        <v>Sports</v>
      </c>
      <c r="J428" s="1">
        <f>VLOOKUP(Salesdta[[#This Row],[Product_ID]],Product_Data_1[],7,TRUE)</f>
        <v>136</v>
      </c>
      <c r="K428" s="1" t="s">
        <v>1788</v>
      </c>
      <c r="L428" s="1" t="str">
        <f>VLOOKUP(Salesdta[[#This Row],[Store_ID]],Store_Data_1[],3,TRUE)</f>
        <v>North</v>
      </c>
      <c r="M428" s="1">
        <v>3</v>
      </c>
      <c r="N428" s="1">
        <v>650</v>
      </c>
      <c r="O428" s="12">
        <v>0.1</v>
      </c>
      <c r="P428" s="1" t="s">
        <v>1819</v>
      </c>
      <c r="Q428" s="1">
        <v>1754</v>
      </c>
      <c r="R428" s="1">
        <f>Salesdta[[#This Row],[Final Revenue]]-Salesdta[[#This Row],[Product cost]]</f>
        <v>1618</v>
      </c>
      <c r="S428" s="1" t="str">
        <f>IF(Salesdta[[#This Row],[Final Revenue]]&gt;1000,"Selected","Not Selected")</f>
        <v>Selected</v>
      </c>
    </row>
    <row r="429" spans="1:19" x14ac:dyDescent="0.35">
      <c r="A429" s="6" t="s">
        <v>2246</v>
      </c>
      <c r="B429" s="20">
        <v>45317</v>
      </c>
      <c r="C429" s="1" t="str">
        <f>TEXT(Salesdta[[#This Row],[Order_Date]],"mmmm")</f>
        <v>January</v>
      </c>
      <c r="D429" s="1" t="s">
        <v>782</v>
      </c>
      <c r="E429" s="1" t="str">
        <f>VLOOKUP(Salesdta[[#This Row],[Customer_ID]],Customer_Data_[],6,TRUE)</f>
        <v>Female</v>
      </c>
      <c r="F429" s="1" t="str">
        <f>VLOOKUP(Salesdta[[#This Row],[Customer_ID]],Customer_Data_[],8,TRUE)</f>
        <v>Michigan</v>
      </c>
      <c r="G429" s="1" t="s">
        <v>1622</v>
      </c>
      <c r="H429" s="1" t="str">
        <f>VLOOKUP(Salesdta[[#This Row],[Product_ID]],Product_Data_1[],2,TRUE)</f>
        <v>Portable Power Bank</v>
      </c>
      <c r="I429" s="1" t="str">
        <f>VLOOKUP(Salesdta[[#This Row],[Product_ID]],Product_Data_1[],3,TRUE)</f>
        <v>Electronics</v>
      </c>
      <c r="J429" s="1">
        <f>VLOOKUP(Salesdta[[#This Row],[Product_ID]],Product_Data_1[],7,TRUE)</f>
        <v>326</v>
      </c>
      <c r="K429" s="1" t="s">
        <v>1782</v>
      </c>
      <c r="L429" s="1" t="str">
        <f>VLOOKUP(Salesdta[[#This Row],[Store_ID]],Store_Data_1[],3,TRUE)</f>
        <v>South</v>
      </c>
      <c r="M429" s="1">
        <v>2</v>
      </c>
      <c r="N429" s="1">
        <v>987</v>
      </c>
      <c r="O429" s="12">
        <v>0.05</v>
      </c>
      <c r="P429" s="1" t="s">
        <v>1819</v>
      </c>
      <c r="Q429" s="1">
        <v>1875</v>
      </c>
      <c r="R429" s="1">
        <f>Salesdta[[#This Row],[Final Revenue]]-Salesdta[[#This Row],[Product cost]]</f>
        <v>1549</v>
      </c>
      <c r="S429" s="1" t="str">
        <f>IF(Salesdta[[#This Row],[Final Revenue]]&gt;1000,"Selected","Not Selected")</f>
        <v>Selected</v>
      </c>
    </row>
    <row r="430" spans="1:19" x14ac:dyDescent="0.35">
      <c r="A430" s="6" t="s">
        <v>2247</v>
      </c>
      <c r="B430" s="20">
        <v>45803</v>
      </c>
      <c r="C430" s="1" t="str">
        <f>TEXT(Salesdta[[#This Row],[Order_Date]],"mmmm")</f>
        <v>May</v>
      </c>
      <c r="D430" s="1" t="s">
        <v>960</v>
      </c>
      <c r="E430" s="1" t="str">
        <f>VLOOKUP(Salesdta[[#This Row],[Customer_ID]],Customer_Data_[],6,TRUE)</f>
        <v>Male</v>
      </c>
      <c r="F430" s="1" t="str">
        <f>VLOOKUP(Salesdta[[#This Row],[Customer_ID]],Customer_Data_[],8,TRUE)</f>
        <v>Washington</v>
      </c>
      <c r="G430" s="1" t="s">
        <v>1600</v>
      </c>
      <c r="H430" s="1" t="str">
        <f>VLOOKUP(Salesdta[[#This Row],[Product_ID]],Product_Data_1[],2,TRUE)</f>
        <v>Sports Stopwatch Timer</v>
      </c>
      <c r="I430" s="1" t="str">
        <f>VLOOKUP(Salesdta[[#This Row],[Product_ID]],Product_Data_1[],3,TRUE)</f>
        <v>Sports</v>
      </c>
      <c r="J430" s="1">
        <f>VLOOKUP(Salesdta[[#This Row],[Product_ID]],Product_Data_1[],7,TRUE)</f>
        <v>39</v>
      </c>
      <c r="K430" s="1" t="s">
        <v>1753</v>
      </c>
      <c r="L430" s="1" t="str">
        <f>VLOOKUP(Salesdta[[#This Row],[Store_ID]],Store_Data_1[],3,TRUE)</f>
        <v>North</v>
      </c>
      <c r="M430" s="1">
        <v>1</v>
      </c>
      <c r="N430" s="1">
        <v>182</v>
      </c>
      <c r="O430" s="12">
        <v>0.15</v>
      </c>
      <c r="P430" s="1" t="s">
        <v>1822</v>
      </c>
      <c r="Q430" s="1">
        <v>155</v>
      </c>
      <c r="R430" s="1">
        <f>Salesdta[[#This Row],[Final Revenue]]-Salesdta[[#This Row],[Product cost]]</f>
        <v>116</v>
      </c>
      <c r="S430" s="1" t="str">
        <f>IF(Salesdta[[#This Row],[Final Revenue]]&gt;1000,"Selected","Not Selected")</f>
        <v>Not Selected</v>
      </c>
    </row>
    <row r="431" spans="1:19" x14ac:dyDescent="0.35">
      <c r="A431" s="6" t="s">
        <v>2248</v>
      </c>
      <c r="B431" s="20">
        <v>45600</v>
      </c>
      <c r="C431" s="1" t="str">
        <f>TEXT(Salesdta[[#This Row],[Order_Date]],"mmmm")</f>
        <v>November</v>
      </c>
      <c r="D431" s="1" t="s">
        <v>472</v>
      </c>
      <c r="E431" s="1" t="str">
        <f>VLOOKUP(Salesdta[[#This Row],[Customer_ID]],Customer_Data_[],6,TRUE)</f>
        <v>Female</v>
      </c>
      <c r="F431" s="1" t="str">
        <f>VLOOKUP(Salesdta[[#This Row],[Customer_ID]],Customer_Data_[],8,TRUE)</f>
        <v>Pennsylvania</v>
      </c>
      <c r="G431" s="1" t="s">
        <v>1614</v>
      </c>
      <c r="H431" s="1" t="str">
        <f>VLOOKUP(Salesdta[[#This Row],[Product_ID]],Product_Data_1[],2,TRUE)</f>
        <v>Bedroom Table Lamp</v>
      </c>
      <c r="I431" s="1" t="str">
        <f>VLOOKUP(Salesdta[[#This Row],[Product_ID]],Product_Data_1[],3,TRUE)</f>
        <v>Home</v>
      </c>
      <c r="J431" s="1">
        <f>VLOOKUP(Salesdta[[#This Row],[Product_ID]],Product_Data_1[],7,TRUE)</f>
        <v>382</v>
      </c>
      <c r="K431" s="1" t="s">
        <v>1753</v>
      </c>
      <c r="L431" s="1" t="str">
        <f>VLOOKUP(Salesdta[[#This Row],[Store_ID]],Store_Data_1[],3,TRUE)</f>
        <v>North</v>
      </c>
      <c r="M431" s="1">
        <v>2</v>
      </c>
      <c r="N431" s="1">
        <v>157</v>
      </c>
      <c r="O431" s="12">
        <v>0.15</v>
      </c>
      <c r="P431" s="1" t="s">
        <v>1817</v>
      </c>
      <c r="Q431" s="1">
        <v>267</v>
      </c>
      <c r="R431" s="1">
        <f>Salesdta[[#This Row],[Final Revenue]]-Salesdta[[#This Row],[Product cost]]</f>
        <v>-115</v>
      </c>
      <c r="S431" s="1" t="str">
        <f>IF(Salesdta[[#This Row],[Final Revenue]]&gt;1000,"Selected","Not Selected")</f>
        <v>Not Selected</v>
      </c>
    </row>
    <row r="432" spans="1:19" x14ac:dyDescent="0.35">
      <c r="A432" s="6" t="s">
        <v>2249</v>
      </c>
      <c r="B432" s="20">
        <v>45689</v>
      </c>
      <c r="C432" s="1" t="str">
        <f>TEXT(Salesdta[[#This Row],[Order_Date]],"mmmm")</f>
        <v>February</v>
      </c>
      <c r="D432" s="1" t="s">
        <v>972</v>
      </c>
      <c r="E432" s="1" t="str">
        <f>VLOOKUP(Salesdta[[#This Row],[Customer_ID]],Customer_Data_[],6,TRUE)</f>
        <v>Female</v>
      </c>
      <c r="F432" s="1" t="str">
        <f>VLOOKUP(Salesdta[[#This Row],[Customer_ID]],Customer_Data_[],8,TRUE)</f>
        <v>California</v>
      </c>
      <c r="G432" s="1" t="s">
        <v>1666</v>
      </c>
      <c r="H432" s="1" t="str">
        <f>VLOOKUP(Salesdta[[#This Row],[Product_ID]],Product_Data_1[],2,TRUE)</f>
        <v>Tennis Ball 3-Pack</v>
      </c>
      <c r="I432" s="1" t="str">
        <f>VLOOKUP(Salesdta[[#This Row],[Product_ID]],Product_Data_1[],3,TRUE)</f>
        <v>Sports</v>
      </c>
      <c r="J432" s="1">
        <f>VLOOKUP(Salesdta[[#This Row],[Product_ID]],Product_Data_1[],7,TRUE)</f>
        <v>103</v>
      </c>
      <c r="K432" s="1" t="s">
        <v>1769</v>
      </c>
      <c r="L432" s="1" t="str">
        <f>VLOOKUP(Salesdta[[#This Row],[Store_ID]],Store_Data_1[],3,TRUE)</f>
        <v>North</v>
      </c>
      <c r="M432" s="1">
        <v>4</v>
      </c>
      <c r="N432" s="1">
        <v>372</v>
      </c>
      <c r="O432" s="12">
        <v>0.19</v>
      </c>
      <c r="P432" s="1" t="s">
        <v>1817</v>
      </c>
      <c r="Q432" s="1">
        <v>1207</v>
      </c>
      <c r="R432" s="1">
        <f>Salesdta[[#This Row],[Final Revenue]]-Salesdta[[#This Row],[Product cost]]</f>
        <v>1104</v>
      </c>
      <c r="S432" s="1" t="str">
        <f>IF(Salesdta[[#This Row],[Final Revenue]]&gt;1000,"Selected","Not Selected")</f>
        <v>Selected</v>
      </c>
    </row>
    <row r="433" spans="1:19" x14ac:dyDescent="0.35">
      <c r="A433" s="6" t="s">
        <v>2250</v>
      </c>
      <c r="B433" s="20">
        <v>45699</v>
      </c>
      <c r="C433" s="1" t="str">
        <f>TEXT(Salesdta[[#This Row],[Order_Date]],"mmmm")</f>
        <v>February</v>
      </c>
      <c r="D433" s="1" t="s">
        <v>514</v>
      </c>
      <c r="E433" s="1" t="str">
        <f>VLOOKUP(Salesdta[[#This Row],[Customer_ID]],Customer_Data_[],6,TRUE)</f>
        <v>Female</v>
      </c>
      <c r="F433" s="1" t="str">
        <f>VLOOKUP(Salesdta[[#This Row],[Customer_ID]],Customer_Data_[],8,TRUE)</f>
        <v>Vermont</v>
      </c>
      <c r="G433" s="1" t="s">
        <v>1670</v>
      </c>
      <c r="H433" s="1" t="str">
        <f>VLOOKUP(Salesdta[[#This Row],[Product_ID]],Product_Data_1[],2,TRUE)</f>
        <v>Organic Sunscreen Lotion</v>
      </c>
      <c r="I433" s="1" t="str">
        <f>VLOOKUP(Salesdta[[#This Row],[Product_ID]],Product_Data_1[],3,TRUE)</f>
        <v>Beauty</v>
      </c>
      <c r="J433" s="1">
        <f>VLOOKUP(Salesdta[[#This Row],[Product_ID]],Product_Data_1[],7,TRUE)</f>
        <v>267</v>
      </c>
      <c r="K433" s="1" t="s">
        <v>1809</v>
      </c>
      <c r="L433" s="1" t="str">
        <f>VLOOKUP(Salesdta[[#This Row],[Store_ID]],Store_Data_1[],3,TRUE)</f>
        <v>North</v>
      </c>
      <c r="M433" s="1">
        <v>4</v>
      </c>
      <c r="N433" s="1">
        <v>286</v>
      </c>
      <c r="O433" s="12">
        <v>0.28000000000000003</v>
      </c>
      <c r="P433" s="1" t="s">
        <v>1819</v>
      </c>
      <c r="Q433" s="1">
        <v>824</v>
      </c>
      <c r="R433" s="1">
        <f>Salesdta[[#This Row],[Final Revenue]]-Salesdta[[#This Row],[Product cost]]</f>
        <v>557</v>
      </c>
      <c r="S433" s="1" t="str">
        <f>IF(Salesdta[[#This Row],[Final Revenue]]&gt;1000,"Selected","Not Selected")</f>
        <v>Not Selected</v>
      </c>
    </row>
    <row r="434" spans="1:19" x14ac:dyDescent="0.35">
      <c r="A434" s="6" t="s">
        <v>2251</v>
      </c>
      <c r="B434" s="20">
        <v>45530</v>
      </c>
      <c r="C434" s="1" t="str">
        <f>TEXT(Salesdta[[#This Row],[Order_Date]],"mmmm")</f>
        <v>August</v>
      </c>
      <c r="D434" s="1" t="s">
        <v>887</v>
      </c>
      <c r="E434" s="1" t="str">
        <f>VLOOKUP(Salesdta[[#This Row],[Customer_ID]],Customer_Data_[],6,TRUE)</f>
        <v>Male</v>
      </c>
      <c r="F434" s="1" t="str">
        <f>VLOOKUP(Salesdta[[#This Row],[Customer_ID]],Customer_Data_[],8,TRUE)</f>
        <v>Hawaii</v>
      </c>
      <c r="G434" s="1" t="s">
        <v>1726</v>
      </c>
      <c r="H434" s="1" t="str">
        <f>VLOOKUP(Salesdta[[#This Row],[Product_ID]],Product_Data_1[],2,TRUE)</f>
        <v>Women's High Heels</v>
      </c>
      <c r="I434" s="1" t="str">
        <f>VLOOKUP(Salesdta[[#This Row],[Product_ID]],Product_Data_1[],3,TRUE)</f>
        <v>Clothing</v>
      </c>
      <c r="J434" s="1">
        <f>VLOOKUP(Salesdta[[#This Row],[Product_ID]],Product_Data_1[],7,TRUE)</f>
        <v>438</v>
      </c>
      <c r="K434" s="1" t="s">
        <v>1793</v>
      </c>
      <c r="L434" s="1" t="str">
        <f>VLOOKUP(Salesdta[[#This Row],[Store_ID]],Store_Data_1[],3,TRUE)</f>
        <v>North</v>
      </c>
      <c r="M434" s="1">
        <v>4</v>
      </c>
      <c r="N434" s="1">
        <v>853</v>
      </c>
      <c r="O434" s="12">
        <v>0.24</v>
      </c>
      <c r="P434" s="1" t="s">
        <v>1822</v>
      </c>
      <c r="Q434" s="1">
        <v>2594</v>
      </c>
      <c r="R434" s="1">
        <f>Salesdta[[#This Row],[Final Revenue]]-Salesdta[[#This Row],[Product cost]]</f>
        <v>2156</v>
      </c>
      <c r="S434" s="1" t="str">
        <f>IF(Salesdta[[#This Row],[Final Revenue]]&gt;1000,"Selected","Not Selected")</f>
        <v>Selected</v>
      </c>
    </row>
    <row r="435" spans="1:19" x14ac:dyDescent="0.35">
      <c r="A435" s="6" t="s">
        <v>2252</v>
      </c>
      <c r="B435" s="20">
        <v>45667</v>
      </c>
      <c r="C435" s="1" t="str">
        <f>TEXT(Salesdta[[#This Row],[Order_Date]],"mmmm")</f>
        <v>January</v>
      </c>
      <c r="D435" s="1" t="s">
        <v>1370</v>
      </c>
      <c r="E435" s="1" t="str">
        <f>VLOOKUP(Salesdta[[#This Row],[Customer_ID]],Customer_Data_[],6,TRUE)</f>
        <v>Male</v>
      </c>
      <c r="F435" s="1" t="str">
        <f>VLOOKUP(Salesdta[[#This Row],[Customer_ID]],Customer_Data_[],8,TRUE)</f>
        <v>Wyoming</v>
      </c>
      <c r="G435" s="1" t="s">
        <v>1564</v>
      </c>
      <c r="H435" s="1" t="str">
        <f>VLOOKUP(Salesdta[[#This Row],[Product_ID]],Product_Data_1[],2,TRUE)</f>
        <v>Men's Graphic T-Shirt</v>
      </c>
      <c r="I435" s="1" t="str">
        <f>VLOOKUP(Salesdta[[#This Row],[Product_ID]],Product_Data_1[],3,TRUE)</f>
        <v>Clothing</v>
      </c>
      <c r="J435" s="1">
        <f>VLOOKUP(Salesdta[[#This Row],[Product_ID]],Product_Data_1[],7,TRUE)</f>
        <v>343</v>
      </c>
      <c r="K435" s="1" t="s">
        <v>1772</v>
      </c>
      <c r="L435" s="1" t="str">
        <f>VLOOKUP(Salesdta[[#This Row],[Store_ID]],Store_Data_1[],3,TRUE)</f>
        <v>East</v>
      </c>
      <c r="M435" s="1">
        <v>4</v>
      </c>
      <c r="N435" s="1">
        <v>600</v>
      </c>
      <c r="O435" s="12">
        <v>0.25</v>
      </c>
      <c r="P435" s="1" t="s">
        <v>1817</v>
      </c>
      <c r="Q435" s="1">
        <v>1800</v>
      </c>
      <c r="R435" s="1">
        <f>Salesdta[[#This Row],[Final Revenue]]-Salesdta[[#This Row],[Product cost]]</f>
        <v>1457</v>
      </c>
      <c r="S435" s="1" t="str">
        <f>IF(Salesdta[[#This Row],[Final Revenue]]&gt;1000,"Selected","Not Selected")</f>
        <v>Selected</v>
      </c>
    </row>
    <row r="436" spans="1:19" x14ac:dyDescent="0.35">
      <c r="A436" s="6" t="s">
        <v>2253</v>
      </c>
      <c r="B436" s="20">
        <v>45693</v>
      </c>
      <c r="C436" s="1" t="str">
        <f>TEXT(Salesdta[[#This Row],[Order_Date]],"mmmm")</f>
        <v>February</v>
      </c>
      <c r="D436" s="1" t="s">
        <v>794</v>
      </c>
      <c r="E436" s="1" t="str">
        <f>VLOOKUP(Salesdta[[#This Row],[Customer_ID]],Customer_Data_[],6,TRUE)</f>
        <v>Female</v>
      </c>
      <c r="F436" s="1" t="str">
        <f>VLOOKUP(Salesdta[[#This Row],[Customer_ID]],Customer_Data_[],8,TRUE)</f>
        <v>New York</v>
      </c>
      <c r="G436" s="1" t="s">
        <v>1582</v>
      </c>
      <c r="H436" s="1" t="str">
        <f>VLOOKUP(Salesdta[[#This Row],[Product_ID]],Product_Data_1[],2,TRUE)</f>
        <v>Knee Support Brace</v>
      </c>
      <c r="I436" s="1" t="str">
        <f>VLOOKUP(Salesdta[[#This Row],[Product_ID]],Product_Data_1[],3,TRUE)</f>
        <v>Sports</v>
      </c>
      <c r="J436" s="1">
        <f>VLOOKUP(Salesdta[[#This Row],[Product_ID]],Product_Data_1[],7,TRUE)</f>
        <v>21</v>
      </c>
      <c r="K436" s="1" t="s">
        <v>1785</v>
      </c>
      <c r="L436" s="1" t="str">
        <f>VLOOKUP(Salesdta[[#This Row],[Store_ID]],Store_Data_1[],3,TRUE)</f>
        <v>North</v>
      </c>
      <c r="M436" s="1">
        <v>2</v>
      </c>
      <c r="N436" s="1">
        <v>466</v>
      </c>
      <c r="O436" s="12">
        <v>0.12</v>
      </c>
      <c r="P436" s="1" t="s">
        <v>1819</v>
      </c>
      <c r="Q436" s="1">
        <v>821</v>
      </c>
      <c r="R436" s="1">
        <f>Salesdta[[#This Row],[Final Revenue]]-Salesdta[[#This Row],[Product cost]]</f>
        <v>800</v>
      </c>
      <c r="S436" s="1" t="str">
        <f>IF(Salesdta[[#This Row],[Final Revenue]]&gt;1000,"Selected","Not Selected")</f>
        <v>Not Selected</v>
      </c>
    </row>
    <row r="437" spans="1:19" x14ac:dyDescent="0.35">
      <c r="A437" s="6" t="s">
        <v>2254</v>
      </c>
      <c r="B437" s="20">
        <v>45486</v>
      </c>
      <c r="C437" s="1" t="str">
        <f>TEXT(Salesdta[[#This Row],[Order_Date]],"mmmm")</f>
        <v>July</v>
      </c>
      <c r="D437" s="1" t="s">
        <v>25</v>
      </c>
      <c r="E437" s="1" t="str">
        <f>VLOOKUP(Salesdta[[#This Row],[Customer_ID]],Customer_Data_[],6,TRUE)</f>
        <v>Female</v>
      </c>
      <c r="F437" s="1" t="str">
        <f>VLOOKUP(Salesdta[[#This Row],[Customer_ID]],Customer_Data_[],8,TRUE)</f>
        <v>California</v>
      </c>
      <c r="G437" s="1" t="s">
        <v>1638</v>
      </c>
      <c r="H437" s="1" t="str">
        <f>VLOOKUP(Salesdta[[#This Row],[Product_ID]],Product_Data_1[],2,TRUE)</f>
        <v>Makeup Brush Set</v>
      </c>
      <c r="I437" s="1" t="str">
        <f>VLOOKUP(Salesdta[[#This Row],[Product_ID]],Product_Data_1[],3,TRUE)</f>
        <v>Beauty</v>
      </c>
      <c r="J437" s="1">
        <f>VLOOKUP(Salesdta[[#This Row],[Product_ID]],Product_Data_1[],7,TRUE)</f>
        <v>254</v>
      </c>
      <c r="K437" s="1" t="s">
        <v>1803</v>
      </c>
      <c r="L437" s="1" t="str">
        <f>VLOOKUP(Salesdta[[#This Row],[Store_ID]],Store_Data_1[],3,TRUE)</f>
        <v>North</v>
      </c>
      <c r="M437" s="1">
        <v>2</v>
      </c>
      <c r="N437" s="1">
        <v>274</v>
      </c>
      <c r="O437" s="12">
        <v>0.13</v>
      </c>
      <c r="P437" s="1" t="s">
        <v>1819</v>
      </c>
      <c r="Q437" s="1">
        <v>477</v>
      </c>
      <c r="R437" s="1">
        <f>Salesdta[[#This Row],[Final Revenue]]-Salesdta[[#This Row],[Product cost]]</f>
        <v>223</v>
      </c>
      <c r="S437" s="1" t="str">
        <f>IF(Salesdta[[#This Row],[Final Revenue]]&gt;1000,"Selected","Not Selected")</f>
        <v>Not Selected</v>
      </c>
    </row>
    <row r="438" spans="1:19" x14ac:dyDescent="0.35">
      <c r="A438" s="6" t="s">
        <v>2255</v>
      </c>
      <c r="B438" s="20">
        <v>45304</v>
      </c>
      <c r="C438" s="1" t="str">
        <f>TEXT(Salesdta[[#This Row],[Order_Date]],"mmmm")</f>
        <v>January</v>
      </c>
      <c r="D438" s="1" t="s">
        <v>1303</v>
      </c>
      <c r="E438" s="1" t="str">
        <f>VLOOKUP(Salesdta[[#This Row],[Customer_ID]],Customer_Data_[],6,TRUE)</f>
        <v>Female</v>
      </c>
      <c r="F438" s="1" t="str">
        <f>VLOOKUP(Salesdta[[#This Row],[Customer_ID]],Customer_Data_[],8,TRUE)</f>
        <v>Washington</v>
      </c>
      <c r="G438" s="1" t="s">
        <v>1706</v>
      </c>
      <c r="H438" s="1" t="str">
        <f>VLOOKUP(Salesdta[[#This Row],[Product_ID]],Product_Data_1[],2,TRUE)</f>
        <v>Badminton Racket Set</v>
      </c>
      <c r="I438" s="1" t="str">
        <f>VLOOKUP(Salesdta[[#This Row],[Product_ID]],Product_Data_1[],3,TRUE)</f>
        <v>Sports</v>
      </c>
      <c r="J438" s="1">
        <f>VLOOKUP(Salesdta[[#This Row],[Product_ID]],Product_Data_1[],7,TRUE)</f>
        <v>286</v>
      </c>
      <c r="K438" s="1" t="s">
        <v>1778</v>
      </c>
      <c r="L438" s="1" t="str">
        <f>VLOOKUP(Salesdta[[#This Row],[Store_ID]],Store_Data_1[],3,TRUE)</f>
        <v>West</v>
      </c>
      <c r="M438" s="1">
        <v>4</v>
      </c>
      <c r="N438" s="1">
        <v>23</v>
      </c>
      <c r="O438" s="12">
        <v>0.27</v>
      </c>
      <c r="P438" s="1" t="s">
        <v>1819</v>
      </c>
      <c r="Q438" s="1">
        <v>66</v>
      </c>
      <c r="R438" s="1">
        <f>Salesdta[[#This Row],[Final Revenue]]-Salesdta[[#This Row],[Product cost]]</f>
        <v>-220</v>
      </c>
      <c r="S438" s="1" t="str">
        <f>IF(Salesdta[[#This Row],[Final Revenue]]&gt;1000,"Selected","Not Selected")</f>
        <v>Not Selected</v>
      </c>
    </row>
    <row r="439" spans="1:19" x14ac:dyDescent="0.35">
      <c r="A439" s="6" t="s">
        <v>2256</v>
      </c>
      <c r="B439" s="20">
        <v>45405</v>
      </c>
      <c r="C439" s="1" t="str">
        <f>TEXT(Salesdta[[#This Row],[Order_Date]],"mmmm")</f>
        <v>April</v>
      </c>
      <c r="D439" s="1" t="s">
        <v>634</v>
      </c>
      <c r="E439" s="1" t="str">
        <f>VLOOKUP(Salesdta[[#This Row],[Customer_ID]],Customer_Data_[],6,TRUE)</f>
        <v>Male</v>
      </c>
      <c r="F439" s="1" t="str">
        <f>VLOOKUP(Salesdta[[#This Row],[Customer_ID]],Customer_Data_[],8,TRUE)</f>
        <v>Pennsylvania</v>
      </c>
      <c r="G439" s="1" t="s">
        <v>1652</v>
      </c>
      <c r="H439" s="1" t="str">
        <f>VLOOKUP(Salesdta[[#This Row],[Product_ID]],Product_Data_1[],2,TRUE)</f>
        <v>Sports Stopwatch Pro</v>
      </c>
      <c r="I439" s="1" t="str">
        <f>VLOOKUP(Salesdta[[#This Row],[Product_ID]],Product_Data_1[],3,TRUE)</f>
        <v>Sports</v>
      </c>
      <c r="J439" s="1">
        <f>VLOOKUP(Salesdta[[#This Row],[Product_ID]],Product_Data_1[],7,TRUE)</f>
        <v>435</v>
      </c>
      <c r="K439" s="1" t="s">
        <v>1762</v>
      </c>
      <c r="L439" s="1" t="str">
        <f>VLOOKUP(Salesdta[[#This Row],[Store_ID]],Store_Data_1[],3,TRUE)</f>
        <v>North</v>
      </c>
      <c r="M439" s="1">
        <v>3</v>
      </c>
      <c r="N439" s="1">
        <v>261</v>
      </c>
      <c r="O439" s="12">
        <v>0.12</v>
      </c>
      <c r="P439" s="1" t="s">
        <v>1819</v>
      </c>
      <c r="Q439" s="1">
        <v>689</v>
      </c>
      <c r="R439" s="1">
        <f>Salesdta[[#This Row],[Final Revenue]]-Salesdta[[#This Row],[Product cost]]</f>
        <v>254</v>
      </c>
      <c r="S439" s="1" t="str">
        <f>IF(Salesdta[[#This Row],[Final Revenue]]&gt;1000,"Selected","Not Selected")</f>
        <v>Not Selected</v>
      </c>
    </row>
    <row r="440" spans="1:19" x14ac:dyDescent="0.35">
      <c r="A440" s="6" t="s">
        <v>2257</v>
      </c>
      <c r="B440" s="20">
        <v>45259</v>
      </c>
      <c r="C440" s="1" t="str">
        <f>TEXT(Salesdta[[#This Row],[Order_Date]],"mmmm")</f>
        <v>November</v>
      </c>
      <c r="D440" s="1" t="s">
        <v>1318</v>
      </c>
      <c r="E440" s="1" t="str">
        <f>VLOOKUP(Salesdta[[#This Row],[Customer_ID]],Customer_Data_[],6,TRUE)</f>
        <v>Male</v>
      </c>
      <c r="F440" s="1" t="str">
        <f>VLOOKUP(Salesdta[[#This Row],[Customer_ID]],Customer_Data_[],8,TRUE)</f>
        <v>North Carolina</v>
      </c>
      <c r="G440" s="1" t="s">
        <v>1670</v>
      </c>
      <c r="H440" s="1" t="str">
        <f>VLOOKUP(Salesdta[[#This Row],[Product_ID]],Product_Data_1[],2,TRUE)</f>
        <v>Organic Sunscreen Lotion</v>
      </c>
      <c r="I440" s="1" t="str">
        <f>VLOOKUP(Salesdta[[#This Row],[Product_ID]],Product_Data_1[],3,TRUE)</f>
        <v>Beauty</v>
      </c>
      <c r="J440" s="1">
        <f>VLOOKUP(Salesdta[[#This Row],[Product_ID]],Product_Data_1[],7,TRUE)</f>
        <v>267</v>
      </c>
      <c r="K440" s="1" t="s">
        <v>1785</v>
      </c>
      <c r="L440" s="1" t="str">
        <f>VLOOKUP(Salesdta[[#This Row],[Store_ID]],Store_Data_1[],3,TRUE)</f>
        <v>North</v>
      </c>
      <c r="M440" s="1">
        <v>1</v>
      </c>
      <c r="N440" s="1">
        <v>395</v>
      </c>
      <c r="O440" s="12">
        <v>0.09</v>
      </c>
      <c r="P440" s="1" t="s">
        <v>1819</v>
      </c>
      <c r="Q440" s="1">
        <v>360</v>
      </c>
      <c r="R440" s="1">
        <f>Salesdta[[#This Row],[Final Revenue]]-Salesdta[[#This Row],[Product cost]]</f>
        <v>93</v>
      </c>
      <c r="S440" s="1" t="str">
        <f>IF(Salesdta[[#This Row],[Final Revenue]]&gt;1000,"Selected","Not Selected")</f>
        <v>Not Selected</v>
      </c>
    </row>
    <row r="441" spans="1:19" x14ac:dyDescent="0.35">
      <c r="A441" s="6" t="s">
        <v>2258</v>
      </c>
      <c r="B441" s="20">
        <v>45422</v>
      </c>
      <c r="C441" s="1" t="str">
        <f>TEXT(Salesdta[[#This Row],[Order_Date]],"mmmm")</f>
        <v>May</v>
      </c>
      <c r="D441" s="1" t="s">
        <v>1348</v>
      </c>
      <c r="E441" s="1" t="str">
        <f>VLOOKUP(Salesdta[[#This Row],[Customer_ID]],Customer_Data_[],6,TRUE)</f>
        <v>Male</v>
      </c>
      <c r="F441" s="1" t="str">
        <f>VLOOKUP(Salesdta[[#This Row],[Customer_ID]],Customer_Data_[],8,TRUE)</f>
        <v>South Dakota</v>
      </c>
      <c r="G441" s="1" t="s">
        <v>1648</v>
      </c>
      <c r="H441" s="1" t="str">
        <f>VLOOKUP(Salesdta[[#This Row],[Product_ID]],Product_Data_1[],2,TRUE)</f>
        <v>Rugby Ball</v>
      </c>
      <c r="I441" s="1" t="str">
        <f>VLOOKUP(Salesdta[[#This Row],[Product_ID]],Product_Data_1[],3,TRUE)</f>
        <v>Sports</v>
      </c>
      <c r="J441" s="1">
        <f>VLOOKUP(Salesdta[[#This Row],[Product_ID]],Product_Data_1[],7,TRUE)</f>
        <v>212</v>
      </c>
      <c r="K441" s="1" t="s">
        <v>1806</v>
      </c>
      <c r="L441" s="1" t="str">
        <f>VLOOKUP(Salesdta[[#This Row],[Store_ID]],Store_Data_1[],3,TRUE)</f>
        <v>North</v>
      </c>
      <c r="M441" s="1">
        <v>1</v>
      </c>
      <c r="N441" s="1">
        <v>74</v>
      </c>
      <c r="O441" s="12">
        <v>0.04</v>
      </c>
      <c r="P441" s="1" t="s">
        <v>1817</v>
      </c>
      <c r="Q441" s="1">
        <v>71</v>
      </c>
      <c r="R441" s="1">
        <f>Salesdta[[#This Row],[Final Revenue]]-Salesdta[[#This Row],[Product cost]]</f>
        <v>-141</v>
      </c>
      <c r="S441" s="1" t="str">
        <f>IF(Salesdta[[#This Row],[Final Revenue]]&gt;1000,"Selected","Not Selected")</f>
        <v>Not Selected</v>
      </c>
    </row>
    <row r="442" spans="1:19" x14ac:dyDescent="0.35">
      <c r="A442" s="6" t="s">
        <v>2259</v>
      </c>
      <c r="B442" s="20">
        <v>45520</v>
      </c>
      <c r="C442" s="1" t="str">
        <f>TEXT(Salesdta[[#This Row],[Order_Date]],"mmmm")</f>
        <v>August</v>
      </c>
      <c r="D442" s="1" t="s">
        <v>517</v>
      </c>
      <c r="E442" s="1" t="str">
        <f>VLOOKUP(Salesdta[[#This Row],[Customer_ID]],Customer_Data_[],6,TRUE)</f>
        <v>Female</v>
      </c>
      <c r="F442" s="1" t="str">
        <f>VLOOKUP(Salesdta[[#This Row],[Customer_ID]],Customer_Data_[],8,TRUE)</f>
        <v>Iowa</v>
      </c>
      <c r="G442" s="1" t="s">
        <v>1688</v>
      </c>
      <c r="H442" s="1" t="str">
        <f>VLOOKUP(Salesdta[[#This Row],[Product_ID]],Product_Data_1[],2,TRUE)</f>
        <v>Professional Jump Rope</v>
      </c>
      <c r="I442" s="1" t="str">
        <f>VLOOKUP(Salesdta[[#This Row],[Product_ID]],Product_Data_1[],3,TRUE)</f>
        <v>Sports</v>
      </c>
      <c r="J442" s="1">
        <f>VLOOKUP(Salesdta[[#This Row],[Product_ID]],Product_Data_1[],7,TRUE)</f>
        <v>478</v>
      </c>
      <c r="K442" s="1" t="s">
        <v>1795</v>
      </c>
      <c r="L442" s="1" t="str">
        <f>VLOOKUP(Salesdta[[#This Row],[Store_ID]],Store_Data_1[],3,TRUE)</f>
        <v>North</v>
      </c>
      <c r="M442" s="1">
        <v>3</v>
      </c>
      <c r="N442" s="1">
        <v>336</v>
      </c>
      <c r="O442" s="12">
        <v>0.01</v>
      </c>
      <c r="P442" s="1" t="s">
        <v>1819</v>
      </c>
      <c r="Q442" s="1">
        <v>998</v>
      </c>
      <c r="R442" s="1">
        <f>Salesdta[[#This Row],[Final Revenue]]-Salesdta[[#This Row],[Product cost]]</f>
        <v>520</v>
      </c>
      <c r="S442" s="1" t="str">
        <f>IF(Salesdta[[#This Row],[Final Revenue]]&gt;1000,"Selected","Not Selected")</f>
        <v>Not Selected</v>
      </c>
    </row>
    <row r="443" spans="1:19" x14ac:dyDescent="0.35">
      <c r="A443" s="6" t="s">
        <v>2260</v>
      </c>
      <c r="B443" s="20">
        <v>45781</v>
      </c>
      <c r="C443" s="1" t="str">
        <f>TEXT(Salesdta[[#This Row],[Order_Date]],"mmmm")</f>
        <v>May</v>
      </c>
      <c r="D443" s="1" t="s">
        <v>975</v>
      </c>
      <c r="E443" s="1" t="str">
        <f>VLOOKUP(Salesdta[[#This Row],[Customer_ID]],Customer_Data_[],6,TRUE)</f>
        <v>Male</v>
      </c>
      <c r="F443" s="1" t="str">
        <f>VLOOKUP(Salesdta[[#This Row],[Customer_ID]],Customer_Data_[],8,TRUE)</f>
        <v>Vermont</v>
      </c>
      <c r="G443" s="1" t="s">
        <v>1578</v>
      </c>
      <c r="H443" s="1" t="str">
        <f>VLOOKUP(Salesdta[[#This Row],[Product_ID]],Product_Data_1[],2,TRUE)</f>
        <v>Soccer Training Cone Set</v>
      </c>
      <c r="I443" s="1" t="str">
        <f>VLOOKUP(Salesdta[[#This Row],[Product_ID]],Product_Data_1[],3,TRUE)</f>
        <v>Sports</v>
      </c>
      <c r="J443" s="1">
        <f>VLOOKUP(Salesdta[[#This Row],[Product_ID]],Product_Data_1[],7,TRUE)</f>
        <v>145</v>
      </c>
      <c r="K443" s="1" t="s">
        <v>1778</v>
      </c>
      <c r="L443" s="1" t="str">
        <f>VLOOKUP(Salesdta[[#This Row],[Store_ID]],Store_Data_1[],3,TRUE)</f>
        <v>West</v>
      </c>
      <c r="M443" s="1">
        <v>2</v>
      </c>
      <c r="N443" s="1">
        <v>485</v>
      </c>
      <c r="O443" s="12">
        <v>0.28000000000000003</v>
      </c>
      <c r="P443" s="1" t="s">
        <v>1817</v>
      </c>
      <c r="Q443" s="1">
        <v>699</v>
      </c>
      <c r="R443" s="1">
        <f>Salesdta[[#This Row],[Final Revenue]]-Salesdta[[#This Row],[Product cost]]</f>
        <v>554</v>
      </c>
      <c r="S443" s="1" t="str">
        <f>IF(Salesdta[[#This Row],[Final Revenue]]&gt;1000,"Selected","Not Selected")</f>
        <v>Not Selected</v>
      </c>
    </row>
    <row r="444" spans="1:19" x14ac:dyDescent="0.35">
      <c r="A444" s="6" t="s">
        <v>2261</v>
      </c>
      <c r="B444" s="20">
        <v>45222</v>
      </c>
      <c r="C444" s="1" t="str">
        <f>TEXT(Salesdta[[#This Row],[Order_Date]],"mmmm")</f>
        <v>October</v>
      </c>
      <c r="D444" s="1" t="s">
        <v>46</v>
      </c>
      <c r="E444" s="1" t="str">
        <f>VLOOKUP(Salesdta[[#This Row],[Customer_ID]],Customer_Data_[],6,TRUE)</f>
        <v>Male</v>
      </c>
      <c r="F444" s="1" t="str">
        <f>VLOOKUP(Salesdta[[#This Row],[Customer_ID]],Customer_Data_[],8,TRUE)</f>
        <v>Pennsylvania</v>
      </c>
      <c r="G444" s="1" t="s">
        <v>1700</v>
      </c>
      <c r="H444" s="1" t="str">
        <f>VLOOKUP(Salesdta[[#This Row],[Product_ID]],Product_Data_1[],2,TRUE)</f>
        <v>Essential Oil Diffuser</v>
      </c>
      <c r="I444" s="1" t="str">
        <f>VLOOKUP(Salesdta[[#This Row],[Product_ID]],Product_Data_1[],3,TRUE)</f>
        <v>Home</v>
      </c>
      <c r="J444" s="1">
        <f>VLOOKUP(Salesdta[[#This Row],[Product_ID]],Product_Data_1[],7,TRUE)</f>
        <v>325</v>
      </c>
      <c r="K444" s="1" t="s">
        <v>1793</v>
      </c>
      <c r="L444" s="1" t="str">
        <f>VLOOKUP(Salesdta[[#This Row],[Store_ID]],Store_Data_1[],3,TRUE)</f>
        <v>North</v>
      </c>
      <c r="M444" s="1">
        <v>2</v>
      </c>
      <c r="N444" s="1">
        <v>838</v>
      </c>
      <c r="O444" s="12">
        <v>0.3</v>
      </c>
      <c r="P444" s="1" t="s">
        <v>1817</v>
      </c>
      <c r="Q444" s="1">
        <v>1174</v>
      </c>
      <c r="R444" s="1">
        <f>Salesdta[[#This Row],[Final Revenue]]-Salesdta[[#This Row],[Product cost]]</f>
        <v>849</v>
      </c>
      <c r="S444" s="1" t="str">
        <f>IF(Salesdta[[#This Row],[Final Revenue]]&gt;1000,"Selected","Not Selected")</f>
        <v>Selected</v>
      </c>
    </row>
    <row r="445" spans="1:19" x14ac:dyDescent="0.35">
      <c r="A445" s="6" t="s">
        <v>2262</v>
      </c>
      <c r="B445" s="20">
        <v>45593</v>
      </c>
      <c r="C445" s="1" t="str">
        <f>TEXT(Salesdta[[#This Row],[Order_Date]],"mmmm")</f>
        <v>October</v>
      </c>
      <c r="D445" s="1" t="s">
        <v>948</v>
      </c>
      <c r="E445" s="1" t="str">
        <f>VLOOKUP(Salesdta[[#This Row],[Customer_ID]],Customer_Data_[],6,TRUE)</f>
        <v>Male</v>
      </c>
      <c r="F445" s="1" t="str">
        <f>VLOOKUP(Salesdta[[#This Row],[Customer_ID]],Customer_Data_[],8,TRUE)</f>
        <v>Virginia</v>
      </c>
      <c r="G445" s="1" t="s">
        <v>1712</v>
      </c>
      <c r="H445" s="1" t="str">
        <f>VLOOKUP(Salesdta[[#This Row],[Product_ID]],Product_Data_1[],2,TRUE)</f>
        <v>Wooden Bookshelf</v>
      </c>
      <c r="I445" s="1" t="str">
        <f>VLOOKUP(Salesdta[[#This Row],[Product_ID]],Product_Data_1[],3,TRUE)</f>
        <v>Home</v>
      </c>
      <c r="J445" s="1">
        <f>VLOOKUP(Salesdta[[#This Row],[Product_ID]],Product_Data_1[],7,TRUE)</f>
        <v>388</v>
      </c>
      <c r="K445" s="1" t="s">
        <v>1803</v>
      </c>
      <c r="L445" s="1" t="str">
        <f>VLOOKUP(Salesdta[[#This Row],[Store_ID]],Store_Data_1[],3,TRUE)</f>
        <v>North</v>
      </c>
      <c r="M445" s="1">
        <v>4</v>
      </c>
      <c r="N445" s="1">
        <v>605</v>
      </c>
      <c r="O445" s="12">
        <v>0.28000000000000003</v>
      </c>
      <c r="P445" s="1" t="s">
        <v>1819</v>
      </c>
      <c r="Q445" s="1">
        <v>1742</v>
      </c>
      <c r="R445" s="1">
        <f>Salesdta[[#This Row],[Final Revenue]]-Salesdta[[#This Row],[Product cost]]</f>
        <v>1354</v>
      </c>
      <c r="S445" s="1" t="str">
        <f>IF(Salesdta[[#This Row],[Final Revenue]]&gt;1000,"Selected","Not Selected")</f>
        <v>Selected</v>
      </c>
    </row>
    <row r="446" spans="1:19" x14ac:dyDescent="0.35">
      <c r="A446" s="6" t="s">
        <v>2263</v>
      </c>
      <c r="B446" s="20">
        <v>45370</v>
      </c>
      <c r="C446" s="1" t="str">
        <f>TEXT(Salesdta[[#This Row],[Order_Date]],"mmmm")</f>
        <v>March</v>
      </c>
      <c r="D446" s="1" t="s">
        <v>173</v>
      </c>
      <c r="E446" s="1" t="str">
        <f>VLOOKUP(Salesdta[[#This Row],[Customer_ID]],Customer_Data_[],6,TRUE)</f>
        <v>Male</v>
      </c>
      <c r="F446" s="1" t="str">
        <f>VLOOKUP(Salesdta[[#This Row],[Customer_ID]],Customer_Data_[],8,TRUE)</f>
        <v>Arizona</v>
      </c>
      <c r="G446" s="1" t="s">
        <v>1610</v>
      </c>
      <c r="H446" s="1" t="str">
        <f>VLOOKUP(Salesdta[[#This Row],[Product_ID]],Product_Data_1[],2,TRUE)</f>
        <v>Modern Wall Clock</v>
      </c>
      <c r="I446" s="1" t="str">
        <f>VLOOKUP(Salesdta[[#This Row],[Product_ID]],Product_Data_1[],3,TRUE)</f>
        <v>Home</v>
      </c>
      <c r="J446" s="1">
        <f>VLOOKUP(Salesdta[[#This Row],[Product_ID]],Product_Data_1[],7,TRUE)</f>
        <v>180</v>
      </c>
      <c r="K446" s="1" t="s">
        <v>1803</v>
      </c>
      <c r="L446" s="1" t="str">
        <f>VLOOKUP(Salesdta[[#This Row],[Store_ID]],Store_Data_1[],3,TRUE)</f>
        <v>North</v>
      </c>
      <c r="M446" s="1">
        <v>3</v>
      </c>
      <c r="N446" s="1">
        <v>624</v>
      </c>
      <c r="O446" s="12">
        <v>0.13</v>
      </c>
      <c r="P446" s="1" t="s">
        <v>1822</v>
      </c>
      <c r="Q446" s="1">
        <v>1628</v>
      </c>
      <c r="R446" s="1">
        <f>Salesdta[[#This Row],[Final Revenue]]-Salesdta[[#This Row],[Product cost]]</f>
        <v>1448</v>
      </c>
      <c r="S446" s="1" t="str">
        <f>IF(Salesdta[[#This Row],[Final Revenue]]&gt;1000,"Selected","Not Selected")</f>
        <v>Selected</v>
      </c>
    </row>
    <row r="447" spans="1:19" x14ac:dyDescent="0.35">
      <c r="A447" s="6" t="s">
        <v>2264</v>
      </c>
      <c r="B447" s="20">
        <v>45878</v>
      </c>
      <c r="C447" s="1" t="str">
        <f>TEXT(Salesdta[[#This Row],[Order_Date]],"mmmm")</f>
        <v>August</v>
      </c>
      <c r="D447" s="1" t="s">
        <v>1282</v>
      </c>
      <c r="E447" s="1" t="str">
        <f>VLOOKUP(Salesdta[[#This Row],[Customer_ID]],Customer_Data_[],6,TRUE)</f>
        <v>Female</v>
      </c>
      <c r="F447" s="1" t="str">
        <f>VLOOKUP(Salesdta[[#This Row],[Customer_ID]],Customer_Data_[],8,TRUE)</f>
        <v>Missouri</v>
      </c>
      <c r="G447" s="1" t="s">
        <v>1549</v>
      </c>
      <c r="H447" s="1" t="str">
        <f>VLOOKUP(Salesdta[[#This Row],[Product_ID]],Product_Data_1[],2,TRUE)</f>
        <v>Portable Power Bank</v>
      </c>
      <c r="I447" s="1" t="str">
        <f>VLOOKUP(Salesdta[[#This Row],[Product_ID]],Product_Data_1[],3,TRUE)</f>
        <v>Electronics</v>
      </c>
      <c r="J447" s="1">
        <f>VLOOKUP(Salesdta[[#This Row],[Product_ID]],Product_Data_1[],7,TRUE)</f>
        <v>326</v>
      </c>
      <c r="K447" s="1" t="s">
        <v>1788</v>
      </c>
      <c r="L447" s="1" t="str">
        <f>VLOOKUP(Salesdta[[#This Row],[Store_ID]],Store_Data_1[],3,TRUE)</f>
        <v>North</v>
      </c>
      <c r="M447" s="1">
        <v>1</v>
      </c>
      <c r="N447" s="1">
        <v>769</v>
      </c>
      <c r="O447" s="12">
        <v>0.16</v>
      </c>
      <c r="P447" s="1" t="s">
        <v>1817</v>
      </c>
      <c r="Q447" s="1">
        <v>646</v>
      </c>
      <c r="R447" s="1">
        <f>Salesdta[[#This Row],[Final Revenue]]-Salesdta[[#This Row],[Product cost]]</f>
        <v>320</v>
      </c>
      <c r="S447" s="1" t="str">
        <f>IF(Salesdta[[#This Row],[Final Revenue]]&gt;1000,"Selected","Not Selected")</f>
        <v>Not Selected</v>
      </c>
    </row>
    <row r="448" spans="1:19" x14ac:dyDescent="0.35">
      <c r="A448" s="6" t="s">
        <v>2265</v>
      </c>
      <c r="B448" s="20">
        <v>45257</v>
      </c>
      <c r="C448" s="1" t="str">
        <f>TEXT(Salesdta[[#This Row],[Order_Date]],"mmmm")</f>
        <v>November</v>
      </c>
      <c r="D448" s="1" t="s">
        <v>1168</v>
      </c>
      <c r="E448" s="1" t="str">
        <f>VLOOKUP(Salesdta[[#This Row],[Customer_ID]],Customer_Data_[],6,TRUE)</f>
        <v>Male</v>
      </c>
      <c r="F448" s="1" t="str">
        <f>VLOOKUP(Salesdta[[#This Row],[Customer_ID]],Customer_Data_[],8,TRUE)</f>
        <v>Minnesota</v>
      </c>
      <c r="G448" s="1" t="s">
        <v>1600</v>
      </c>
      <c r="H448" s="1" t="str">
        <f>VLOOKUP(Salesdta[[#This Row],[Product_ID]],Product_Data_1[],2,TRUE)</f>
        <v>Sports Stopwatch Timer</v>
      </c>
      <c r="I448" s="1" t="str">
        <f>VLOOKUP(Salesdta[[#This Row],[Product_ID]],Product_Data_1[],3,TRUE)</f>
        <v>Sports</v>
      </c>
      <c r="J448" s="1">
        <f>VLOOKUP(Salesdta[[#This Row],[Product_ID]],Product_Data_1[],7,TRUE)</f>
        <v>39</v>
      </c>
      <c r="K448" s="1" t="s">
        <v>1793</v>
      </c>
      <c r="L448" s="1" t="str">
        <f>VLOOKUP(Salesdta[[#This Row],[Store_ID]],Store_Data_1[],3,TRUE)</f>
        <v>North</v>
      </c>
      <c r="M448" s="1">
        <v>1</v>
      </c>
      <c r="N448" s="1">
        <v>664</v>
      </c>
      <c r="O448" s="12">
        <v>0</v>
      </c>
      <c r="P448" s="1" t="s">
        <v>1817</v>
      </c>
      <c r="Q448" s="1">
        <v>664</v>
      </c>
      <c r="R448" s="1">
        <f>Salesdta[[#This Row],[Final Revenue]]-Salesdta[[#This Row],[Product cost]]</f>
        <v>625</v>
      </c>
      <c r="S448" s="1" t="str">
        <f>IF(Salesdta[[#This Row],[Final Revenue]]&gt;1000,"Selected","Not Selected")</f>
        <v>Not Selected</v>
      </c>
    </row>
    <row r="449" spans="1:19" x14ac:dyDescent="0.35">
      <c r="A449" s="6" t="s">
        <v>2266</v>
      </c>
      <c r="B449" s="20">
        <v>45447</v>
      </c>
      <c r="C449" s="1" t="str">
        <f>TEXT(Salesdta[[#This Row],[Order_Date]],"mmmm")</f>
        <v>June</v>
      </c>
      <c r="D449" s="1" t="s">
        <v>1127</v>
      </c>
      <c r="E449" s="1" t="str">
        <f>VLOOKUP(Salesdta[[#This Row],[Customer_ID]],Customer_Data_[],6,TRUE)</f>
        <v>Male</v>
      </c>
      <c r="F449" s="1" t="str">
        <f>VLOOKUP(Salesdta[[#This Row],[Customer_ID]],Customer_Data_[],8,TRUE)</f>
        <v>Indiana</v>
      </c>
      <c r="G449" s="1" t="s">
        <v>1696</v>
      </c>
      <c r="H449" s="1" t="str">
        <f>VLOOKUP(Salesdta[[#This Row],[Product_ID]],Product_Data_1[],2,TRUE)</f>
        <v>Wireless Mouse</v>
      </c>
      <c r="I449" s="1" t="str">
        <f>VLOOKUP(Salesdta[[#This Row],[Product_ID]],Product_Data_1[],3,TRUE)</f>
        <v>Electronics</v>
      </c>
      <c r="J449" s="1">
        <f>VLOOKUP(Salesdta[[#This Row],[Product_ID]],Product_Data_1[],7,TRUE)</f>
        <v>393</v>
      </c>
      <c r="K449" s="1" t="s">
        <v>1795</v>
      </c>
      <c r="L449" s="1" t="str">
        <f>VLOOKUP(Salesdta[[#This Row],[Store_ID]],Store_Data_1[],3,TRUE)</f>
        <v>North</v>
      </c>
      <c r="M449" s="1">
        <v>3</v>
      </c>
      <c r="N449" s="1">
        <v>291</v>
      </c>
      <c r="O449" s="12">
        <v>0.3</v>
      </c>
      <c r="P449" s="1" t="s">
        <v>1817</v>
      </c>
      <c r="Q449" s="1">
        <v>611</v>
      </c>
      <c r="R449" s="1">
        <f>Salesdta[[#This Row],[Final Revenue]]-Salesdta[[#This Row],[Product cost]]</f>
        <v>218</v>
      </c>
      <c r="S449" s="1" t="str">
        <f>IF(Salesdta[[#This Row],[Final Revenue]]&gt;1000,"Selected","Not Selected")</f>
        <v>Not Selected</v>
      </c>
    </row>
    <row r="450" spans="1:19" x14ac:dyDescent="0.35">
      <c r="A450" s="6" t="s">
        <v>2267</v>
      </c>
      <c r="B450" s="20">
        <v>45575</v>
      </c>
      <c r="C450" s="1" t="str">
        <f>TEXT(Salesdta[[#This Row],[Order_Date]],"mmmm")</f>
        <v>October</v>
      </c>
      <c r="D450" s="1" t="s">
        <v>1121</v>
      </c>
      <c r="E450" s="1" t="str">
        <f>VLOOKUP(Salesdta[[#This Row],[Customer_ID]],Customer_Data_[],6,TRUE)</f>
        <v>Male</v>
      </c>
      <c r="F450" s="1" t="str">
        <f>VLOOKUP(Salesdta[[#This Row],[Customer_ID]],Customer_Data_[],8,TRUE)</f>
        <v>Kansas</v>
      </c>
      <c r="G450" s="1" t="s">
        <v>1662</v>
      </c>
      <c r="H450" s="1" t="str">
        <f>VLOOKUP(Salesdta[[#This Row],[Product_ID]],Product_Data_1[],2,TRUE)</f>
        <v>Men's Hair Styling Gel</v>
      </c>
      <c r="I450" s="1" t="str">
        <f>VLOOKUP(Salesdta[[#This Row],[Product_ID]],Product_Data_1[],3,TRUE)</f>
        <v>Beauty</v>
      </c>
      <c r="J450" s="1">
        <f>VLOOKUP(Salesdta[[#This Row],[Product_ID]],Product_Data_1[],7,TRUE)</f>
        <v>17</v>
      </c>
      <c r="K450" s="1" t="s">
        <v>1772</v>
      </c>
      <c r="L450" s="1" t="str">
        <f>VLOOKUP(Salesdta[[#This Row],[Store_ID]],Store_Data_1[],3,TRUE)</f>
        <v>East</v>
      </c>
      <c r="M450" s="1">
        <v>3</v>
      </c>
      <c r="N450" s="1">
        <v>181</v>
      </c>
      <c r="O450" s="12">
        <v>0.03</v>
      </c>
      <c r="P450" s="1" t="s">
        <v>1819</v>
      </c>
      <c r="Q450" s="1">
        <v>526</v>
      </c>
      <c r="R450" s="1">
        <f>Salesdta[[#This Row],[Final Revenue]]-Salesdta[[#This Row],[Product cost]]</f>
        <v>509</v>
      </c>
      <c r="S450" s="1" t="str">
        <f>IF(Salesdta[[#This Row],[Final Revenue]]&gt;1000,"Selected","Not Selected")</f>
        <v>Not Selected</v>
      </c>
    </row>
    <row r="451" spans="1:19" x14ac:dyDescent="0.35">
      <c r="A451" s="6" t="s">
        <v>2268</v>
      </c>
      <c r="B451" s="20">
        <v>45861</v>
      </c>
      <c r="C451" s="1" t="str">
        <f>TEXT(Salesdta[[#This Row],[Order_Date]],"mmmm")</f>
        <v>July</v>
      </c>
      <c r="D451" s="1" t="s">
        <v>589</v>
      </c>
      <c r="E451" s="1" t="str">
        <f>VLOOKUP(Salesdta[[#This Row],[Customer_ID]],Customer_Data_[],6,TRUE)</f>
        <v>Female</v>
      </c>
      <c r="F451" s="1" t="str">
        <f>VLOOKUP(Salesdta[[#This Row],[Customer_ID]],Customer_Data_[],8,TRUE)</f>
        <v>Utah</v>
      </c>
      <c r="G451" s="1" t="s">
        <v>1612</v>
      </c>
      <c r="H451" s="1" t="str">
        <f>VLOOKUP(Salesdta[[#This Row],[Product_ID]],Product_Data_1[],2,TRUE)</f>
        <v>Gaming Mechanical Keyboard</v>
      </c>
      <c r="I451" s="1" t="str">
        <f>VLOOKUP(Salesdta[[#This Row],[Product_ID]],Product_Data_1[],3,TRUE)</f>
        <v>Electronics</v>
      </c>
      <c r="J451" s="1">
        <f>VLOOKUP(Salesdta[[#This Row],[Product_ID]],Product_Data_1[],7,TRUE)</f>
        <v>419</v>
      </c>
      <c r="K451" s="1" t="s">
        <v>1797</v>
      </c>
      <c r="L451" s="1" t="str">
        <f>VLOOKUP(Salesdta[[#This Row],[Store_ID]],Store_Data_1[],3,TRUE)</f>
        <v>North</v>
      </c>
      <c r="M451" s="1">
        <v>2</v>
      </c>
      <c r="N451" s="1">
        <v>697</v>
      </c>
      <c r="O451" s="12">
        <v>0.17</v>
      </c>
      <c r="P451" s="1" t="s">
        <v>1819</v>
      </c>
      <c r="Q451" s="1">
        <v>1156</v>
      </c>
      <c r="R451" s="1">
        <f>Salesdta[[#This Row],[Final Revenue]]-Salesdta[[#This Row],[Product cost]]</f>
        <v>737</v>
      </c>
      <c r="S451" s="1" t="str">
        <f>IF(Salesdta[[#This Row],[Final Revenue]]&gt;1000,"Selected","Not Selected")</f>
        <v>Selected</v>
      </c>
    </row>
    <row r="452" spans="1:19" x14ac:dyDescent="0.35">
      <c r="A452" s="6" t="s">
        <v>2269</v>
      </c>
      <c r="B452" s="20">
        <v>45821</v>
      </c>
      <c r="C452" s="1" t="str">
        <f>TEXT(Salesdta[[#This Row],[Order_Date]],"mmmm")</f>
        <v>June</v>
      </c>
      <c r="D452" s="1" t="s">
        <v>1336</v>
      </c>
      <c r="E452" s="1" t="str">
        <f>VLOOKUP(Salesdta[[#This Row],[Customer_ID]],Customer_Data_[],6,TRUE)</f>
        <v>Male</v>
      </c>
      <c r="F452" s="1" t="str">
        <f>VLOOKUP(Salesdta[[#This Row],[Customer_ID]],Customer_Data_[],8,TRUE)</f>
        <v>New Jersey</v>
      </c>
      <c r="G452" s="1" t="s">
        <v>1576</v>
      </c>
      <c r="H452" s="1" t="str">
        <f>VLOOKUP(Salesdta[[#This Row],[Product_ID]],Product_Data_1[],2,TRUE)</f>
        <v>Beard Grooming Kit</v>
      </c>
      <c r="I452" s="1" t="str">
        <f>VLOOKUP(Salesdta[[#This Row],[Product_ID]],Product_Data_1[],3,TRUE)</f>
        <v>Beauty</v>
      </c>
      <c r="J452" s="1">
        <f>VLOOKUP(Salesdta[[#This Row],[Product_ID]],Product_Data_1[],7,TRUE)</f>
        <v>337</v>
      </c>
      <c r="K452" s="1" t="s">
        <v>1793</v>
      </c>
      <c r="L452" s="1" t="str">
        <f>VLOOKUP(Salesdta[[#This Row],[Store_ID]],Store_Data_1[],3,TRUE)</f>
        <v>North</v>
      </c>
      <c r="M452" s="1">
        <v>4</v>
      </c>
      <c r="N452" s="1">
        <v>255</v>
      </c>
      <c r="O452" s="12">
        <v>0.2</v>
      </c>
      <c r="P452" s="1" t="s">
        <v>1822</v>
      </c>
      <c r="Q452" s="1">
        <v>815</v>
      </c>
      <c r="R452" s="1">
        <f>Salesdta[[#This Row],[Final Revenue]]-Salesdta[[#This Row],[Product cost]]</f>
        <v>478</v>
      </c>
      <c r="S452" s="1" t="str">
        <f>IF(Salesdta[[#This Row],[Final Revenue]]&gt;1000,"Selected","Not Selected")</f>
        <v>Not Selected</v>
      </c>
    </row>
    <row r="453" spans="1:19" x14ac:dyDescent="0.35">
      <c r="A453" s="6" t="s">
        <v>2270</v>
      </c>
      <c r="B453" s="20">
        <v>45924</v>
      </c>
      <c r="C453" s="1" t="str">
        <f>TEXT(Salesdta[[#This Row],[Order_Date]],"mmmm")</f>
        <v>September</v>
      </c>
      <c r="D453" s="1" t="s">
        <v>1474</v>
      </c>
      <c r="E453" s="1" t="str">
        <f>VLOOKUP(Salesdta[[#This Row],[Customer_ID]],Customer_Data_[],6,TRUE)</f>
        <v>Male</v>
      </c>
      <c r="F453" s="1" t="str">
        <f>VLOOKUP(Salesdta[[#This Row],[Customer_ID]],Customer_Data_[],8,TRUE)</f>
        <v>Florida</v>
      </c>
      <c r="G453" s="1" t="s">
        <v>1674</v>
      </c>
      <c r="H453" s="1" t="str">
        <f>VLOOKUP(Salesdta[[#This Row],[Product_ID]],Product_Data_1[],2,TRUE)</f>
        <v>Adjustable Dumbbells 20kg</v>
      </c>
      <c r="I453" s="1" t="str">
        <f>VLOOKUP(Salesdta[[#This Row],[Product_ID]],Product_Data_1[],3,TRUE)</f>
        <v>Sports</v>
      </c>
      <c r="J453" s="1">
        <f>VLOOKUP(Salesdta[[#This Row],[Product_ID]],Product_Data_1[],7,TRUE)</f>
        <v>241</v>
      </c>
      <c r="K453" s="1" t="s">
        <v>1762</v>
      </c>
      <c r="L453" s="1" t="str">
        <f>VLOOKUP(Salesdta[[#This Row],[Store_ID]],Store_Data_1[],3,TRUE)</f>
        <v>North</v>
      </c>
      <c r="M453" s="1">
        <v>3</v>
      </c>
      <c r="N453" s="1">
        <v>258</v>
      </c>
      <c r="O453" s="12">
        <v>0</v>
      </c>
      <c r="P453" s="1" t="s">
        <v>1819</v>
      </c>
      <c r="Q453" s="1">
        <v>774</v>
      </c>
      <c r="R453" s="1">
        <f>Salesdta[[#This Row],[Final Revenue]]-Salesdta[[#This Row],[Product cost]]</f>
        <v>533</v>
      </c>
      <c r="S453" s="1" t="str">
        <f>IF(Salesdta[[#This Row],[Final Revenue]]&gt;1000,"Selected","Not Selected")</f>
        <v>Not Selected</v>
      </c>
    </row>
    <row r="454" spans="1:19" x14ac:dyDescent="0.35">
      <c r="A454" s="6" t="s">
        <v>2271</v>
      </c>
      <c r="B454" s="20">
        <v>45556</v>
      </c>
      <c r="C454" s="1" t="str">
        <f>TEXT(Salesdta[[#This Row],[Order_Date]],"mmmm")</f>
        <v>September</v>
      </c>
      <c r="D454" s="1" t="s">
        <v>1065</v>
      </c>
      <c r="E454" s="1" t="str">
        <f>VLOOKUP(Salesdta[[#This Row],[Customer_ID]],Customer_Data_[],6,TRUE)</f>
        <v>Male</v>
      </c>
      <c r="F454" s="1" t="str">
        <f>VLOOKUP(Salesdta[[#This Row],[Customer_ID]],Customer_Data_[],8,TRUE)</f>
        <v>Colorado</v>
      </c>
      <c r="G454" s="1" t="s">
        <v>1626</v>
      </c>
      <c r="H454" s="1" t="str">
        <f>VLOOKUP(Salesdta[[#This Row],[Product_ID]],Product_Data_1[],2,TRUE)</f>
        <v>Yoga Exercise Mat</v>
      </c>
      <c r="I454" s="1" t="str">
        <f>VLOOKUP(Salesdta[[#This Row],[Product_ID]],Product_Data_1[],3,TRUE)</f>
        <v>Sports</v>
      </c>
      <c r="J454" s="1">
        <f>VLOOKUP(Salesdta[[#This Row],[Product_ID]],Product_Data_1[],7,TRUE)</f>
        <v>313</v>
      </c>
      <c r="K454" s="1" t="s">
        <v>1769</v>
      </c>
      <c r="L454" s="1" t="str">
        <f>VLOOKUP(Salesdta[[#This Row],[Store_ID]],Store_Data_1[],3,TRUE)</f>
        <v>North</v>
      </c>
      <c r="M454" s="1">
        <v>2</v>
      </c>
      <c r="N454" s="1">
        <v>20</v>
      </c>
      <c r="O454" s="12">
        <v>0.12</v>
      </c>
      <c r="P454" s="1" t="s">
        <v>1822</v>
      </c>
      <c r="Q454" s="1">
        <v>36</v>
      </c>
      <c r="R454" s="1">
        <f>Salesdta[[#This Row],[Final Revenue]]-Salesdta[[#This Row],[Product cost]]</f>
        <v>-277</v>
      </c>
      <c r="S454" s="1" t="str">
        <f>IF(Salesdta[[#This Row],[Final Revenue]]&gt;1000,"Selected","Not Selected")</f>
        <v>Not Selected</v>
      </c>
    </row>
    <row r="455" spans="1:19" x14ac:dyDescent="0.35">
      <c r="A455" s="6" t="s">
        <v>2272</v>
      </c>
      <c r="B455" s="20">
        <v>45566</v>
      </c>
      <c r="C455" s="1" t="str">
        <f>TEXT(Salesdta[[#This Row],[Order_Date]],"mmmm")</f>
        <v>October</v>
      </c>
      <c r="D455" s="1" t="s">
        <v>1242</v>
      </c>
      <c r="E455" s="1" t="str">
        <f>VLOOKUP(Salesdta[[#This Row],[Customer_ID]],Customer_Data_[],6,TRUE)</f>
        <v>Female</v>
      </c>
      <c r="F455" s="1" t="str">
        <f>VLOOKUP(Salesdta[[#This Row],[Customer_ID]],Customer_Data_[],8,TRUE)</f>
        <v>Oklahoma</v>
      </c>
      <c r="G455" s="1" t="s">
        <v>1622</v>
      </c>
      <c r="H455" s="1" t="str">
        <f>VLOOKUP(Salesdta[[#This Row],[Product_ID]],Product_Data_1[],2,TRUE)</f>
        <v>Portable Power Bank</v>
      </c>
      <c r="I455" s="1" t="str">
        <f>VLOOKUP(Salesdta[[#This Row],[Product_ID]],Product_Data_1[],3,TRUE)</f>
        <v>Electronics</v>
      </c>
      <c r="J455" s="1">
        <f>VLOOKUP(Salesdta[[#This Row],[Product_ID]],Product_Data_1[],7,TRUE)</f>
        <v>326</v>
      </c>
      <c r="K455" s="1" t="s">
        <v>1765</v>
      </c>
      <c r="L455" s="1" t="str">
        <f>VLOOKUP(Salesdta[[#This Row],[Store_ID]],Store_Data_1[],3,TRUE)</f>
        <v>South</v>
      </c>
      <c r="M455" s="1">
        <v>4</v>
      </c>
      <c r="N455" s="1">
        <v>983</v>
      </c>
      <c r="O455" s="12">
        <v>0.25</v>
      </c>
      <c r="P455" s="1" t="s">
        <v>1822</v>
      </c>
      <c r="Q455" s="1">
        <v>2950</v>
      </c>
      <c r="R455" s="1">
        <f>Salesdta[[#This Row],[Final Revenue]]-Salesdta[[#This Row],[Product cost]]</f>
        <v>2624</v>
      </c>
      <c r="S455" s="1" t="str">
        <f>IF(Salesdta[[#This Row],[Final Revenue]]&gt;1000,"Selected","Not Selected")</f>
        <v>Selected</v>
      </c>
    </row>
    <row r="456" spans="1:19" x14ac:dyDescent="0.35">
      <c r="A456" s="6" t="s">
        <v>2273</v>
      </c>
      <c r="B456" s="20">
        <v>45905</v>
      </c>
      <c r="C456" s="1" t="str">
        <f>TEXT(Salesdta[[#This Row],[Order_Date]],"mmmm")</f>
        <v>September</v>
      </c>
      <c r="D456" s="1" t="s">
        <v>122</v>
      </c>
      <c r="E456" s="1" t="str">
        <f>VLOOKUP(Salesdta[[#This Row],[Customer_ID]],Customer_Data_[],6,TRUE)</f>
        <v>Female</v>
      </c>
      <c r="F456" s="1" t="str">
        <f>VLOOKUP(Salesdta[[#This Row],[Customer_ID]],Customer_Data_[],8,TRUE)</f>
        <v>Pennsylvania</v>
      </c>
      <c r="G456" s="1" t="s">
        <v>1614</v>
      </c>
      <c r="H456" s="1" t="str">
        <f>VLOOKUP(Salesdta[[#This Row],[Product_ID]],Product_Data_1[],2,TRUE)</f>
        <v>Bedroom Table Lamp</v>
      </c>
      <c r="I456" s="1" t="str">
        <f>VLOOKUP(Salesdta[[#This Row],[Product_ID]],Product_Data_1[],3,TRUE)</f>
        <v>Home</v>
      </c>
      <c r="J456" s="1">
        <f>VLOOKUP(Salesdta[[#This Row],[Product_ID]],Product_Data_1[],7,TRUE)</f>
        <v>382</v>
      </c>
      <c r="K456" s="1" t="s">
        <v>1797</v>
      </c>
      <c r="L456" s="1" t="str">
        <f>VLOOKUP(Salesdta[[#This Row],[Store_ID]],Store_Data_1[],3,TRUE)</f>
        <v>North</v>
      </c>
      <c r="M456" s="1">
        <v>4</v>
      </c>
      <c r="N456" s="1">
        <v>642</v>
      </c>
      <c r="O456" s="12">
        <v>0.25</v>
      </c>
      <c r="P456" s="1" t="s">
        <v>1817</v>
      </c>
      <c r="Q456" s="1">
        <v>1926</v>
      </c>
      <c r="R456" s="1">
        <f>Salesdta[[#This Row],[Final Revenue]]-Salesdta[[#This Row],[Product cost]]</f>
        <v>1544</v>
      </c>
      <c r="S456" s="1" t="str">
        <f>IF(Salesdta[[#This Row],[Final Revenue]]&gt;1000,"Selected","Not Selected")</f>
        <v>Selected</v>
      </c>
    </row>
    <row r="457" spans="1:19" x14ac:dyDescent="0.35">
      <c r="A457" s="6" t="s">
        <v>2274</v>
      </c>
      <c r="B457" s="20">
        <v>45531</v>
      </c>
      <c r="C457" s="1" t="str">
        <f>TEXT(Salesdta[[#This Row],[Order_Date]],"mmmm")</f>
        <v>August</v>
      </c>
      <c r="D457" s="1" t="s">
        <v>984</v>
      </c>
      <c r="E457" s="1" t="str">
        <f>VLOOKUP(Salesdta[[#This Row],[Customer_ID]],Customer_Data_[],6,TRUE)</f>
        <v>Male</v>
      </c>
      <c r="F457" s="1" t="str">
        <f>VLOOKUP(Salesdta[[#This Row],[Customer_ID]],Customer_Data_[],8,TRUE)</f>
        <v>Maryland</v>
      </c>
      <c r="G457" s="1" t="s">
        <v>1712</v>
      </c>
      <c r="H457" s="1" t="str">
        <f>VLOOKUP(Salesdta[[#This Row],[Product_ID]],Product_Data_1[],2,TRUE)</f>
        <v>Wooden Bookshelf</v>
      </c>
      <c r="I457" s="1" t="str">
        <f>VLOOKUP(Salesdta[[#This Row],[Product_ID]],Product_Data_1[],3,TRUE)</f>
        <v>Home</v>
      </c>
      <c r="J457" s="1">
        <f>VLOOKUP(Salesdta[[#This Row],[Product_ID]],Product_Data_1[],7,TRUE)</f>
        <v>388</v>
      </c>
      <c r="K457" s="1" t="s">
        <v>1775</v>
      </c>
      <c r="L457" s="1" t="str">
        <f>VLOOKUP(Salesdta[[#This Row],[Store_ID]],Store_Data_1[],3,TRUE)</f>
        <v>South</v>
      </c>
      <c r="M457" s="1">
        <v>4</v>
      </c>
      <c r="N457" s="1">
        <v>451</v>
      </c>
      <c r="O457" s="12">
        <v>0.24</v>
      </c>
      <c r="P457" s="1" t="s">
        <v>1817</v>
      </c>
      <c r="Q457" s="1">
        <v>1371</v>
      </c>
      <c r="R457" s="1">
        <f>Salesdta[[#This Row],[Final Revenue]]-Salesdta[[#This Row],[Product cost]]</f>
        <v>983</v>
      </c>
      <c r="S457" s="1" t="str">
        <f>IF(Salesdta[[#This Row],[Final Revenue]]&gt;1000,"Selected","Not Selected")</f>
        <v>Selected</v>
      </c>
    </row>
    <row r="458" spans="1:19" x14ac:dyDescent="0.35">
      <c r="A458" s="6" t="s">
        <v>2275</v>
      </c>
      <c r="B458" s="20">
        <v>45572</v>
      </c>
      <c r="C458" s="1" t="str">
        <f>TEXT(Salesdta[[#This Row],[Order_Date]],"mmmm")</f>
        <v>October</v>
      </c>
      <c r="D458" s="1" t="s">
        <v>80</v>
      </c>
      <c r="E458" s="1" t="str">
        <f>VLOOKUP(Salesdta[[#This Row],[Customer_ID]],Customer_Data_[],6,TRUE)</f>
        <v>Male</v>
      </c>
      <c r="F458" s="1" t="str">
        <f>VLOOKUP(Salesdta[[#This Row],[Customer_ID]],Customer_Data_[],8,TRUE)</f>
        <v>Kansas</v>
      </c>
      <c r="G458" s="1" t="s">
        <v>1704</v>
      </c>
      <c r="H458" s="1" t="str">
        <f>VLOOKUP(Salesdta[[#This Row],[Product_ID]],Product_Data_1[],2,TRUE)</f>
        <v>Wall-Mounted Spice Rack</v>
      </c>
      <c r="I458" s="1" t="str">
        <f>VLOOKUP(Salesdta[[#This Row],[Product_ID]],Product_Data_1[],3,TRUE)</f>
        <v>Home</v>
      </c>
      <c r="J458" s="1">
        <f>VLOOKUP(Salesdta[[#This Row],[Product_ID]],Product_Data_1[],7,TRUE)</f>
        <v>143</v>
      </c>
      <c r="K458" s="1" t="s">
        <v>1797</v>
      </c>
      <c r="L458" s="1" t="str">
        <f>VLOOKUP(Salesdta[[#This Row],[Store_ID]],Store_Data_1[],3,TRUE)</f>
        <v>North</v>
      </c>
      <c r="M458" s="1">
        <v>2</v>
      </c>
      <c r="N458" s="1">
        <v>949</v>
      </c>
      <c r="O458" s="12">
        <v>0.08</v>
      </c>
      <c r="P458" s="1" t="s">
        <v>1822</v>
      </c>
      <c r="Q458" s="1">
        <v>1747</v>
      </c>
      <c r="R458" s="1">
        <f>Salesdta[[#This Row],[Final Revenue]]-Salesdta[[#This Row],[Product cost]]</f>
        <v>1604</v>
      </c>
      <c r="S458" s="1" t="str">
        <f>IF(Salesdta[[#This Row],[Final Revenue]]&gt;1000,"Selected","Not Selected")</f>
        <v>Selected</v>
      </c>
    </row>
    <row r="459" spans="1:19" x14ac:dyDescent="0.35">
      <c r="A459" s="6" t="s">
        <v>2276</v>
      </c>
      <c r="B459" s="20">
        <v>45671</v>
      </c>
      <c r="C459" s="1" t="str">
        <f>TEXT(Salesdta[[#This Row],[Order_Date]],"mmmm")</f>
        <v>January</v>
      </c>
      <c r="D459" s="1" t="s">
        <v>1388</v>
      </c>
      <c r="E459" s="1" t="str">
        <f>VLOOKUP(Salesdta[[#This Row],[Customer_ID]],Customer_Data_[],6,TRUE)</f>
        <v>Male</v>
      </c>
      <c r="F459" s="1" t="str">
        <f>VLOOKUP(Salesdta[[#This Row],[Customer_ID]],Customer_Data_[],8,TRUE)</f>
        <v>Nebraska</v>
      </c>
      <c r="G459" s="1" t="s">
        <v>1670</v>
      </c>
      <c r="H459" s="1" t="str">
        <f>VLOOKUP(Salesdta[[#This Row],[Product_ID]],Product_Data_1[],2,TRUE)</f>
        <v>Organic Sunscreen Lotion</v>
      </c>
      <c r="I459" s="1" t="str">
        <f>VLOOKUP(Salesdta[[#This Row],[Product_ID]],Product_Data_1[],3,TRUE)</f>
        <v>Beauty</v>
      </c>
      <c r="J459" s="1">
        <f>VLOOKUP(Salesdta[[#This Row],[Product_ID]],Product_Data_1[],7,TRUE)</f>
        <v>267</v>
      </c>
      <c r="K459" s="1" t="s">
        <v>1788</v>
      </c>
      <c r="L459" s="1" t="str">
        <f>VLOOKUP(Salesdta[[#This Row],[Store_ID]],Store_Data_1[],3,TRUE)</f>
        <v>North</v>
      </c>
      <c r="M459" s="1">
        <v>4</v>
      </c>
      <c r="N459" s="1">
        <v>593</v>
      </c>
      <c r="O459" s="12">
        <v>0.03</v>
      </c>
      <c r="P459" s="1" t="s">
        <v>1817</v>
      </c>
      <c r="Q459" s="1">
        <v>2300</v>
      </c>
      <c r="R459" s="1">
        <f>Salesdta[[#This Row],[Final Revenue]]-Salesdta[[#This Row],[Product cost]]</f>
        <v>2033</v>
      </c>
      <c r="S459" s="1" t="str">
        <f>IF(Salesdta[[#This Row],[Final Revenue]]&gt;1000,"Selected","Not Selected")</f>
        <v>Selected</v>
      </c>
    </row>
    <row r="460" spans="1:19" x14ac:dyDescent="0.35">
      <c r="A460" s="6" t="s">
        <v>2277</v>
      </c>
      <c r="B460" s="20">
        <v>45524</v>
      </c>
      <c r="C460" s="1" t="str">
        <f>TEXT(Salesdta[[#This Row],[Order_Date]],"mmmm")</f>
        <v>August</v>
      </c>
      <c r="D460" s="1" t="s">
        <v>21</v>
      </c>
      <c r="E460" s="1" t="str">
        <f>VLOOKUP(Salesdta[[#This Row],[Customer_ID]],Customer_Data_[],6,TRUE)</f>
        <v>Female</v>
      </c>
      <c r="F460" s="1" t="str">
        <f>VLOOKUP(Salesdta[[#This Row],[Customer_ID]],Customer_Data_[],8,TRUE)</f>
        <v>Ohio</v>
      </c>
      <c r="G460" s="1" t="s">
        <v>1539</v>
      </c>
      <c r="H460" s="1" t="str">
        <f>VLOOKUP(Salesdta[[#This Row],[Product_ID]],Product_Data_1[],2,TRUE)</f>
        <v>Brother Laser Printer</v>
      </c>
      <c r="I460" s="1" t="str">
        <f>VLOOKUP(Salesdta[[#This Row],[Product_ID]],Product_Data_1[],3,TRUE)</f>
        <v>Electronics</v>
      </c>
      <c r="J460" s="1">
        <f>VLOOKUP(Salesdta[[#This Row],[Product_ID]],Product_Data_1[],7,TRUE)</f>
        <v>112</v>
      </c>
      <c r="K460" s="1" t="s">
        <v>1795</v>
      </c>
      <c r="L460" s="1" t="str">
        <f>VLOOKUP(Salesdta[[#This Row],[Store_ID]],Store_Data_1[],3,TRUE)</f>
        <v>North</v>
      </c>
      <c r="M460" s="1">
        <v>1</v>
      </c>
      <c r="N460" s="1">
        <v>450</v>
      </c>
      <c r="O460" s="12">
        <v>0.01</v>
      </c>
      <c r="P460" s="1" t="s">
        <v>1819</v>
      </c>
      <c r="Q460" s="1">
        <v>445</v>
      </c>
      <c r="R460" s="1">
        <f>Salesdta[[#This Row],[Final Revenue]]-Salesdta[[#This Row],[Product cost]]</f>
        <v>333</v>
      </c>
      <c r="S460" s="1" t="str">
        <f>IF(Salesdta[[#This Row],[Final Revenue]]&gt;1000,"Selected","Not Selected")</f>
        <v>Not Selected</v>
      </c>
    </row>
    <row r="461" spans="1:19" x14ac:dyDescent="0.35">
      <c r="A461" s="6" t="s">
        <v>2278</v>
      </c>
      <c r="B461" s="20">
        <v>45446</v>
      </c>
      <c r="C461" s="1" t="str">
        <f>TEXT(Salesdta[[#This Row],[Order_Date]],"mmmm")</f>
        <v>June</v>
      </c>
      <c r="D461" s="1" t="s">
        <v>390</v>
      </c>
      <c r="E461" s="1" t="str">
        <f>VLOOKUP(Salesdta[[#This Row],[Customer_ID]],Customer_Data_[],6,TRUE)</f>
        <v>Female</v>
      </c>
      <c r="F461" s="1" t="str">
        <f>VLOOKUP(Salesdta[[#This Row],[Customer_ID]],Customer_Data_[],8,TRUE)</f>
        <v>Michigan</v>
      </c>
      <c r="G461" s="1" t="s">
        <v>1624</v>
      </c>
      <c r="H461" s="1" t="str">
        <f>VLOOKUP(Salesdta[[#This Row],[Product_ID]],Product_Data_1[],2,TRUE)</f>
        <v>Noise-Canceling Headphones</v>
      </c>
      <c r="I461" s="1" t="str">
        <f>VLOOKUP(Salesdta[[#This Row],[Product_ID]],Product_Data_1[],3,TRUE)</f>
        <v>Electronics</v>
      </c>
      <c r="J461" s="1">
        <f>VLOOKUP(Salesdta[[#This Row],[Product_ID]],Product_Data_1[],7,TRUE)</f>
        <v>39</v>
      </c>
      <c r="K461" s="1" t="s">
        <v>1748</v>
      </c>
      <c r="L461" s="1" t="str">
        <f>VLOOKUP(Salesdta[[#This Row],[Store_ID]],Store_Data_1[],3,TRUE)</f>
        <v>East</v>
      </c>
      <c r="M461" s="1">
        <v>1</v>
      </c>
      <c r="N461" s="1">
        <v>71</v>
      </c>
      <c r="O461" s="12">
        <v>0.08</v>
      </c>
      <c r="P461" s="1" t="s">
        <v>1822</v>
      </c>
      <c r="Q461" s="1">
        <v>65</v>
      </c>
      <c r="R461" s="1">
        <f>Salesdta[[#This Row],[Final Revenue]]-Salesdta[[#This Row],[Product cost]]</f>
        <v>26</v>
      </c>
      <c r="S461" s="1" t="str">
        <f>IF(Salesdta[[#This Row],[Final Revenue]]&gt;1000,"Selected","Not Selected")</f>
        <v>Not Selected</v>
      </c>
    </row>
    <row r="462" spans="1:19" x14ac:dyDescent="0.35">
      <c r="A462" s="6" t="s">
        <v>2279</v>
      </c>
      <c r="B462" s="20">
        <v>45906</v>
      </c>
      <c r="C462" s="1" t="str">
        <f>TEXT(Salesdta[[#This Row],[Order_Date]],"mmmm")</f>
        <v>September</v>
      </c>
      <c r="D462" s="1" t="s">
        <v>91</v>
      </c>
      <c r="E462" s="1" t="str">
        <f>VLOOKUP(Salesdta[[#This Row],[Customer_ID]],Customer_Data_[],6,TRUE)</f>
        <v>Female</v>
      </c>
      <c r="F462" s="1" t="str">
        <f>VLOOKUP(Salesdta[[#This Row],[Customer_ID]],Customer_Data_[],8,TRUE)</f>
        <v>Oklahoma</v>
      </c>
      <c r="G462" s="1" t="s">
        <v>1596</v>
      </c>
      <c r="H462" s="1" t="str">
        <f>VLOOKUP(Salesdta[[#This Row],[Product_ID]],Product_Data_1[],2,TRUE)</f>
        <v>Wireless Bluetooth Speaker</v>
      </c>
      <c r="I462" s="1" t="str">
        <f>VLOOKUP(Salesdta[[#This Row],[Product_ID]],Product_Data_1[],3,TRUE)</f>
        <v>Electronics</v>
      </c>
      <c r="J462" s="1">
        <f>VLOOKUP(Salesdta[[#This Row],[Product_ID]],Product_Data_1[],7,TRUE)</f>
        <v>322</v>
      </c>
      <c r="K462" s="1" t="s">
        <v>1806</v>
      </c>
      <c r="L462" s="1" t="str">
        <f>VLOOKUP(Salesdta[[#This Row],[Store_ID]],Store_Data_1[],3,TRUE)</f>
        <v>North</v>
      </c>
      <c r="M462" s="1">
        <v>1</v>
      </c>
      <c r="N462" s="1">
        <v>180</v>
      </c>
      <c r="O462" s="12">
        <v>0.23</v>
      </c>
      <c r="P462" s="1" t="s">
        <v>1822</v>
      </c>
      <c r="Q462" s="1">
        <v>138</v>
      </c>
      <c r="R462" s="1">
        <f>Salesdta[[#This Row],[Final Revenue]]-Salesdta[[#This Row],[Product cost]]</f>
        <v>-184</v>
      </c>
      <c r="S462" s="1" t="str">
        <f>IF(Salesdta[[#This Row],[Final Revenue]]&gt;1000,"Selected","Not Selected")</f>
        <v>Not Selected</v>
      </c>
    </row>
    <row r="463" spans="1:19" x14ac:dyDescent="0.35">
      <c r="A463" s="6" t="s">
        <v>2280</v>
      </c>
      <c r="B463" s="20">
        <v>45855</v>
      </c>
      <c r="C463" s="1" t="str">
        <f>TEXT(Salesdta[[#This Row],[Order_Date]],"mmmm")</f>
        <v>July</v>
      </c>
      <c r="D463" s="1" t="s">
        <v>1356</v>
      </c>
      <c r="E463" s="1" t="str">
        <f>VLOOKUP(Salesdta[[#This Row],[Customer_ID]],Customer_Data_[],6,TRUE)</f>
        <v>Male</v>
      </c>
      <c r="F463" s="1" t="str">
        <f>VLOOKUP(Salesdta[[#This Row],[Customer_ID]],Customer_Data_[],8,TRUE)</f>
        <v>Michigan</v>
      </c>
      <c r="G463" s="1" t="s">
        <v>1584</v>
      </c>
      <c r="H463" s="1" t="str">
        <f>VLOOKUP(Salesdta[[#This Row],[Product_ID]],Product_Data_1[],2,TRUE)</f>
        <v>Outdoor Sports Water Bottle</v>
      </c>
      <c r="I463" s="1" t="str">
        <f>VLOOKUP(Salesdta[[#This Row],[Product_ID]],Product_Data_1[],3,TRUE)</f>
        <v>Sports</v>
      </c>
      <c r="J463" s="1">
        <f>VLOOKUP(Salesdta[[#This Row],[Product_ID]],Product_Data_1[],7,TRUE)</f>
        <v>132</v>
      </c>
      <c r="K463" s="1" t="s">
        <v>1753</v>
      </c>
      <c r="L463" s="1" t="str">
        <f>VLOOKUP(Salesdta[[#This Row],[Store_ID]],Store_Data_1[],3,TRUE)</f>
        <v>North</v>
      </c>
      <c r="M463" s="1">
        <v>3</v>
      </c>
      <c r="N463" s="1">
        <v>684</v>
      </c>
      <c r="O463" s="12">
        <v>0.09</v>
      </c>
      <c r="P463" s="1" t="s">
        <v>1817</v>
      </c>
      <c r="Q463" s="1">
        <v>1868</v>
      </c>
      <c r="R463" s="1">
        <f>Salesdta[[#This Row],[Final Revenue]]-Salesdta[[#This Row],[Product cost]]</f>
        <v>1736</v>
      </c>
      <c r="S463" s="1" t="str">
        <f>IF(Salesdta[[#This Row],[Final Revenue]]&gt;1000,"Selected","Not Selected")</f>
        <v>Selected</v>
      </c>
    </row>
    <row r="464" spans="1:19" x14ac:dyDescent="0.35">
      <c r="A464" s="6" t="s">
        <v>2281</v>
      </c>
      <c r="B464" s="20">
        <v>45914</v>
      </c>
      <c r="C464" s="1" t="str">
        <f>TEXT(Salesdta[[#This Row],[Order_Date]],"mmmm")</f>
        <v>September</v>
      </c>
      <c r="D464" s="1" t="s">
        <v>942</v>
      </c>
      <c r="E464" s="1" t="str">
        <f>VLOOKUP(Salesdta[[#This Row],[Customer_ID]],Customer_Data_[],6,TRUE)</f>
        <v>Female</v>
      </c>
      <c r="F464" s="1" t="str">
        <f>VLOOKUP(Salesdta[[#This Row],[Customer_ID]],Customer_Data_[],8,TRUE)</f>
        <v>Louisiana</v>
      </c>
      <c r="G464" s="1" t="s">
        <v>1590</v>
      </c>
      <c r="H464" s="1" t="str">
        <f>VLOOKUP(Salesdta[[#This Row],[Product_ID]],Product_Data_1[],2,TRUE)</f>
        <v>Men's Formal Shirt</v>
      </c>
      <c r="I464" s="1" t="str">
        <f>VLOOKUP(Salesdta[[#This Row],[Product_ID]],Product_Data_1[],3,TRUE)</f>
        <v>Clothing</v>
      </c>
      <c r="J464" s="1">
        <f>VLOOKUP(Salesdta[[#This Row],[Product_ID]],Product_Data_1[],7,TRUE)</f>
        <v>254</v>
      </c>
      <c r="K464" s="1" t="s">
        <v>1803</v>
      </c>
      <c r="L464" s="1" t="str">
        <f>VLOOKUP(Salesdta[[#This Row],[Store_ID]],Store_Data_1[],3,TRUE)</f>
        <v>North</v>
      </c>
      <c r="M464" s="1">
        <v>3</v>
      </c>
      <c r="N464" s="1">
        <v>373</v>
      </c>
      <c r="O464" s="12">
        <v>0.2</v>
      </c>
      <c r="P464" s="1" t="s">
        <v>1822</v>
      </c>
      <c r="Q464" s="1">
        <v>896</v>
      </c>
      <c r="R464" s="1">
        <f>Salesdta[[#This Row],[Final Revenue]]-Salesdta[[#This Row],[Product cost]]</f>
        <v>642</v>
      </c>
      <c r="S464" s="1" t="str">
        <f>IF(Salesdta[[#This Row],[Final Revenue]]&gt;1000,"Selected","Not Selected")</f>
        <v>Not Selected</v>
      </c>
    </row>
    <row r="465" spans="1:19" x14ac:dyDescent="0.35">
      <c r="A465" s="6" t="s">
        <v>2282</v>
      </c>
      <c r="B465" s="20">
        <v>45272</v>
      </c>
      <c r="C465" s="1" t="str">
        <f>TEXT(Salesdta[[#This Row],[Order_Date]],"mmmm")</f>
        <v>December</v>
      </c>
      <c r="D465" s="1" t="s">
        <v>809</v>
      </c>
      <c r="E465" s="1" t="str">
        <f>VLOOKUP(Salesdta[[#This Row],[Customer_ID]],Customer_Data_[],6,TRUE)</f>
        <v>Male</v>
      </c>
      <c r="F465" s="1" t="str">
        <f>VLOOKUP(Salesdta[[#This Row],[Customer_ID]],Customer_Data_[],8,TRUE)</f>
        <v>Alaska</v>
      </c>
      <c r="G465" s="1" t="s">
        <v>1590</v>
      </c>
      <c r="H465" s="1" t="str">
        <f>VLOOKUP(Salesdta[[#This Row],[Product_ID]],Product_Data_1[],2,TRUE)</f>
        <v>Men's Formal Shirt</v>
      </c>
      <c r="I465" s="1" t="str">
        <f>VLOOKUP(Salesdta[[#This Row],[Product_ID]],Product_Data_1[],3,TRUE)</f>
        <v>Clothing</v>
      </c>
      <c r="J465" s="1">
        <f>VLOOKUP(Salesdta[[#This Row],[Product_ID]],Product_Data_1[],7,TRUE)</f>
        <v>254</v>
      </c>
      <c r="K465" s="1" t="s">
        <v>1775</v>
      </c>
      <c r="L465" s="1" t="str">
        <f>VLOOKUP(Salesdta[[#This Row],[Store_ID]],Store_Data_1[],3,TRUE)</f>
        <v>South</v>
      </c>
      <c r="M465" s="1">
        <v>2</v>
      </c>
      <c r="N465" s="1">
        <v>608</v>
      </c>
      <c r="O465" s="12">
        <v>0.16</v>
      </c>
      <c r="P465" s="1" t="s">
        <v>1817</v>
      </c>
      <c r="Q465" s="1">
        <v>1022</v>
      </c>
      <c r="R465" s="1">
        <f>Salesdta[[#This Row],[Final Revenue]]-Salesdta[[#This Row],[Product cost]]</f>
        <v>768</v>
      </c>
      <c r="S465" s="1" t="str">
        <f>IF(Salesdta[[#This Row],[Final Revenue]]&gt;1000,"Selected","Not Selected")</f>
        <v>Selected</v>
      </c>
    </row>
    <row r="466" spans="1:19" x14ac:dyDescent="0.35">
      <c r="A466" s="6" t="s">
        <v>2283</v>
      </c>
      <c r="B466" s="20">
        <v>45656</v>
      </c>
      <c r="C466" s="1" t="str">
        <f>TEXT(Salesdta[[#This Row],[Order_Date]],"mmmm")</f>
        <v>December</v>
      </c>
      <c r="D466" s="1" t="s">
        <v>235</v>
      </c>
      <c r="E466" s="1" t="str">
        <f>VLOOKUP(Salesdta[[#This Row],[Customer_ID]],Customer_Data_[],6,TRUE)</f>
        <v>Male</v>
      </c>
      <c r="F466" s="1" t="str">
        <f>VLOOKUP(Salesdta[[#This Row],[Customer_ID]],Customer_Data_[],8,TRUE)</f>
        <v>Arizona</v>
      </c>
      <c r="G466" s="1" t="s">
        <v>1638</v>
      </c>
      <c r="H466" s="1" t="str">
        <f>VLOOKUP(Salesdta[[#This Row],[Product_ID]],Product_Data_1[],2,TRUE)</f>
        <v>Makeup Brush Set</v>
      </c>
      <c r="I466" s="1" t="str">
        <f>VLOOKUP(Salesdta[[#This Row],[Product_ID]],Product_Data_1[],3,TRUE)</f>
        <v>Beauty</v>
      </c>
      <c r="J466" s="1">
        <f>VLOOKUP(Salesdta[[#This Row],[Product_ID]],Product_Data_1[],7,TRUE)</f>
        <v>254</v>
      </c>
      <c r="K466" s="1" t="s">
        <v>1790</v>
      </c>
      <c r="L466" s="1" t="str">
        <f>VLOOKUP(Salesdta[[#This Row],[Store_ID]],Store_Data_1[],3,TRUE)</f>
        <v>North</v>
      </c>
      <c r="M466" s="1">
        <v>2</v>
      </c>
      <c r="N466" s="1">
        <v>591</v>
      </c>
      <c r="O466" s="12">
        <v>0.24</v>
      </c>
      <c r="P466" s="1" t="s">
        <v>1817</v>
      </c>
      <c r="Q466" s="1">
        <v>899</v>
      </c>
      <c r="R466" s="1">
        <f>Salesdta[[#This Row],[Final Revenue]]-Salesdta[[#This Row],[Product cost]]</f>
        <v>645</v>
      </c>
      <c r="S466" s="1" t="str">
        <f>IF(Salesdta[[#This Row],[Final Revenue]]&gt;1000,"Selected","Not Selected")</f>
        <v>Not Selected</v>
      </c>
    </row>
    <row r="467" spans="1:19" x14ac:dyDescent="0.35">
      <c r="A467" s="6" t="s">
        <v>2284</v>
      </c>
      <c r="B467" s="20">
        <v>45549</v>
      </c>
      <c r="C467" s="1" t="str">
        <f>TEXT(Salesdta[[#This Row],[Order_Date]],"mmmm")</f>
        <v>September</v>
      </c>
      <c r="D467" s="1" t="s">
        <v>322</v>
      </c>
      <c r="E467" s="1" t="str">
        <f>VLOOKUP(Salesdta[[#This Row],[Customer_ID]],Customer_Data_[],6,TRUE)</f>
        <v>Female</v>
      </c>
      <c r="F467" s="1" t="str">
        <f>VLOOKUP(Salesdta[[#This Row],[Customer_ID]],Customer_Data_[],8,TRUE)</f>
        <v>Louisiana</v>
      </c>
      <c r="G467" s="1" t="s">
        <v>1674</v>
      </c>
      <c r="H467" s="1" t="str">
        <f>VLOOKUP(Salesdta[[#This Row],[Product_ID]],Product_Data_1[],2,TRUE)</f>
        <v>Adjustable Dumbbells 20kg</v>
      </c>
      <c r="I467" s="1" t="str">
        <f>VLOOKUP(Salesdta[[#This Row],[Product_ID]],Product_Data_1[],3,TRUE)</f>
        <v>Sports</v>
      </c>
      <c r="J467" s="1">
        <f>VLOOKUP(Salesdta[[#This Row],[Product_ID]],Product_Data_1[],7,TRUE)</f>
        <v>241</v>
      </c>
      <c r="K467" s="1" t="s">
        <v>1795</v>
      </c>
      <c r="L467" s="1" t="str">
        <f>VLOOKUP(Salesdta[[#This Row],[Store_ID]],Store_Data_1[],3,TRUE)</f>
        <v>North</v>
      </c>
      <c r="M467" s="1">
        <v>2</v>
      </c>
      <c r="N467" s="1">
        <v>546</v>
      </c>
      <c r="O467" s="12">
        <v>0.08</v>
      </c>
      <c r="P467" s="1" t="s">
        <v>1822</v>
      </c>
      <c r="Q467" s="1">
        <v>1005</v>
      </c>
      <c r="R467" s="1">
        <f>Salesdta[[#This Row],[Final Revenue]]-Salesdta[[#This Row],[Product cost]]</f>
        <v>764</v>
      </c>
      <c r="S467" s="1" t="str">
        <f>IF(Salesdta[[#This Row],[Final Revenue]]&gt;1000,"Selected","Not Selected")</f>
        <v>Selected</v>
      </c>
    </row>
    <row r="468" spans="1:19" x14ac:dyDescent="0.35">
      <c r="A468" s="6" t="s">
        <v>2285</v>
      </c>
      <c r="B468" s="20">
        <v>45447</v>
      </c>
      <c r="C468" s="1" t="str">
        <f>TEXT(Salesdta[[#This Row],[Order_Date]],"mmmm")</f>
        <v>June</v>
      </c>
      <c r="D468" s="1" t="s">
        <v>729</v>
      </c>
      <c r="E468" s="1" t="str">
        <f>VLOOKUP(Salesdta[[#This Row],[Customer_ID]],Customer_Data_[],6,TRUE)</f>
        <v>Female</v>
      </c>
      <c r="F468" s="1" t="str">
        <f>VLOOKUP(Salesdta[[#This Row],[Customer_ID]],Customer_Data_[],8,TRUE)</f>
        <v>Kansas</v>
      </c>
      <c r="G468" s="1" t="s">
        <v>1730</v>
      </c>
      <c r="H468" s="1" t="str">
        <f>VLOOKUP(Salesdta[[#This Row],[Product_ID]],Product_Data_1[],2,TRUE)</f>
        <v>USB-C Laptop Charger</v>
      </c>
      <c r="I468" s="1" t="str">
        <f>VLOOKUP(Salesdta[[#This Row],[Product_ID]],Product_Data_1[],3,TRUE)</f>
        <v>Electronics</v>
      </c>
      <c r="J468" s="1">
        <f>VLOOKUP(Salesdta[[#This Row],[Product_ID]],Product_Data_1[],7,TRUE)</f>
        <v>378</v>
      </c>
      <c r="K468" s="1" t="s">
        <v>1775</v>
      </c>
      <c r="L468" s="1" t="str">
        <f>VLOOKUP(Salesdta[[#This Row],[Store_ID]],Store_Data_1[],3,TRUE)</f>
        <v>South</v>
      </c>
      <c r="M468" s="1">
        <v>2</v>
      </c>
      <c r="N468" s="1">
        <v>225</v>
      </c>
      <c r="O468" s="12">
        <v>0.2</v>
      </c>
      <c r="P468" s="1" t="s">
        <v>1822</v>
      </c>
      <c r="Q468" s="1">
        <v>360</v>
      </c>
      <c r="R468" s="1">
        <f>Salesdta[[#This Row],[Final Revenue]]-Salesdta[[#This Row],[Product cost]]</f>
        <v>-18</v>
      </c>
      <c r="S468" s="1" t="str">
        <f>IF(Salesdta[[#This Row],[Final Revenue]]&gt;1000,"Selected","Not Selected")</f>
        <v>Not Selected</v>
      </c>
    </row>
    <row r="469" spans="1:19" x14ac:dyDescent="0.35">
      <c r="A469" s="6" t="s">
        <v>2286</v>
      </c>
      <c r="B469" s="20">
        <v>45906</v>
      </c>
      <c r="C469" s="1" t="str">
        <f>TEXT(Salesdta[[#This Row],[Order_Date]],"mmmm")</f>
        <v>September</v>
      </c>
      <c r="D469" s="1" t="s">
        <v>1379</v>
      </c>
      <c r="E469" s="1" t="str">
        <f>VLOOKUP(Salesdta[[#This Row],[Customer_ID]],Customer_Data_[],6,TRUE)</f>
        <v>Male</v>
      </c>
      <c r="F469" s="1" t="str">
        <f>VLOOKUP(Salesdta[[#This Row],[Customer_ID]],Customer_Data_[],8,TRUE)</f>
        <v>North Carolina</v>
      </c>
      <c r="G469" s="1" t="s">
        <v>1628</v>
      </c>
      <c r="H469" s="1" t="str">
        <f>VLOOKUP(Salesdta[[#This Row],[Product_ID]],Product_Data_1[],2,TRUE)</f>
        <v>Smart Home WiFi Camera</v>
      </c>
      <c r="I469" s="1" t="str">
        <f>VLOOKUP(Salesdta[[#This Row],[Product_ID]],Product_Data_1[],3,TRUE)</f>
        <v>Electronics</v>
      </c>
      <c r="J469" s="1">
        <f>VLOOKUP(Salesdta[[#This Row],[Product_ID]],Product_Data_1[],7,TRUE)</f>
        <v>451</v>
      </c>
      <c r="K469" s="1" t="s">
        <v>1803</v>
      </c>
      <c r="L469" s="1" t="str">
        <f>VLOOKUP(Salesdta[[#This Row],[Store_ID]],Store_Data_1[],3,TRUE)</f>
        <v>North</v>
      </c>
      <c r="M469" s="1">
        <v>1</v>
      </c>
      <c r="N469" s="1">
        <v>361</v>
      </c>
      <c r="O469" s="12">
        <v>0.06</v>
      </c>
      <c r="P469" s="1" t="s">
        <v>1819</v>
      </c>
      <c r="Q469" s="1">
        <v>339</v>
      </c>
      <c r="R469" s="1">
        <f>Salesdta[[#This Row],[Final Revenue]]-Salesdta[[#This Row],[Product cost]]</f>
        <v>-112</v>
      </c>
      <c r="S469" s="1" t="str">
        <f>IF(Salesdta[[#This Row],[Final Revenue]]&gt;1000,"Selected","Not Selected")</f>
        <v>Not Selected</v>
      </c>
    </row>
    <row r="470" spans="1:19" x14ac:dyDescent="0.35">
      <c r="A470" s="6" t="s">
        <v>2287</v>
      </c>
      <c r="B470" s="20">
        <v>45830</v>
      </c>
      <c r="C470" s="1" t="str">
        <f>TEXT(Salesdta[[#This Row],[Order_Date]],"mmmm")</f>
        <v>June</v>
      </c>
      <c r="D470" s="1" t="s">
        <v>573</v>
      </c>
      <c r="E470" s="1" t="str">
        <f>VLOOKUP(Salesdta[[#This Row],[Customer_ID]],Customer_Data_[],6,TRUE)</f>
        <v>Female</v>
      </c>
      <c r="F470" s="1" t="str">
        <f>VLOOKUP(Salesdta[[#This Row],[Customer_ID]],Customer_Data_[],8,TRUE)</f>
        <v>Vermont</v>
      </c>
      <c r="G470" s="1" t="s">
        <v>1716</v>
      </c>
      <c r="H470" s="1" t="str">
        <f>VLOOKUP(Salesdta[[#This Row],[Product_ID]],Product_Data_1[],2,TRUE)</f>
        <v>Kitchen Cutting Board</v>
      </c>
      <c r="I470" s="1" t="str">
        <f>VLOOKUP(Salesdta[[#This Row],[Product_ID]],Product_Data_1[],3,TRUE)</f>
        <v>Home</v>
      </c>
      <c r="J470" s="1">
        <f>VLOOKUP(Salesdta[[#This Row],[Product_ID]],Product_Data_1[],7,TRUE)</f>
        <v>176</v>
      </c>
      <c r="K470" s="1" t="s">
        <v>1785</v>
      </c>
      <c r="L470" s="1" t="str">
        <f>VLOOKUP(Salesdta[[#This Row],[Store_ID]],Store_Data_1[],3,TRUE)</f>
        <v>North</v>
      </c>
      <c r="M470" s="1">
        <v>2</v>
      </c>
      <c r="N470" s="1">
        <v>611</v>
      </c>
      <c r="O470" s="12">
        <v>0.22</v>
      </c>
      <c r="P470" s="1" t="s">
        <v>1817</v>
      </c>
      <c r="Q470" s="1">
        <v>954</v>
      </c>
      <c r="R470" s="1">
        <f>Salesdta[[#This Row],[Final Revenue]]-Salesdta[[#This Row],[Product cost]]</f>
        <v>778</v>
      </c>
      <c r="S470" s="1" t="str">
        <f>IF(Salesdta[[#This Row],[Final Revenue]]&gt;1000,"Selected","Not Selected")</f>
        <v>Not Selected</v>
      </c>
    </row>
    <row r="471" spans="1:19" x14ac:dyDescent="0.35">
      <c r="A471" s="6" t="s">
        <v>2288</v>
      </c>
      <c r="B471" s="20">
        <v>45322</v>
      </c>
      <c r="C471" s="1" t="str">
        <f>TEXT(Salesdta[[#This Row],[Order_Date]],"mmmm")</f>
        <v>January</v>
      </c>
      <c r="D471" s="1" t="s">
        <v>920</v>
      </c>
      <c r="E471" s="1" t="str">
        <f>VLOOKUP(Salesdta[[#This Row],[Customer_ID]],Customer_Data_[],6,TRUE)</f>
        <v>Female</v>
      </c>
      <c r="F471" s="1" t="str">
        <f>VLOOKUP(Salesdta[[#This Row],[Customer_ID]],Customer_Data_[],8,TRUE)</f>
        <v>Missouri</v>
      </c>
      <c r="G471" s="1" t="s">
        <v>1730</v>
      </c>
      <c r="H471" s="1" t="str">
        <f>VLOOKUP(Salesdta[[#This Row],[Product_ID]],Product_Data_1[],2,TRUE)</f>
        <v>USB-C Laptop Charger</v>
      </c>
      <c r="I471" s="1" t="str">
        <f>VLOOKUP(Salesdta[[#This Row],[Product_ID]],Product_Data_1[],3,TRUE)</f>
        <v>Electronics</v>
      </c>
      <c r="J471" s="1">
        <f>VLOOKUP(Salesdta[[#This Row],[Product_ID]],Product_Data_1[],7,TRUE)</f>
        <v>378</v>
      </c>
      <c r="K471" s="1" t="s">
        <v>1775</v>
      </c>
      <c r="L471" s="1" t="str">
        <f>VLOOKUP(Salesdta[[#This Row],[Store_ID]],Store_Data_1[],3,TRUE)</f>
        <v>South</v>
      </c>
      <c r="M471" s="1">
        <v>2</v>
      </c>
      <c r="N471" s="1">
        <v>846</v>
      </c>
      <c r="O471" s="12">
        <v>0.1</v>
      </c>
      <c r="P471" s="1" t="s">
        <v>1822</v>
      </c>
      <c r="Q471" s="1">
        <v>1523</v>
      </c>
      <c r="R471" s="1">
        <f>Salesdta[[#This Row],[Final Revenue]]-Salesdta[[#This Row],[Product cost]]</f>
        <v>1145</v>
      </c>
      <c r="S471" s="1" t="str">
        <f>IF(Salesdta[[#This Row],[Final Revenue]]&gt;1000,"Selected","Not Selected")</f>
        <v>Selected</v>
      </c>
    </row>
    <row r="472" spans="1:19" x14ac:dyDescent="0.35">
      <c r="A472" s="6" t="s">
        <v>2289</v>
      </c>
      <c r="B472" s="20">
        <v>45539</v>
      </c>
      <c r="C472" s="1" t="str">
        <f>TEXT(Salesdta[[#This Row],[Order_Date]],"mmmm")</f>
        <v>September</v>
      </c>
      <c r="D472" s="1" t="s">
        <v>821</v>
      </c>
      <c r="E472" s="1" t="str">
        <f>VLOOKUP(Salesdta[[#This Row],[Customer_ID]],Customer_Data_[],6,TRUE)</f>
        <v>Female</v>
      </c>
      <c r="F472" s="1" t="str">
        <f>VLOOKUP(Salesdta[[#This Row],[Customer_ID]],Customer_Data_[],8,TRUE)</f>
        <v>Texas</v>
      </c>
      <c r="G472" s="1" t="s">
        <v>1720</v>
      </c>
      <c r="H472" s="1" t="str">
        <f>VLOOKUP(Salesdta[[#This Row],[Product_ID]],Product_Data_1[],2,TRUE)</f>
        <v>Sports Wrist Sweatbands</v>
      </c>
      <c r="I472" s="1" t="str">
        <f>VLOOKUP(Salesdta[[#This Row],[Product_ID]],Product_Data_1[],3,TRUE)</f>
        <v>Sports</v>
      </c>
      <c r="J472" s="1">
        <f>VLOOKUP(Salesdta[[#This Row],[Product_ID]],Product_Data_1[],7,TRUE)</f>
        <v>131</v>
      </c>
      <c r="K472" s="1" t="s">
        <v>1795</v>
      </c>
      <c r="L472" s="1" t="str">
        <f>VLOOKUP(Salesdta[[#This Row],[Store_ID]],Store_Data_1[],3,TRUE)</f>
        <v>North</v>
      </c>
      <c r="M472" s="1">
        <v>4</v>
      </c>
      <c r="N472" s="1">
        <v>450</v>
      </c>
      <c r="O472" s="12">
        <v>0.08</v>
      </c>
      <c r="P472" s="1" t="s">
        <v>1822</v>
      </c>
      <c r="Q472" s="1">
        <v>1658</v>
      </c>
      <c r="R472" s="1">
        <f>Salesdta[[#This Row],[Final Revenue]]-Salesdta[[#This Row],[Product cost]]</f>
        <v>1527</v>
      </c>
      <c r="S472" s="1" t="str">
        <f>IF(Salesdta[[#This Row],[Final Revenue]]&gt;1000,"Selected","Not Selected")</f>
        <v>Selected</v>
      </c>
    </row>
    <row r="473" spans="1:19" x14ac:dyDescent="0.35">
      <c r="A473" s="6" t="s">
        <v>2290</v>
      </c>
      <c r="B473" s="20">
        <v>45763</v>
      </c>
      <c r="C473" s="1" t="str">
        <f>TEXT(Salesdta[[#This Row],[Order_Date]],"mmmm")</f>
        <v>April</v>
      </c>
      <c r="D473" s="1" t="s">
        <v>755</v>
      </c>
      <c r="E473" s="1" t="str">
        <f>VLOOKUP(Salesdta[[#This Row],[Customer_ID]],Customer_Data_[],6,TRUE)</f>
        <v>Female</v>
      </c>
      <c r="F473" s="1" t="str">
        <f>VLOOKUP(Salesdta[[#This Row],[Customer_ID]],Customer_Data_[],8,TRUE)</f>
        <v>Virginia</v>
      </c>
      <c r="G473" s="1" t="s">
        <v>1576</v>
      </c>
      <c r="H473" s="1" t="str">
        <f>VLOOKUP(Salesdta[[#This Row],[Product_ID]],Product_Data_1[],2,TRUE)</f>
        <v>Beard Grooming Kit</v>
      </c>
      <c r="I473" s="1" t="str">
        <f>VLOOKUP(Salesdta[[#This Row],[Product_ID]],Product_Data_1[],3,TRUE)</f>
        <v>Beauty</v>
      </c>
      <c r="J473" s="1">
        <f>VLOOKUP(Salesdta[[#This Row],[Product_ID]],Product_Data_1[],7,TRUE)</f>
        <v>337</v>
      </c>
      <c r="K473" s="1" t="s">
        <v>1795</v>
      </c>
      <c r="L473" s="1" t="str">
        <f>VLOOKUP(Salesdta[[#This Row],[Store_ID]],Store_Data_1[],3,TRUE)</f>
        <v>North</v>
      </c>
      <c r="M473" s="1">
        <v>4</v>
      </c>
      <c r="N473" s="1">
        <v>761</v>
      </c>
      <c r="O473" s="12">
        <v>0.08</v>
      </c>
      <c r="P473" s="1" t="s">
        <v>1817</v>
      </c>
      <c r="Q473" s="1">
        <v>2802</v>
      </c>
      <c r="R473" s="1">
        <f>Salesdta[[#This Row],[Final Revenue]]-Salesdta[[#This Row],[Product cost]]</f>
        <v>2465</v>
      </c>
      <c r="S473" s="1" t="str">
        <f>IF(Salesdta[[#This Row],[Final Revenue]]&gt;1000,"Selected","Not Selected")</f>
        <v>Selected</v>
      </c>
    </row>
    <row r="474" spans="1:19" x14ac:dyDescent="0.35">
      <c r="A474" s="6" t="s">
        <v>2291</v>
      </c>
      <c r="B474" s="20">
        <v>45943</v>
      </c>
      <c r="C474" s="1" t="str">
        <f>TEXT(Salesdta[[#This Row],[Order_Date]],"mmmm")</f>
        <v>October</v>
      </c>
      <c r="D474" s="1" t="s">
        <v>761</v>
      </c>
      <c r="E474" s="1" t="str">
        <f>VLOOKUP(Salesdta[[#This Row],[Customer_ID]],Customer_Data_[],6,TRUE)</f>
        <v>Male</v>
      </c>
      <c r="F474" s="1" t="str">
        <f>VLOOKUP(Salesdta[[#This Row],[Customer_ID]],Customer_Data_[],8,TRUE)</f>
        <v>West Virginia</v>
      </c>
      <c r="G474" s="1" t="s">
        <v>1630</v>
      </c>
      <c r="H474" s="1" t="str">
        <f>VLOOKUP(Salesdta[[#This Row],[Product_ID]],Product_Data_1[],2,TRUE)</f>
        <v>USB External Hard Drive</v>
      </c>
      <c r="I474" s="1" t="str">
        <f>VLOOKUP(Salesdta[[#This Row],[Product_ID]],Product_Data_1[],3,TRUE)</f>
        <v>Electronics</v>
      </c>
      <c r="J474" s="1">
        <f>VLOOKUP(Salesdta[[#This Row],[Product_ID]],Product_Data_1[],7,TRUE)</f>
        <v>253</v>
      </c>
      <c r="K474" s="1" t="s">
        <v>1806</v>
      </c>
      <c r="L474" s="1" t="str">
        <f>VLOOKUP(Salesdta[[#This Row],[Store_ID]],Store_Data_1[],3,TRUE)</f>
        <v>North</v>
      </c>
      <c r="M474" s="1">
        <v>4</v>
      </c>
      <c r="N474" s="1">
        <v>975</v>
      </c>
      <c r="O474" s="12">
        <v>0.04</v>
      </c>
      <c r="P474" s="1" t="s">
        <v>1817</v>
      </c>
      <c r="Q474" s="1">
        <v>3746</v>
      </c>
      <c r="R474" s="1">
        <f>Salesdta[[#This Row],[Final Revenue]]-Salesdta[[#This Row],[Product cost]]</f>
        <v>3493</v>
      </c>
      <c r="S474" s="1" t="str">
        <f>IF(Salesdta[[#This Row],[Final Revenue]]&gt;1000,"Selected","Not Selected")</f>
        <v>Selected</v>
      </c>
    </row>
    <row r="475" spans="1:19" x14ac:dyDescent="0.35">
      <c r="A475" s="6" t="s">
        <v>2292</v>
      </c>
      <c r="B475" s="20">
        <v>45676</v>
      </c>
      <c r="C475" s="1" t="str">
        <f>TEXT(Salesdta[[#This Row],[Order_Date]],"mmmm")</f>
        <v>January</v>
      </c>
      <c r="D475" s="1" t="s">
        <v>727</v>
      </c>
      <c r="E475" s="1" t="str">
        <f>VLOOKUP(Salesdta[[#This Row],[Customer_ID]],Customer_Data_[],6,TRUE)</f>
        <v>Male</v>
      </c>
      <c r="F475" s="1" t="str">
        <f>VLOOKUP(Salesdta[[#This Row],[Customer_ID]],Customer_Data_[],8,TRUE)</f>
        <v>Alaska</v>
      </c>
      <c r="G475" s="1" t="s">
        <v>1642</v>
      </c>
      <c r="H475" s="1" t="str">
        <f>VLOOKUP(Salesdta[[#This Row],[Product_ID]],Product_Data_1[],2,TRUE)</f>
        <v>Men's Roll-On Perfume</v>
      </c>
      <c r="I475" s="1" t="str">
        <f>VLOOKUP(Salesdta[[#This Row],[Product_ID]],Product_Data_1[],3,TRUE)</f>
        <v>Beauty</v>
      </c>
      <c r="J475" s="1">
        <f>VLOOKUP(Salesdta[[#This Row],[Product_ID]],Product_Data_1[],7,TRUE)</f>
        <v>43</v>
      </c>
      <c r="K475" s="1" t="s">
        <v>1778</v>
      </c>
      <c r="L475" s="1" t="str">
        <f>VLOOKUP(Salesdta[[#This Row],[Store_ID]],Store_Data_1[],3,TRUE)</f>
        <v>West</v>
      </c>
      <c r="M475" s="1">
        <v>3</v>
      </c>
      <c r="N475" s="1">
        <v>512</v>
      </c>
      <c r="O475" s="12">
        <v>0.12</v>
      </c>
      <c r="P475" s="1" t="s">
        <v>1817</v>
      </c>
      <c r="Q475" s="1">
        <v>1352</v>
      </c>
      <c r="R475" s="1">
        <f>Salesdta[[#This Row],[Final Revenue]]-Salesdta[[#This Row],[Product cost]]</f>
        <v>1309</v>
      </c>
      <c r="S475" s="1" t="str">
        <f>IF(Salesdta[[#This Row],[Final Revenue]]&gt;1000,"Selected","Not Selected")</f>
        <v>Selected</v>
      </c>
    </row>
    <row r="476" spans="1:19" x14ac:dyDescent="0.35">
      <c r="A476" s="6" t="s">
        <v>2293</v>
      </c>
      <c r="B476" s="20">
        <v>45385</v>
      </c>
      <c r="C476" s="1" t="str">
        <f>TEXT(Salesdta[[#This Row],[Order_Date]],"mmmm")</f>
        <v>April</v>
      </c>
      <c r="D476" s="1" t="s">
        <v>1038</v>
      </c>
      <c r="E476" s="1" t="str">
        <f>VLOOKUP(Salesdta[[#This Row],[Customer_ID]],Customer_Data_[],6,TRUE)</f>
        <v>Female</v>
      </c>
      <c r="F476" s="1" t="str">
        <f>VLOOKUP(Salesdta[[#This Row],[Customer_ID]],Customer_Data_[],8,TRUE)</f>
        <v>Montana</v>
      </c>
      <c r="G476" s="1" t="s">
        <v>1549</v>
      </c>
      <c r="H476" s="1" t="str">
        <f>VLOOKUP(Salesdta[[#This Row],[Product_ID]],Product_Data_1[],2,TRUE)</f>
        <v>Portable Power Bank</v>
      </c>
      <c r="I476" s="1" t="str">
        <f>VLOOKUP(Salesdta[[#This Row],[Product_ID]],Product_Data_1[],3,TRUE)</f>
        <v>Electronics</v>
      </c>
      <c r="J476" s="1">
        <f>VLOOKUP(Salesdta[[#This Row],[Product_ID]],Product_Data_1[],7,TRUE)</f>
        <v>326</v>
      </c>
      <c r="K476" s="1" t="s">
        <v>1762</v>
      </c>
      <c r="L476" s="1" t="str">
        <f>VLOOKUP(Salesdta[[#This Row],[Store_ID]],Store_Data_1[],3,TRUE)</f>
        <v>North</v>
      </c>
      <c r="M476" s="1">
        <v>3</v>
      </c>
      <c r="N476" s="1">
        <v>698</v>
      </c>
      <c r="O476" s="12">
        <v>0.04</v>
      </c>
      <c r="P476" s="1" t="s">
        <v>1819</v>
      </c>
      <c r="Q476" s="1">
        <v>2011</v>
      </c>
      <c r="R476" s="1">
        <f>Salesdta[[#This Row],[Final Revenue]]-Salesdta[[#This Row],[Product cost]]</f>
        <v>1685</v>
      </c>
      <c r="S476" s="1" t="str">
        <f>IF(Salesdta[[#This Row],[Final Revenue]]&gt;1000,"Selected","Not Selected")</f>
        <v>Selected</v>
      </c>
    </row>
    <row r="477" spans="1:19" x14ac:dyDescent="0.35">
      <c r="A477" s="6" t="s">
        <v>2294</v>
      </c>
      <c r="B477" s="20">
        <v>45691</v>
      </c>
      <c r="C477" s="1" t="str">
        <f>TEXT(Salesdta[[#This Row],[Order_Date]],"mmmm")</f>
        <v>February</v>
      </c>
      <c r="D477" s="1" t="s">
        <v>797</v>
      </c>
      <c r="E477" s="1" t="str">
        <f>VLOOKUP(Salesdta[[#This Row],[Customer_ID]],Customer_Data_[],6,TRUE)</f>
        <v>Male</v>
      </c>
      <c r="F477" s="1" t="str">
        <f>VLOOKUP(Salesdta[[#This Row],[Customer_ID]],Customer_Data_[],8,TRUE)</f>
        <v>Delaware</v>
      </c>
      <c r="G477" s="1" t="s">
        <v>1654</v>
      </c>
      <c r="H477" s="1" t="str">
        <f>VLOOKUP(Salesdta[[#This Row],[Product_ID]],Product_Data_1[],2,TRUE)</f>
        <v>Ceramic Plant Pot</v>
      </c>
      <c r="I477" s="1" t="str">
        <f>VLOOKUP(Salesdta[[#This Row],[Product_ID]],Product_Data_1[],3,TRUE)</f>
        <v>Home</v>
      </c>
      <c r="J477" s="1">
        <f>VLOOKUP(Salesdta[[#This Row],[Product_ID]],Product_Data_1[],7,TRUE)</f>
        <v>82</v>
      </c>
      <c r="K477" s="1" t="s">
        <v>1793</v>
      </c>
      <c r="L477" s="1" t="str">
        <f>VLOOKUP(Salesdta[[#This Row],[Store_ID]],Store_Data_1[],3,TRUE)</f>
        <v>North</v>
      </c>
      <c r="M477" s="1">
        <v>1</v>
      </c>
      <c r="N477" s="1">
        <v>171</v>
      </c>
      <c r="O477" s="12">
        <v>0.13</v>
      </c>
      <c r="P477" s="1" t="s">
        <v>1819</v>
      </c>
      <c r="Q477" s="1">
        <v>148</v>
      </c>
      <c r="R477" s="1">
        <f>Salesdta[[#This Row],[Final Revenue]]-Salesdta[[#This Row],[Product cost]]</f>
        <v>66</v>
      </c>
      <c r="S477" s="1" t="str">
        <f>IF(Salesdta[[#This Row],[Final Revenue]]&gt;1000,"Selected","Not Selected")</f>
        <v>Not Selected</v>
      </c>
    </row>
    <row r="478" spans="1:19" x14ac:dyDescent="0.35">
      <c r="A478" s="6" t="s">
        <v>2295</v>
      </c>
      <c r="B478" s="20">
        <v>45936</v>
      </c>
      <c r="C478" s="1" t="str">
        <f>TEXT(Salesdta[[#This Row],[Order_Date]],"mmmm")</f>
        <v>October</v>
      </c>
      <c r="D478" s="1" t="s">
        <v>372</v>
      </c>
      <c r="E478" s="1" t="str">
        <f>VLOOKUP(Salesdta[[#This Row],[Customer_ID]],Customer_Data_[],6,TRUE)</f>
        <v>Female</v>
      </c>
      <c r="F478" s="1" t="str">
        <f>VLOOKUP(Salesdta[[#This Row],[Customer_ID]],Customer_Data_[],8,TRUE)</f>
        <v>Rhode Island</v>
      </c>
      <c r="G478" s="1" t="s">
        <v>1674</v>
      </c>
      <c r="H478" s="1" t="str">
        <f>VLOOKUP(Salesdta[[#This Row],[Product_ID]],Product_Data_1[],2,TRUE)</f>
        <v>Adjustable Dumbbells 20kg</v>
      </c>
      <c r="I478" s="1" t="str">
        <f>VLOOKUP(Salesdta[[#This Row],[Product_ID]],Product_Data_1[],3,TRUE)</f>
        <v>Sports</v>
      </c>
      <c r="J478" s="1">
        <f>VLOOKUP(Salesdta[[#This Row],[Product_ID]],Product_Data_1[],7,TRUE)</f>
        <v>241</v>
      </c>
      <c r="K478" s="1" t="s">
        <v>1800</v>
      </c>
      <c r="L478" s="1" t="str">
        <f>VLOOKUP(Salesdta[[#This Row],[Store_ID]],Store_Data_1[],3,TRUE)</f>
        <v>North</v>
      </c>
      <c r="M478" s="1">
        <v>3</v>
      </c>
      <c r="N478" s="1">
        <v>578</v>
      </c>
      <c r="O478" s="12">
        <v>0.06</v>
      </c>
      <c r="P478" s="1" t="s">
        <v>1822</v>
      </c>
      <c r="Q478" s="1">
        <v>1631</v>
      </c>
      <c r="R478" s="1">
        <f>Salesdta[[#This Row],[Final Revenue]]-Salesdta[[#This Row],[Product cost]]</f>
        <v>1390</v>
      </c>
      <c r="S478" s="1" t="str">
        <f>IF(Salesdta[[#This Row],[Final Revenue]]&gt;1000,"Selected","Not Selected")</f>
        <v>Selected</v>
      </c>
    </row>
    <row r="479" spans="1:19" x14ac:dyDescent="0.35">
      <c r="A479" s="6" t="s">
        <v>2296</v>
      </c>
      <c r="B479" s="20">
        <v>45926</v>
      </c>
      <c r="C479" s="1" t="str">
        <f>TEXT(Salesdta[[#This Row],[Order_Date]],"mmmm")</f>
        <v>September</v>
      </c>
      <c r="D479" s="1" t="s">
        <v>672</v>
      </c>
      <c r="E479" s="1" t="str">
        <f>VLOOKUP(Salesdta[[#This Row],[Customer_ID]],Customer_Data_[],6,TRUE)</f>
        <v>Female</v>
      </c>
      <c r="F479" s="1" t="str">
        <f>VLOOKUP(Salesdta[[#This Row],[Customer_ID]],Customer_Data_[],8,TRUE)</f>
        <v>New Jersey</v>
      </c>
      <c r="G479" s="1" t="s">
        <v>1736</v>
      </c>
      <c r="H479" s="1" t="str">
        <f>VLOOKUP(Salesdta[[#This Row],[Product_ID]],Product_Data_1[],2,TRUE)</f>
        <v>Women's Formal Blazer</v>
      </c>
      <c r="I479" s="1" t="str">
        <f>VLOOKUP(Salesdta[[#This Row],[Product_ID]],Product_Data_1[],3,TRUE)</f>
        <v>Clothing</v>
      </c>
      <c r="J479" s="1">
        <f>VLOOKUP(Salesdta[[#This Row],[Product_ID]],Product_Data_1[],7,TRUE)</f>
        <v>358</v>
      </c>
      <c r="K479" s="1" t="s">
        <v>1762</v>
      </c>
      <c r="L479" s="1" t="str">
        <f>VLOOKUP(Salesdta[[#This Row],[Store_ID]],Store_Data_1[],3,TRUE)</f>
        <v>North</v>
      </c>
      <c r="M479" s="1">
        <v>2</v>
      </c>
      <c r="N479" s="1">
        <v>645</v>
      </c>
      <c r="O479" s="12">
        <v>0.24</v>
      </c>
      <c r="P479" s="1" t="s">
        <v>1822</v>
      </c>
      <c r="Q479" s="1">
        <v>980</v>
      </c>
      <c r="R479" s="1">
        <f>Salesdta[[#This Row],[Final Revenue]]-Salesdta[[#This Row],[Product cost]]</f>
        <v>622</v>
      </c>
      <c r="S479" s="1" t="str">
        <f>IF(Salesdta[[#This Row],[Final Revenue]]&gt;1000,"Selected","Not Selected")</f>
        <v>Not Selected</v>
      </c>
    </row>
    <row r="480" spans="1:19" x14ac:dyDescent="0.35">
      <c r="A480" s="6" t="s">
        <v>2297</v>
      </c>
      <c r="B480" s="20">
        <v>45434</v>
      </c>
      <c r="C480" s="1" t="str">
        <f>TEXT(Salesdta[[#This Row],[Order_Date]],"mmmm")</f>
        <v>May</v>
      </c>
      <c r="D480" s="1" t="s">
        <v>702</v>
      </c>
      <c r="E480" s="1" t="str">
        <f>VLOOKUP(Salesdta[[#This Row],[Customer_ID]],Customer_Data_[],6,TRUE)</f>
        <v>Male</v>
      </c>
      <c r="F480" s="1" t="str">
        <f>VLOOKUP(Salesdta[[#This Row],[Customer_ID]],Customer_Data_[],8,TRUE)</f>
        <v>Missouri</v>
      </c>
      <c r="G480" s="1" t="s">
        <v>1630</v>
      </c>
      <c r="H480" s="1" t="str">
        <f>VLOOKUP(Salesdta[[#This Row],[Product_ID]],Product_Data_1[],2,TRUE)</f>
        <v>USB External Hard Drive</v>
      </c>
      <c r="I480" s="1" t="str">
        <f>VLOOKUP(Salesdta[[#This Row],[Product_ID]],Product_Data_1[],3,TRUE)</f>
        <v>Electronics</v>
      </c>
      <c r="J480" s="1">
        <f>VLOOKUP(Salesdta[[#This Row],[Product_ID]],Product_Data_1[],7,TRUE)</f>
        <v>253</v>
      </c>
      <c r="K480" s="1" t="s">
        <v>1809</v>
      </c>
      <c r="L480" s="1" t="str">
        <f>VLOOKUP(Salesdta[[#This Row],[Store_ID]],Store_Data_1[],3,TRUE)</f>
        <v>North</v>
      </c>
      <c r="M480" s="1">
        <v>1</v>
      </c>
      <c r="N480" s="1">
        <v>662</v>
      </c>
      <c r="O480" s="12">
        <v>0.03</v>
      </c>
      <c r="P480" s="1" t="s">
        <v>1819</v>
      </c>
      <c r="Q480" s="1">
        <v>642</v>
      </c>
      <c r="R480" s="1">
        <f>Salesdta[[#This Row],[Final Revenue]]-Salesdta[[#This Row],[Product cost]]</f>
        <v>389</v>
      </c>
      <c r="S480" s="1" t="str">
        <f>IF(Salesdta[[#This Row],[Final Revenue]]&gt;1000,"Selected","Not Selected")</f>
        <v>Not Selected</v>
      </c>
    </row>
    <row r="481" spans="1:19" x14ac:dyDescent="0.35">
      <c r="A481" s="6" t="s">
        <v>2298</v>
      </c>
      <c r="B481" s="20">
        <v>45902</v>
      </c>
      <c r="C481" s="1" t="str">
        <f>TEXT(Salesdta[[#This Row],[Order_Date]],"mmmm")</f>
        <v>September</v>
      </c>
      <c r="D481" s="1" t="s">
        <v>999</v>
      </c>
      <c r="E481" s="1" t="str">
        <f>VLOOKUP(Salesdta[[#This Row],[Customer_ID]],Customer_Data_[],6,TRUE)</f>
        <v>Male</v>
      </c>
      <c r="F481" s="1" t="str">
        <f>VLOOKUP(Salesdta[[#This Row],[Customer_ID]],Customer_Data_[],8,TRUE)</f>
        <v>Kansas</v>
      </c>
      <c r="G481" s="1" t="s">
        <v>1700</v>
      </c>
      <c r="H481" s="1" t="str">
        <f>VLOOKUP(Salesdta[[#This Row],[Product_ID]],Product_Data_1[],2,TRUE)</f>
        <v>Essential Oil Diffuser</v>
      </c>
      <c r="I481" s="1" t="str">
        <f>VLOOKUP(Salesdta[[#This Row],[Product_ID]],Product_Data_1[],3,TRUE)</f>
        <v>Home</v>
      </c>
      <c r="J481" s="1">
        <f>VLOOKUP(Salesdta[[#This Row],[Product_ID]],Product_Data_1[],7,TRUE)</f>
        <v>325</v>
      </c>
      <c r="K481" s="1" t="s">
        <v>1769</v>
      </c>
      <c r="L481" s="1" t="str">
        <f>VLOOKUP(Salesdta[[#This Row],[Store_ID]],Store_Data_1[],3,TRUE)</f>
        <v>North</v>
      </c>
      <c r="M481" s="1">
        <v>2</v>
      </c>
      <c r="N481" s="1">
        <v>480</v>
      </c>
      <c r="O481" s="12">
        <v>0.21</v>
      </c>
      <c r="P481" s="1" t="s">
        <v>1819</v>
      </c>
      <c r="Q481" s="1">
        <v>758</v>
      </c>
      <c r="R481" s="1">
        <f>Salesdta[[#This Row],[Final Revenue]]-Salesdta[[#This Row],[Product cost]]</f>
        <v>433</v>
      </c>
      <c r="S481" s="1" t="str">
        <f>IF(Salesdta[[#This Row],[Final Revenue]]&gt;1000,"Selected","Not Selected")</f>
        <v>Not Selected</v>
      </c>
    </row>
    <row r="482" spans="1:19" x14ac:dyDescent="0.35">
      <c r="A482" s="6" t="s">
        <v>2299</v>
      </c>
      <c r="B482" s="20">
        <v>45807</v>
      </c>
      <c r="C482" s="1" t="str">
        <f>TEXT(Salesdta[[#This Row],[Order_Date]],"mmmm")</f>
        <v>May</v>
      </c>
      <c r="D482" s="1" t="s">
        <v>105</v>
      </c>
      <c r="E482" s="1" t="str">
        <f>VLOOKUP(Salesdta[[#This Row],[Customer_ID]],Customer_Data_[],6,TRUE)</f>
        <v>Female</v>
      </c>
      <c r="F482" s="1" t="str">
        <f>VLOOKUP(Salesdta[[#This Row],[Customer_ID]],Customer_Data_[],8,TRUE)</f>
        <v>California</v>
      </c>
      <c r="G482" s="1" t="s">
        <v>1734</v>
      </c>
      <c r="H482" s="1" t="str">
        <f>VLOOKUP(Salesdta[[#This Row],[Product_ID]],Product_Data_1[],2,TRUE)</f>
        <v>Sports Stopwatch Basic</v>
      </c>
      <c r="I482" s="1" t="str">
        <f>VLOOKUP(Salesdta[[#This Row],[Product_ID]],Product_Data_1[],3,TRUE)</f>
        <v>Sports</v>
      </c>
      <c r="J482" s="1">
        <f>VLOOKUP(Salesdta[[#This Row],[Product_ID]],Product_Data_1[],7,TRUE)</f>
        <v>61</v>
      </c>
      <c r="K482" s="1" t="s">
        <v>1785</v>
      </c>
      <c r="L482" s="1" t="str">
        <f>VLOOKUP(Salesdta[[#This Row],[Store_ID]],Store_Data_1[],3,TRUE)</f>
        <v>North</v>
      </c>
      <c r="M482" s="1">
        <v>1</v>
      </c>
      <c r="N482" s="1">
        <v>750</v>
      </c>
      <c r="O482" s="12">
        <v>0.03</v>
      </c>
      <c r="P482" s="1" t="s">
        <v>1817</v>
      </c>
      <c r="Q482" s="1">
        <v>727</v>
      </c>
      <c r="R482" s="1">
        <f>Salesdta[[#This Row],[Final Revenue]]-Salesdta[[#This Row],[Product cost]]</f>
        <v>666</v>
      </c>
      <c r="S482" s="1" t="str">
        <f>IF(Salesdta[[#This Row],[Final Revenue]]&gt;1000,"Selected","Not Selected")</f>
        <v>Not Selected</v>
      </c>
    </row>
    <row r="483" spans="1:19" x14ac:dyDescent="0.35">
      <c r="A483" s="6" t="s">
        <v>2300</v>
      </c>
      <c r="B483" s="20">
        <v>45546</v>
      </c>
      <c r="C483" s="1" t="str">
        <f>TEXT(Salesdta[[#This Row],[Order_Date]],"mmmm")</f>
        <v>September</v>
      </c>
      <c r="D483" s="1" t="s">
        <v>268</v>
      </c>
      <c r="E483" s="1" t="str">
        <f>VLOOKUP(Salesdta[[#This Row],[Customer_ID]],Customer_Data_[],6,TRUE)</f>
        <v>Male</v>
      </c>
      <c r="F483" s="1" t="str">
        <f>VLOOKUP(Salesdta[[#This Row],[Customer_ID]],Customer_Data_[],8,TRUE)</f>
        <v>Colorado</v>
      </c>
      <c r="G483" s="1" t="s">
        <v>1710</v>
      </c>
      <c r="H483" s="1" t="str">
        <f>VLOOKUP(Salesdta[[#This Row],[Product_ID]],Product_Data_1[],2,TRUE)</f>
        <v>Hydrating Face Cleanser</v>
      </c>
      <c r="I483" s="1" t="str">
        <f>VLOOKUP(Salesdta[[#This Row],[Product_ID]],Product_Data_1[],3,TRUE)</f>
        <v>Beauty</v>
      </c>
      <c r="J483" s="1">
        <f>VLOOKUP(Salesdta[[#This Row],[Product_ID]],Product_Data_1[],7,TRUE)</f>
        <v>254</v>
      </c>
      <c r="K483" s="1" t="s">
        <v>1765</v>
      </c>
      <c r="L483" s="1" t="str">
        <f>VLOOKUP(Salesdta[[#This Row],[Store_ID]],Store_Data_1[],3,TRUE)</f>
        <v>South</v>
      </c>
      <c r="M483" s="1">
        <v>2</v>
      </c>
      <c r="N483" s="1">
        <v>899</v>
      </c>
      <c r="O483" s="12">
        <v>0.25</v>
      </c>
      <c r="P483" s="1" t="s">
        <v>1817</v>
      </c>
      <c r="Q483" s="1">
        <v>1348</v>
      </c>
      <c r="R483" s="1">
        <f>Salesdta[[#This Row],[Final Revenue]]-Salesdta[[#This Row],[Product cost]]</f>
        <v>1094</v>
      </c>
      <c r="S483" s="1" t="str">
        <f>IF(Salesdta[[#This Row],[Final Revenue]]&gt;1000,"Selected","Not Selected")</f>
        <v>Selected</v>
      </c>
    </row>
    <row r="484" spans="1:19" x14ac:dyDescent="0.35">
      <c r="A484" s="6" t="s">
        <v>2301</v>
      </c>
      <c r="B484" s="20">
        <v>45301</v>
      </c>
      <c r="C484" s="1" t="str">
        <f>TEXT(Salesdta[[#This Row],[Order_Date]],"mmmm")</f>
        <v>January</v>
      </c>
      <c r="D484" s="1" t="s">
        <v>969</v>
      </c>
      <c r="E484" s="1" t="str">
        <f>VLOOKUP(Salesdta[[#This Row],[Customer_ID]],Customer_Data_[],6,TRUE)</f>
        <v>Female</v>
      </c>
      <c r="F484" s="1" t="str">
        <f>VLOOKUP(Salesdta[[#This Row],[Customer_ID]],Customer_Data_[],8,TRUE)</f>
        <v>Iowa</v>
      </c>
      <c r="G484" s="1" t="s">
        <v>1572</v>
      </c>
      <c r="H484" s="1" t="str">
        <f>VLOOKUP(Salesdta[[#This Row],[Product_ID]],Product_Data_1[],2,TRUE)</f>
        <v>Decorative Wall Mirror</v>
      </c>
      <c r="I484" s="1" t="str">
        <f>VLOOKUP(Salesdta[[#This Row],[Product_ID]],Product_Data_1[],3,TRUE)</f>
        <v>Home</v>
      </c>
      <c r="J484" s="1">
        <f>VLOOKUP(Salesdta[[#This Row],[Product_ID]],Product_Data_1[],7,TRUE)</f>
        <v>48</v>
      </c>
      <c r="K484" s="1" t="s">
        <v>1790</v>
      </c>
      <c r="L484" s="1" t="str">
        <f>VLOOKUP(Salesdta[[#This Row],[Store_ID]],Store_Data_1[],3,TRUE)</f>
        <v>North</v>
      </c>
      <c r="M484" s="1">
        <v>2</v>
      </c>
      <c r="N484" s="1">
        <v>403</v>
      </c>
      <c r="O484" s="12">
        <v>0.21</v>
      </c>
      <c r="P484" s="1" t="s">
        <v>1819</v>
      </c>
      <c r="Q484" s="1">
        <v>637</v>
      </c>
      <c r="R484" s="1">
        <f>Salesdta[[#This Row],[Final Revenue]]-Salesdta[[#This Row],[Product cost]]</f>
        <v>589</v>
      </c>
      <c r="S484" s="1" t="str">
        <f>IF(Salesdta[[#This Row],[Final Revenue]]&gt;1000,"Selected","Not Selected")</f>
        <v>Not Selected</v>
      </c>
    </row>
    <row r="485" spans="1:19" x14ac:dyDescent="0.35">
      <c r="A485" s="6" t="s">
        <v>2302</v>
      </c>
      <c r="B485" s="20">
        <v>45669</v>
      </c>
      <c r="C485" s="1" t="str">
        <f>TEXT(Salesdta[[#This Row],[Order_Date]],"mmmm")</f>
        <v>January</v>
      </c>
      <c r="D485" s="1" t="s">
        <v>449</v>
      </c>
      <c r="E485" s="1" t="str">
        <f>VLOOKUP(Salesdta[[#This Row],[Customer_ID]],Customer_Data_[],6,TRUE)</f>
        <v>Female</v>
      </c>
      <c r="F485" s="1" t="str">
        <f>VLOOKUP(Salesdta[[#This Row],[Customer_ID]],Customer_Data_[],8,TRUE)</f>
        <v>Ohio</v>
      </c>
      <c r="G485" s="1" t="s">
        <v>1638</v>
      </c>
      <c r="H485" s="1" t="str">
        <f>VLOOKUP(Salesdta[[#This Row],[Product_ID]],Product_Data_1[],2,TRUE)</f>
        <v>Makeup Brush Set</v>
      </c>
      <c r="I485" s="1" t="str">
        <f>VLOOKUP(Salesdta[[#This Row],[Product_ID]],Product_Data_1[],3,TRUE)</f>
        <v>Beauty</v>
      </c>
      <c r="J485" s="1">
        <f>VLOOKUP(Salesdta[[#This Row],[Product_ID]],Product_Data_1[],7,TRUE)</f>
        <v>254</v>
      </c>
      <c r="K485" s="1" t="s">
        <v>1748</v>
      </c>
      <c r="L485" s="1" t="str">
        <f>VLOOKUP(Salesdta[[#This Row],[Store_ID]],Store_Data_1[],3,TRUE)</f>
        <v>East</v>
      </c>
      <c r="M485" s="1">
        <v>4</v>
      </c>
      <c r="N485" s="1">
        <v>92</v>
      </c>
      <c r="O485" s="12">
        <v>0.15</v>
      </c>
      <c r="P485" s="1" t="s">
        <v>1817</v>
      </c>
      <c r="Q485" s="1">
        <v>314</v>
      </c>
      <c r="R485" s="1">
        <f>Salesdta[[#This Row],[Final Revenue]]-Salesdta[[#This Row],[Product cost]]</f>
        <v>60</v>
      </c>
      <c r="S485" s="1" t="str">
        <f>IF(Salesdta[[#This Row],[Final Revenue]]&gt;1000,"Selected","Not Selected")</f>
        <v>Not Selected</v>
      </c>
    </row>
    <row r="486" spans="1:19" x14ac:dyDescent="0.35">
      <c r="A486" s="6" t="s">
        <v>2303</v>
      </c>
      <c r="B486" s="20">
        <v>45735</v>
      </c>
      <c r="C486" s="1" t="str">
        <f>TEXT(Salesdta[[#This Row],[Order_Date]],"mmmm")</f>
        <v>March</v>
      </c>
      <c r="D486" s="1" t="s">
        <v>1415</v>
      </c>
      <c r="E486" s="1" t="str">
        <f>VLOOKUP(Salesdta[[#This Row],[Customer_ID]],Customer_Data_[],6,TRUE)</f>
        <v>Male</v>
      </c>
      <c r="F486" s="1" t="str">
        <f>VLOOKUP(Salesdta[[#This Row],[Customer_ID]],Customer_Data_[],8,TRUE)</f>
        <v>Iowa</v>
      </c>
      <c r="G486" s="1" t="s">
        <v>1574</v>
      </c>
      <c r="H486" s="1" t="str">
        <f>VLOOKUP(Salesdta[[#This Row],[Product_ID]],Product_Data_1[],2,TRUE)</f>
        <v>4K Home Projector</v>
      </c>
      <c r="I486" s="1" t="str">
        <f>VLOOKUP(Salesdta[[#This Row],[Product_ID]],Product_Data_1[],3,TRUE)</f>
        <v>Electronics</v>
      </c>
      <c r="J486" s="1">
        <f>VLOOKUP(Salesdta[[#This Row],[Product_ID]],Product_Data_1[],7,TRUE)</f>
        <v>465</v>
      </c>
      <c r="K486" s="1" t="s">
        <v>1765</v>
      </c>
      <c r="L486" s="1" t="str">
        <f>VLOOKUP(Salesdta[[#This Row],[Store_ID]],Store_Data_1[],3,TRUE)</f>
        <v>South</v>
      </c>
      <c r="M486" s="1">
        <v>3</v>
      </c>
      <c r="N486" s="1">
        <v>471</v>
      </c>
      <c r="O486" s="12">
        <v>0.28000000000000003</v>
      </c>
      <c r="P486" s="1" t="s">
        <v>1822</v>
      </c>
      <c r="Q486" s="1">
        <v>1018</v>
      </c>
      <c r="R486" s="1">
        <f>Salesdta[[#This Row],[Final Revenue]]-Salesdta[[#This Row],[Product cost]]</f>
        <v>553</v>
      </c>
      <c r="S486" s="1" t="str">
        <f>IF(Salesdta[[#This Row],[Final Revenue]]&gt;1000,"Selected","Not Selected")</f>
        <v>Selected</v>
      </c>
    </row>
    <row r="487" spans="1:19" x14ac:dyDescent="0.35">
      <c r="A487" s="6" t="s">
        <v>2304</v>
      </c>
      <c r="B487" s="20">
        <v>45916</v>
      </c>
      <c r="C487" s="1" t="str">
        <f>TEXT(Salesdta[[#This Row],[Order_Date]],"mmmm")</f>
        <v>September</v>
      </c>
      <c r="D487" s="1" t="s">
        <v>1222</v>
      </c>
      <c r="E487" s="1" t="str">
        <f>VLOOKUP(Salesdta[[#This Row],[Customer_ID]],Customer_Data_[],6,TRUE)</f>
        <v>Male</v>
      </c>
      <c r="F487" s="1" t="str">
        <f>VLOOKUP(Salesdta[[#This Row],[Customer_ID]],Customer_Data_[],8,TRUE)</f>
        <v>Utah</v>
      </c>
      <c r="G487" s="1" t="s">
        <v>1704</v>
      </c>
      <c r="H487" s="1" t="str">
        <f>VLOOKUP(Salesdta[[#This Row],[Product_ID]],Product_Data_1[],2,TRUE)</f>
        <v>Wall-Mounted Spice Rack</v>
      </c>
      <c r="I487" s="1" t="str">
        <f>VLOOKUP(Salesdta[[#This Row],[Product_ID]],Product_Data_1[],3,TRUE)</f>
        <v>Home</v>
      </c>
      <c r="J487" s="1">
        <f>VLOOKUP(Salesdta[[#This Row],[Product_ID]],Product_Data_1[],7,TRUE)</f>
        <v>143</v>
      </c>
      <c r="K487" s="1" t="s">
        <v>1762</v>
      </c>
      <c r="L487" s="1" t="str">
        <f>VLOOKUP(Salesdta[[#This Row],[Store_ID]],Store_Data_1[],3,TRUE)</f>
        <v>North</v>
      </c>
      <c r="M487" s="1">
        <v>4</v>
      </c>
      <c r="N487" s="1">
        <v>984</v>
      </c>
      <c r="O487" s="12">
        <v>0.11</v>
      </c>
      <c r="P487" s="1" t="s">
        <v>1822</v>
      </c>
      <c r="Q487" s="1">
        <v>3503</v>
      </c>
      <c r="R487" s="1">
        <f>Salesdta[[#This Row],[Final Revenue]]-Salesdta[[#This Row],[Product cost]]</f>
        <v>3360</v>
      </c>
      <c r="S487" s="1" t="str">
        <f>IF(Salesdta[[#This Row],[Final Revenue]]&gt;1000,"Selected","Not Selected")</f>
        <v>Selected</v>
      </c>
    </row>
    <row r="488" spans="1:19" x14ac:dyDescent="0.35">
      <c r="A488" s="6" t="s">
        <v>2305</v>
      </c>
      <c r="B488" s="20">
        <v>45736</v>
      </c>
      <c r="C488" s="1" t="str">
        <f>TEXT(Salesdta[[#This Row],[Order_Date]],"mmmm")</f>
        <v>March</v>
      </c>
      <c r="D488" s="1" t="s">
        <v>914</v>
      </c>
      <c r="E488" s="1" t="str">
        <f>VLOOKUP(Salesdta[[#This Row],[Customer_ID]],Customer_Data_[],6,TRUE)</f>
        <v>Male</v>
      </c>
      <c r="F488" s="1" t="str">
        <f>VLOOKUP(Salesdta[[#This Row],[Customer_ID]],Customer_Data_[],8,TRUE)</f>
        <v>Ohio</v>
      </c>
      <c r="G488" s="1" t="s">
        <v>1630</v>
      </c>
      <c r="H488" s="1" t="str">
        <f>VLOOKUP(Salesdta[[#This Row],[Product_ID]],Product_Data_1[],2,TRUE)</f>
        <v>USB External Hard Drive</v>
      </c>
      <c r="I488" s="1" t="str">
        <f>VLOOKUP(Salesdta[[#This Row],[Product_ID]],Product_Data_1[],3,TRUE)</f>
        <v>Electronics</v>
      </c>
      <c r="J488" s="1">
        <f>VLOOKUP(Salesdta[[#This Row],[Product_ID]],Product_Data_1[],7,TRUE)</f>
        <v>253</v>
      </c>
      <c r="K488" s="1" t="s">
        <v>1775</v>
      </c>
      <c r="L488" s="1" t="str">
        <f>VLOOKUP(Salesdta[[#This Row],[Store_ID]],Store_Data_1[],3,TRUE)</f>
        <v>South</v>
      </c>
      <c r="M488" s="1">
        <v>2</v>
      </c>
      <c r="N488" s="1">
        <v>537</v>
      </c>
      <c r="O488" s="12">
        <v>0.14000000000000001</v>
      </c>
      <c r="P488" s="1" t="s">
        <v>1817</v>
      </c>
      <c r="Q488" s="1">
        <v>923</v>
      </c>
      <c r="R488" s="1">
        <f>Salesdta[[#This Row],[Final Revenue]]-Salesdta[[#This Row],[Product cost]]</f>
        <v>670</v>
      </c>
      <c r="S488" s="1" t="str">
        <f>IF(Salesdta[[#This Row],[Final Revenue]]&gt;1000,"Selected","Not Selected")</f>
        <v>Not Selected</v>
      </c>
    </row>
    <row r="489" spans="1:19" x14ac:dyDescent="0.35">
      <c r="A489" s="6" t="s">
        <v>2306</v>
      </c>
      <c r="B489" s="20">
        <v>45544</v>
      </c>
      <c r="C489" s="1" t="str">
        <f>TEXT(Salesdta[[#This Row],[Order_Date]],"mmmm")</f>
        <v>September</v>
      </c>
      <c r="D489" s="1" t="s">
        <v>803</v>
      </c>
      <c r="E489" s="1" t="str">
        <f>VLOOKUP(Salesdta[[#This Row],[Customer_ID]],Customer_Data_[],6,TRUE)</f>
        <v>Male</v>
      </c>
      <c r="F489" s="1" t="str">
        <f>VLOOKUP(Salesdta[[#This Row],[Customer_ID]],Customer_Data_[],8,TRUE)</f>
        <v>South Dakota</v>
      </c>
      <c r="G489" s="1" t="s">
        <v>1570</v>
      </c>
      <c r="H489" s="1" t="str">
        <f>VLOOKUP(Salesdta[[#This Row],[Product_ID]],Product_Data_1[],2,TRUE)</f>
        <v>USB-C Fast Charger</v>
      </c>
      <c r="I489" s="1" t="str">
        <f>VLOOKUP(Salesdta[[#This Row],[Product_ID]],Product_Data_1[],3,TRUE)</f>
        <v>Electronics</v>
      </c>
      <c r="J489" s="1">
        <f>VLOOKUP(Salesdta[[#This Row],[Product_ID]],Product_Data_1[],7,TRUE)</f>
        <v>242</v>
      </c>
      <c r="K489" s="1" t="s">
        <v>1800</v>
      </c>
      <c r="L489" s="1" t="str">
        <f>VLOOKUP(Salesdta[[#This Row],[Store_ID]],Store_Data_1[],3,TRUE)</f>
        <v>North</v>
      </c>
      <c r="M489" s="1">
        <v>2</v>
      </c>
      <c r="N489" s="1">
        <v>331</v>
      </c>
      <c r="O489" s="12">
        <v>0.14000000000000001</v>
      </c>
      <c r="P489" s="1" t="s">
        <v>1817</v>
      </c>
      <c r="Q489" s="1">
        <v>569</v>
      </c>
      <c r="R489" s="1">
        <f>Salesdta[[#This Row],[Final Revenue]]-Salesdta[[#This Row],[Product cost]]</f>
        <v>327</v>
      </c>
      <c r="S489" s="1" t="str">
        <f>IF(Salesdta[[#This Row],[Final Revenue]]&gt;1000,"Selected","Not Selected")</f>
        <v>Not Selected</v>
      </c>
    </row>
    <row r="490" spans="1:19" x14ac:dyDescent="0.35">
      <c r="A490" s="6" t="s">
        <v>2307</v>
      </c>
      <c r="B490" s="20">
        <v>45814</v>
      </c>
      <c r="C490" s="1" t="str">
        <f>TEXT(Salesdta[[#This Row],[Order_Date]],"mmmm")</f>
        <v>June</v>
      </c>
      <c r="D490" s="1" t="s">
        <v>464</v>
      </c>
      <c r="E490" s="1" t="str">
        <f>VLOOKUP(Salesdta[[#This Row],[Customer_ID]],Customer_Data_[],6,TRUE)</f>
        <v>Female</v>
      </c>
      <c r="F490" s="1" t="str">
        <f>VLOOKUP(Salesdta[[#This Row],[Customer_ID]],Customer_Data_[],8,TRUE)</f>
        <v>Ohio</v>
      </c>
      <c r="G490" s="1" t="s">
        <v>1596</v>
      </c>
      <c r="H490" s="1" t="str">
        <f>VLOOKUP(Salesdta[[#This Row],[Product_ID]],Product_Data_1[],2,TRUE)</f>
        <v>Wireless Bluetooth Speaker</v>
      </c>
      <c r="I490" s="1" t="str">
        <f>VLOOKUP(Salesdta[[#This Row],[Product_ID]],Product_Data_1[],3,TRUE)</f>
        <v>Electronics</v>
      </c>
      <c r="J490" s="1">
        <f>VLOOKUP(Salesdta[[#This Row],[Product_ID]],Product_Data_1[],7,TRUE)</f>
        <v>322</v>
      </c>
      <c r="K490" s="1" t="s">
        <v>1769</v>
      </c>
      <c r="L490" s="1" t="str">
        <f>VLOOKUP(Salesdta[[#This Row],[Store_ID]],Store_Data_1[],3,TRUE)</f>
        <v>North</v>
      </c>
      <c r="M490" s="1">
        <v>4</v>
      </c>
      <c r="N490" s="1">
        <v>282</v>
      </c>
      <c r="O490" s="12">
        <v>0.13</v>
      </c>
      <c r="P490" s="1" t="s">
        <v>1822</v>
      </c>
      <c r="Q490" s="1">
        <v>982</v>
      </c>
      <c r="R490" s="1">
        <f>Salesdta[[#This Row],[Final Revenue]]-Salesdta[[#This Row],[Product cost]]</f>
        <v>660</v>
      </c>
      <c r="S490" s="1" t="str">
        <f>IF(Salesdta[[#This Row],[Final Revenue]]&gt;1000,"Selected","Not Selected")</f>
        <v>Not Selected</v>
      </c>
    </row>
    <row r="491" spans="1:19" x14ac:dyDescent="0.35">
      <c r="A491" s="6" t="s">
        <v>2308</v>
      </c>
      <c r="B491" s="20">
        <v>45364</v>
      </c>
      <c r="C491" s="1" t="str">
        <f>TEXT(Salesdta[[#This Row],[Order_Date]],"mmmm")</f>
        <v>March</v>
      </c>
      <c r="D491" s="1" t="s">
        <v>387</v>
      </c>
      <c r="E491" s="1" t="str">
        <f>VLOOKUP(Salesdta[[#This Row],[Customer_ID]],Customer_Data_[],6,TRUE)</f>
        <v>Female</v>
      </c>
      <c r="F491" s="1" t="str">
        <f>VLOOKUP(Salesdta[[#This Row],[Customer_ID]],Customer_Data_[],8,TRUE)</f>
        <v>Arizona</v>
      </c>
      <c r="G491" s="1" t="s">
        <v>1578</v>
      </c>
      <c r="H491" s="1" t="str">
        <f>VLOOKUP(Salesdta[[#This Row],[Product_ID]],Product_Data_1[],2,TRUE)</f>
        <v>Soccer Training Cone Set</v>
      </c>
      <c r="I491" s="1" t="str">
        <f>VLOOKUP(Salesdta[[#This Row],[Product_ID]],Product_Data_1[],3,TRUE)</f>
        <v>Sports</v>
      </c>
      <c r="J491" s="1">
        <f>VLOOKUP(Salesdta[[#This Row],[Product_ID]],Product_Data_1[],7,TRUE)</f>
        <v>145</v>
      </c>
      <c r="K491" s="1" t="s">
        <v>1769</v>
      </c>
      <c r="L491" s="1" t="str">
        <f>VLOOKUP(Salesdta[[#This Row],[Store_ID]],Store_Data_1[],3,TRUE)</f>
        <v>North</v>
      </c>
      <c r="M491" s="1">
        <v>4</v>
      </c>
      <c r="N491" s="1">
        <v>716</v>
      </c>
      <c r="O491" s="12">
        <v>0.19</v>
      </c>
      <c r="P491" s="1" t="s">
        <v>1819</v>
      </c>
      <c r="Q491" s="1">
        <v>2319</v>
      </c>
      <c r="R491" s="1">
        <f>Salesdta[[#This Row],[Final Revenue]]-Salesdta[[#This Row],[Product cost]]</f>
        <v>2174</v>
      </c>
      <c r="S491" s="1" t="str">
        <f>IF(Salesdta[[#This Row],[Final Revenue]]&gt;1000,"Selected","Not Selected")</f>
        <v>Selected</v>
      </c>
    </row>
    <row r="492" spans="1:19" x14ac:dyDescent="0.35">
      <c r="A492" s="1" t="s">
        <v>2309</v>
      </c>
      <c r="B492" s="20">
        <v>45780</v>
      </c>
      <c r="C492" s="1" t="str">
        <f>TEXT(Salesdta[[#This Row],[Order_Date]],"mmmm")</f>
        <v>May</v>
      </c>
      <c r="D492" s="1" t="s">
        <v>1342</v>
      </c>
      <c r="E492" s="1" t="str">
        <f>VLOOKUP(Salesdta[[#This Row],[Customer_ID]],Customer_Data_[],6,TRUE)</f>
        <v>Female</v>
      </c>
      <c r="F492" s="1" t="str">
        <f>VLOOKUP(Salesdta[[#This Row],[Customer_ID]],Customer_Data_[],8,TRUE)</f>
        <v>Indiana</v>
      </c>
      <c r="G492" s="1" t="s">
        <v>1570</v>
      </c>
      <c r="H492" s="1" t="str">
        <f>VLOOKUP(Salesdta[[#This Row],[Product_ID]],Product_Data_1[],2,TRUE)</f>
        <v>USB-C Fast Charger</v>
      </c>
      <c r="I492" s="1" t="str">
        <f>VLOOKUP(Salesdta[[#This Row],[Product_ID]],Product_Data_1[],3,TRUE)</f>
        <v>Electronics</v>
      </c>
      <c r="J492" s="1">
        <f>VLOOKUP(Salesdta[[#This Row],[Product_ID]],Product_Data_1[],7,TRUE)</f>
        <v>242</v>
      </c>
      <c r="K492" s="1" t="s">
        <v>1778</v>
      </c>
      <c r="L492" s="1" t="str">
        <f>VLOOKUP(Salesdta[[#This Row],[Store_ID]],Store_Data_1[],3,TRUE)</f>
        <v>West</v>
      </c>
      <c r="M492" s="1">
        <v>4</v>
      </c>
      <c r="N492" s="1">
        <v>729</v>
      </c>
      <c r="O492" s="12">
        <v>0.03</v>
      </c>
      <c r="P492" s="1" t="s">
        <v>1817</v>
      </c>
      <c r="Q492" s="1">
        <v>2830</v>
      </c>
      <c r="R492" s="1">
        <f>Salesdta[[#This Row],[Final Revenue]]-Salesdta[[#This Row],[Product cost]]</f>
        <v>2588</v>
      </c>
      <c r="S492" s="1" t="str">
        <f>IF(Salesdta[[#This Row],[Final Revenue]]&gt;1000,"Selected","Not Selected")</f>
        <v>Selected</v>
      </c>
    </row>
    <row r="493" spans="1:19" x14ac:dyDescent="0.35">
      <c r="A493" s="1" t="s">
        <v>2310</v>
      </c>
      <c r="B493" s="20">
        <v>45229</v>
      </c>
      <c r="C493" s="1" t="str">
        <f>TEXT(Salesdta[[#This Row],[Order_Date]],"mmmm")</f>
        <v>October</v>
      </c>
      <c r="D493" s="1" t="s">
        <v>1399</v>
      </c>
      <c r="E493" s="1" t="str">
        <f>VLOOKUP(Salesdta[[#This Row],[Customer_ID]],Customer_Data_[],6,TRUE)</f>
        <v>Male</v>
      </c>
      <c r="F493" s="1" t="str">
        <f>VLOOKUP(Salesdta[[#This Row],[Customer_ID]],Customer_Data_[],8,TRUE)</f>
        <v>Oklahoma</v>
      </c>
      <c r="G493" s="1" t="s">
        <v>1664</v>
      </c>
      <c r="H493" s="1" t="str">
        <f>VLOOKUP(Salesdta[[#This Row],[Product_ID]],Product_Data_1[],2,TRUE)</f>
        <v>Luxury Perfume Spray</v>
      </c>
      <c r="I493" s="1" t="str">
        <f>VLOOKUP(Salesdta[[#This Row],[Product_ID]],Product_Data_1[],3,TRUE)</f>
        <v>Beauty</v>
      </c>
      <c r="J493" s="1">
        <f>VLOOKUP(Salesdta[[#This Row],[Product_ID]],Product_Data_1[],7,TRUE)</f>
        <v>483</v>
      </c>
      <c r="K493" s="1" t="s">
        <v>1806</v>
      </c>
      <c r="L493" s="1" t="str">
        <f>VLOOKUP(Salesdta[[#This Row],[Store_ID]],Store_Data_1[],3,TRUE)</f>
        <v>North</v>
      </c>
      <c r="M493" s="1">
        <v>3</v>
      </c>
      <c r="N493" s="1">
        <v>345</v>
      </c>
      <c r="O493" s="12">
        <v>0.08</v>
      </c>
      <c r="P493" s="1" t="s">
        <v>1822</v>
      </c>
      <c r="Q493" s="1">
        <v>953</v>
      </c>
      <c r="R493" s="1">
        <f>Salesdta[[#This Row],[Final Revenue]]-Salesdta[[#This Row],[Product cost]]</f>
        <v>470</v>
      </c>
      <c r="S493" s="1" t="str">
        <f>IF(Salesdta[[#This Row],[Final Revenue]]&gt;1000,"Selected","Not Selected")</f>
        <v>Not Selected</v>
      </c>
    </row>
  </sheetData>
  <phoneticPr fontId="1" type="noConversion"/>
  <pageMargins left="0.7" right="0.7" top="0.75" bottom="0.75" header="0.3" footer="0.3"/>
  <pageSetup scale="38" orientation="portrait"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91327E-A606-4E5B-A970-2C5B89169D8F}">
  <dimension ref="A1:C17"/>
  <sheetViews>
    <sheetView workbookViewId="0">
      <selection activeCell="M10" sqref="M10"/>
    </sheetView>
  </sheetViews>
  <sheetFormatPr defaultRowHeight="14.5" x14ac:dyDescent="0.35"/>
  <cols>
    <col min="2" max="2" width="16.81640625" bestFit="1" customWidth="1"/>
    <col min="3" max="3" width="11.81640625" bestFit="1" customWidth="1"/>
  </cols>
  <sheetData>
    <row r="1" spans="1:3" x14ac:dyDescent="0.35">
      <c r="A1" s="22"/>
    </row>
    <row r="3" spans="1:3" x14ac:dyDescent="0.35">
      <c r="B3" s="34" t="s">
        <v>2472</v>
      </c>
      <c r="C3" s="34"/>
    </row>
    <row r="4" spans="1:3" x14ac:dyDescent="0.35">
      <c r="B4" s="1"/>
      <c r="C4" s="1"/>
    </row>
    <row r="5" spans="1:3" x14ac:dyDescent="0.35">
      <c r="B5" s="1" t="s">
        <v>2459</v>
      </c>
      <c r="C5" s="1">
        <v>1153.5386178861788</v>
      </c>
    </row>
    <row r="6" spans="1:3" x14ac:dyDescent="0.35">
      <c r="B6" s="1" t="s">
        <v>2460</v>
      </c>
      <c r="C6" s="1">
        <v>37.834473859510766</v>
      </c>
    </row>
    <row r="7" spans="1:3" x14ac:dyDescent="0.35">
      <c r="B7" s="1" t="s">
        <v>2461</v>
      </c>
      <c r="C7" s="1">
        <v>960.5</v>
      </c>
    </row>
    <row r="8" spans="1:3" x14ac:dyDescent="0.35">
      <c r="B8" s="1" t="s">
        <v>2462</v>
      </c>
      <c r="C8" s="1">
        <v>1088</v>
      </c>
    </row>
    <row r="9" spans="1:3" x14ac:dyDescent="0.35">
      <c r="B9" s="1" t="s">
        <v>2463</v>
      </c>
      <c r="C9" s="1">
        <v>839.20922707939394</v>
      </c>
    </row>
    <row r="10" spans="1:3" x14ac:dyDescent="0.35">
      <c r="B10" s="1" t="s">
        <v>2464</v>
      </c>
      <c r="C10" s="1">
        <v>704272.1268151938</v>
      </c>
    </row>
    <row r="11" spans="1:3" x14ac:dyDescent="0.35">
      <c r="B11" s="1" t="s">
        <v>2465</v>
      </c>
      <c r="C11" s="1">
        <v>0.15452166571532144</v>
      </c>
    </row>
    <row r="12" spans="1:3" x14ac:dyDescent="0.35">
      <c r="B12" s="1" t="s">
        <v>2466</v>
      </c>
      <c r="C12" s="1">
        <v>0.89079202007576086</v>
      </c>
    </row>
    <row r="13" spans="1:3" x14ac:dyDescent="0.35">
      <c r="B13" s="1" t="s">
        <v>2467</v>
      </c>
      <c r="C13" s="1">
        <v>3884</v>
      </c>
    </row>
    <row r="14" spans="1:3" x14ac:dyDescent="0.35">
      <c r="B14" s="1" t="s">
        <v>2468</v>
      </c>
      <c r="C14" s="1">
        <v>24</v>
      </c>
    </row>
    <row r="15" spans="1:3" x14ac:dyDescent="0.35">
      <c r="B15" s="1" t="s">
        <v>2469</v>
      </c>
      <c r="C15" s="1">
        <v>3908</v>
      </c>
    </row>
    <row r="16" spans="1:3" x14ac:dyDescent="0.35">
      <c r="B16" s="1" t="s">
        <v>2470</v>
      </c>
      <c r="C16" s="1">
        <v>567541</v>
      </c>
    </row>
    <row r="17" spans="2:3" x14ac:dyDescent="0.35">
      <c r="B17" s="1" t="s">
        <v>2471</v>
      </c>
      <c r="C17" s="1">
        <v>492</v>
      </c>
    </row>
  </sheetData>
  <mergeCells count="1">
    <mergeCell ref="B3:C3"/>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271E8E-9812-44BE-A2C5-EAFEE0354012}">
  <dimension ref="A2:G133"/>
  <sheetViews>
    <sheetView topLeftCell="A118" workbookViewId="0">
      <selection activeCell="A119" activeCellId="1" sqref="A117:B117 A119:E133"/>
    </sheetView>
  </sheetViews>
  <sheetFormatPr defaultRowHeight="14.5" x14ac:dyDescent="0.35"/>
  <cols>
    <col min="1" max="1" width="18.81640625" bestFit="1" customWidth="1"/>
    <col min="2" max="2" width="15.26953125" bestFit="1" customWidth="1"/>
    <col min="3" max="4" width="6.81640625" bestFit="1" customWidth="1"/>
    <col min="5" max="5" width="5.81640625" bestFit="1" customWidth="1"/>
    <col min="6" max="7" width="10.7265625" bestFit="1" customWidth="1"/>
    <col min="8" max="8" width="10.81640625" bestFit="1" customWidth="1"/>
    <col min="9" max="9" width="8.7265625" bestFit="1" customWidth="1"/>
    <col min="10" max="10" width="6.54296875" bestFit="1" customWidth="1"/>
    <col min="11" max="11" width="7.26953125" bestFit="1" customWidth="1"/>
    <col min="12" max="12" width="6.453125" bestFit="1" customWidth="1"/>
    <col min="13" max="13" width="5.6328125" bestFit="1" customWidth="1"/>
    <col min="14" max="14" width="6.1796875" bestFit="1" customWidth="1"/>
    <col min="15" max="15" width="7.08984375" bestFit="1" customWidth="1"/>
    <col min="16" max="16" width="4.90625" bestFit="1" customWidth="1"/>
    <col min="17" max="17" width="6.6328125" bestFit="1" customWidth="1"/>
    <col min="18" max="18" width="8.54296875" bestFit="1" customWidth="1"/>
    <col min="19" max="19" width="8.6328125" bestFit="1" customWidth="1"/>
    <col min="20" max="20" width="6.08984375" bestFit="1" customWidth="1"/>
    <col min="21" max="21" width="8.81640625" bestFit="1" customWidth="1"/>
    <col min="22" max="22" width="13.36328125" bestFit="1" customWidth="1"/>
    <col min="23" max="23" width="8.36328125" bestFit="1" customWidth="1"/>
    <col min="24" max="25" width="9.81640625" bestFit="1" customWidth="1"/>
    <col min="26" max="26" width="8" bestFit="1" customWidth="1"/>
    <col min="27" max="27" width="8.54296875" bestFit="1" customWidth="1"/>
    <col min="29" max="29" width="7.08984375" bestFit="1" customWidth="1"/>
    <col min="30" max="30" width="14.1796875" bestFit="1" customWidth="1"/>
    <col min="31" max="31" width="10.08984375" bestFit="1" customWidth="1"/>
    <col min="32" max="32" width="11" bestFit="1" customWidth="1"/>
    <col min="33" max="33" width="8.81640625" bestFit="1" customWidth="1"/>
    <col min="34" max="34" width="13.1796875" bestFit="1" customWidth="1"/>
    <col min="35" max="35" width="12.26953125" bestFit="1" customWidth="1"/>
    <col min="36" max="36" width="4.81640625" bestFit="1" customWidth="1"/>
    <col min="37" max="37" width="9.453125" bestFit="1" customWidth="1"/>
    <col min="38" max="38" width="7" bestFit="1" customWidth="1"/>
    <col min="39" max="39" width="11.7265625" bestFit="1" customWidth="1"/>
    <col min="40" max="40" width="11.6328125" bestFit="1" customWidth="1"/>
    <col min="41" max="41" width="13.1796875" bestFit="1" customWidth="1"/>
    <col min="42" max="42" width="12.26953125" bestFit="1" customWidth="1"/>
    <col min="43" max="43" width="9.6328125" bestFit="1" customWidth="1"/>
    <col min="44" max="44" width="5.54296875" bestFit="1" customWidth="1"/>
    <col min="45" max="45" width="4.90625" bestFit="1" customWidth="1"/>
    <col min="46" max="46" width="8.26953125" bestFit="1" customWidth="1"/>
    <col min="47" max="47" width="7.08984375" bestFit="1" customWidth="1"/>
    <col min="48" max="48" width="10.90625" bestFit="1" customWidth="1"/>
    <col min="49" max="49" width="11.90625" bestFit="1" customWidth="1"/>
    <col min="50" max="50" width="9.26953125" bestFit="1" customWidth="1"/>
    <col min="52" max="52" width="10.7265625" bestFit="1" customWidth="1"/>
  </cols>
  <sheetData>
    <row r="2" spans="1:7" ht="18.5" x14ac:dyDescent="0.45">
      <c r="A2" s="35" t="s">
        <v>2482</v>
      </c>
      <c r="B2" s="35"/>
      <c r="C2" s="35"/>
      <c r="D2" s="35"/>
    </row>
    <row r="3" spans="1:7" x14ac:dyDescent="0.35">
      <c r="A3" s="23" t="s">
        <v>2479</v>
      </c>
      <c r="B3" s="23" t="s">
        <v>2475</v>
      </c>
    </row>
    <row r="4" spans="1:7" x14ac:dyDescent="0.35">
      <c r="A4" s="23" t="s">
        <v>2473</v>
      </c>
      <c r="B4" t="s">
        <v>1554</v>
      </c>
      <c r="C4" t="s">
        <v>1543</v>
      </c>
      <c r="D4" t="s">
        <v>1559</v>
      </c>
      <c r="E4" t="s">
        <v>1540</v>
      </c>
      <c r="F4" t="s">
        <v>1562</v>
      </c>
      <c r="G4" t="s">
        <v>2474</v>
      </c>
    </row>
    <row r="5" spans="1:7" x14ac:dyDescent="0.35">
      <c r="A5" s="24" t="s">
        <v>20</v>
      </c>
      <c r="B5" s="25">
        <v>3</v>
      </c>
      <c r="C5" s="25"/>
      <c r="D5" s="25">
        <v>1</v>
      </c>
      <c r="E5" s="25">
        <v>3</v>
      </c>
      <c r="F5" s="25">
        <v>2</v>
      </c>
      <c r="G5" s="25">
        <v>9</v>
      </c>
    </row>
    <row r="6" spans="1:7" x14ac:dyDescent="0.35">
      <c r="A6" s="24" t="s">
        <v>161</v>
      </c>
      <c r="B6" s="25">
        <v>2</v>
      </c>
      <c r="C6" s="25">
        <v>1</v>
      </c>
      <c r="D6" s="25">
        <v>2</v>
      </c>
      <c r="E6" s="25">
        <v>1</v>
      </c>
      <c r="F6" s="25">
        <v>5</v>
      </c>
      <c r="G6" s="25">
        <v>11</v>
      </c>
    </row>
    <row r="7" spans="1:7" x14ac:dyDescent="0.35">
      <c r="A7" s="24" t="s">
        <v>131</v>
      </c>
      <c r="B7" s="25">
        <v>4</v>
      </c>
      <c r="C7" s="25">
        <v>2</v>
      </c>
      <c r="D7" s="25"/>
      <c r="E7" s="25">
        <v>2</v>
      </c>
      <c r="F7" s="25">
        <v>5</v>
      </c>
      <c r="G7" s="25">
        <v>13</v>
      </c>
    </row>
    <row r="8" spans="1:7" x14ac:dyDescent="0.35">
      <c r="A8" s="24" t="s">
        <v>288</v>
      </c>
      <c r="B8" s="25"/>
      <c r="C8" s="25">
        <v>1</v>
      </c>
      <c r="D8" s="25">
        <v>3</v>
      </c>
      <c r="E8" s="25">
        <v>1</v>
      </c>
      <c r="F8" s="25">
        <v>4</v>
      </c>
      <c r="G8" s="25">
        <v>9</v>
      </c>
    </row>
    <row r="9" spans="1:7" x14ac:dyDescent="0.35">
      <c r="A9" s="24" t="s">
        <v>28</v>
      </c>
      <c r="B9" s="25">
        <v>4</v>
      </c>
      <c r="C9" s="25"/>
      <c r="D9" s="25">
        <v>2</v>
      </c>
      <c r="E9" s="25">
        <v>4</v>
      </c>
      <c r="F9" s="25">
        <v>3</v>
      </c>
      <c r="G9" s="25">
        <v>13</v>
      </c>
    </row>
    <row r="10" spans="1:7" x14ac:dyDescent="0.35">
      <c r="A10" s="24" t="s">
        <v>271</v>
      </c>
      <c r="B10" s="25">
        <v>1</v>
      </c>
      <c r="C10" s="25"/>
      <c r="D10" s="25">
        <v>1</v>
      </c>
      <c r="E10" s="25"/>
      <c r="F10" s="25">
        <v>1</v>
      </c>
      <c r="G10" s="25">
        <v>3</v>
      </c>
    </row>
    <row r="11" spans="1:7" x14ac:dyDescent="0.35">
      <c r="A11" s="24" t="s">
        <v>165</v>
      </c>
      <c r="B11" s="25">
        <v>3</v>
      </c>
      <c r="C11" s="25">
        <v>3</v>
      </c>
      <c r="D11" s="25">
        <v>1</v>
      </c>
      <c r="E11" s="25">
        <v>4</v>
      </c>
      <c r="F11" s="25">
        <v>4</v>
      </c>
      <c r="G11" s="25">
        <v>15</v>
      </c>
    </row>
    <row r="12" spans="1:7" x14ac:dyDescent="0.35">
      <c r="A12" s="24" t="s">
        <v>90</v>
      </c>
      <c r="B12" s="25"/>
      <c r="C12" s="25">
        <v>3</v>
      </c>
      <c r="D12" s="25">
        <v>1</v>
      </c>
      <c r="E12" s="25">
        <v>2</v>
      </c>
      <c r="F12" s="25">
        <v>2</v>
      </c>
      <c r="G12" s="25">
        <v>8</v>
      </c>
    </row>
    <row r="13" spans="1:7" x14ac:dyDescent="0.35">
      <c r="A13" s="24" t="s">
        <v>247</v>
      </c>
      <c r="B13" s="25"/>
      <c r="C13" s="25">
        <v>3</v>
      </c>
      <c r="D13" s="25">
        <v>2</v>
      </c>
      <c r="E13" s="25">
        <v>2</v>
      </c>
      <c r="F13" s="25">
        <v>2</v>
      </c>
      <c r="G13" s="25">
        <v>9</v>
      </c>
    </row>
    <row r="14" spans="1:7" x14ac:dyDescent="0.35">
      <c r="A14" s="24" t="s">
        <v>79</v>
      </c>
      <c r="B14" s="25">
        <v>3</v>
      </c>
      <c r="C14" s="25">
        <v>1</v>
      </c>
      <c r="D14" s="25">
        <v>4</v>
      </c>
      <c r="E14" s="25"/>
      <c r="F14" s="25">
        <v>2</v>
      </c>
      <c r="G14" s="25">
        <v>10</v>
      </c>
    </row>
    <row r="15" spans="1:7" x14ac:dyDescent="0.35">
      <c r="A15" s="24" t="s">
        <v>97</v>
      </c>
      <c r="B15" s="25">
        <v>3</v>
      </c>
      <c r="C15" s="25">
        <v>2</v>
      </c>
      <c r="D15" s="25">
        <v>1</v>
      </c>
      <c r="E15" s="25">
        <v>1</v>
      </c>
      <c r="F15" s="25"/>
      <c r="G15" s="25">
        <v>7</v>
      </c>
    </row>
    <row r="16" spans="1:7" x14ac:dyDescent="0.35">
      <c r="A16" s="24" t="s">
        <v>104</v>
      </c>
      <c r="B16" s="25"/>
      <c r="C16" s="25">
        <v>2</v>
      </c>
      <c r="D16" s="25"/>
      <c r="E16" s="25">
        <v>2</v>
      </c>
      <c r="F16" s="25"/>
      <c r="G16" s="25">
        <v>4</v>
      </c>
    </row>
    <row r="17" spans="1:7" x14ac:dyDescent="0.35">
      <c r="A17" s="24" t="s">
        <v>191</v>
      </c>
      <c r="B17" s="25">
        <v>1</v>
      </c>
      <c r="C17" s="25"/>
      <c r="D17" s="25">
        <v>1</v>
      </c>
      <c r="E17" s="25">
        <v>2</v>
      </c>
      <c r="F17" s="25">
        <v>3</v>
      </c>
      <c r="G17" s="25">
        <v>7</v>
      </c>
    </row>
    <row r="18" spans="1:7" x14ac:dyDescent="0.35">
      <c r="A18" s="24" t="s">
        <v>251</v>
      </c>
      <c r="B18" s="25">
        <v>1</v>
      </c>
      <c r="C18" s="25">
        <v>2</v>
      </c>
      <c r="D18" s="25">
        <v>3</v>
      </c>
      <c r="E18" s="25">
        <v>1</v>
      </c>
      <c r="F18" s="25">
        <v>1</v>
      </c>
      <c r="G18" s="25">
        <v>8</v>
      </c>
    </row>
    <row r="19" spans="1:7" x14ac:dyDescent="0.35">
      <c r="A19" s="24" t="s">
        <v>264</v>
      </c>
      <c r="B19" s="25">
        <v>1</v>
      </c>
      <c r="C19" s="25"/>
      <c r="D19" s="25">
        <v>5</v>
      </c>
      <c r="E19" s="25">
        <v>2</v>
      </c>
      <c r="F19" s="25">
        <v>4</v>
      </c>
      <c r="G19" s="25">
        <v>12</v>
      </c>
    </row>
    <row r="20" spans="1:7" x14ac:dyDescent="0.35">
      <c r="A20" s="24" t="s">
        <v>60</v>
      </c>
      <c r="B20" s="25">
        <v>3</v>
      </c>
      <c r="C20" s="25">
        <v>1</v>
      </c>
      <c r="D20" s="25">
        <v>4</v>
      </c>
      <c r="E20" s="25">
        <v>4</v>
      </c>
      <c r="F20" s="25">
        <v>3</v>
      </c>
      <c r="G20" s="25">
        <v>15</v>
      </c>
    </row>
    <row r="21" spans="1:7" x14ac:dyDescent="0.35">
      <c r="A21" s="24" t="s">
        <v>585</v>
      </c>
      <c r="B21" s="25">
        <v>1</v>
      </c>
      <c r="C21" s="25">
        <v>1</v>
      </c>
      <c r="D21" s="25">
        <v>2</v>
      </c>
      <c r="E21" s="25">
        <v>2</v>
      </c>
      <c r="F21" s="25"/>
      <c r="G21" s="25">
        <v>6</v>
      </c>
    </row>
    <row r="22" spans="1:7" x14ac:dyDescent="0.35">
      <c r="A22" s="24" t="s">
        <v>325</v>
      </c>
      <c r="B22" s="25">
        <v>1</v>
      </c>
      <c r="C22" s="25">
        <v>1</v>
      </c>
      <c r="D22" s="25">
        <v>2</v>
      </c>
      <c r="E22" s="25"/>
      <c r="F22" s="25">
        <v>6</v>
      </c>
      <c r="G22" s="25">
        <v>10</v>
      </c>
    </row>
    <row r="23" spans="1:7" x14ac:dyDescent="0.35">
      <c r="A23" s="24" t="s">
        <v>431</v>
      </c>
      <c r="B23" s="25">
        <v>1</v>
      </c>
      <c r="C23" s="25">
        <v>2</v>
      </c>
      <c r="D23" s="25">
        <v>3</v>
      </c>
      <c r="E23" s="25">
        <v>1</v>
      </c>
      <c r="F23" s="25">
        <v>2</v>
      </c>
      <c r="G23" s="25">
        <v>9</v>
      </c>
    </row>
    <row r="24" spans="1:7" x14ac:dyDescent="0.35">
      <c r="A24" s="24" t="s">
        <v>138</v>
      </c>
      <c r="B24" s="25">
        <v>2</v>
      </c>
      <c r="C24" s="25">
        <v>1</v>
      </c>
      <c r="D24" s="25"/>
      <c r="E24" s="25">
        <v>3</v>
      </c>
      <c r="F24" s="25">
        <v>2</v>
      </c>
      <c r="G24" s="25">
        <v>8</v>
      </c>
    </row>
    <row r="25" spans="1:7" x14ac:dyDescent="0.35">
      <c r="A25" s="24" t="s">
        <v>712</v>
      </c>
      <c r="B25" s="25">
        <v>1</v>
      </c>
      <c r="C25" s="25">
        <v>2</v>
      </c>
      <c r="D25" s="25">
        <v>2</v>
      </c>
      <c r="E25" s="25">
        <v>1</v>
      </c>
      <c r="F25" s="25"/>
      <c r="G25" s="25">
        <v>6</v>
      </c>
    </row>
    <row r="26" spans="1:7" x14ac:dyDescent="0.35">
      <c r="A26" s="24" t="s">
        <v>154</v>
      </c>
      <c r="B26" s="25"/>
      <c r="C26" s="25">
        <v>2</v>
      </c>
      <c r="D26" s="25">
        <v>3</v>
      </c>
      <c r="E26" s="25">
        <v>2</v>
      </c>
      <c r="F26" s="25">
        <v>3</v>
      </c>
      <c r="G26" s="25">
        <v>10</v>
      </c>
    </row>
    <row r="27" spans="1:7" x14ac:dyDescent="0.35">
      <c r="A27" s="24" t="s">
        <v>198</v>
      </c>
      <c r="B27" s="25"/>
      <c r="C27" s="25">
        <v>2</v>
      </c>
      <c r="D27" s="25">
        <v>3</v>
      </c>
      <c r="E27" s="25">
        <v>1</v>
      </c>
      <c r="F27" s="25">
        <v>3</v>
      </c>
      <c r="G27" s="25">
        <v>9</v>
      </c>
    </row>
    <row r="28" spans="1:7" x14ac:dyDescent="0.35">
      <c r="A28" s="24" t="s">
        <v>310</v>
      </c>
      <c r="B28" s="25">
        <v>3</v>
      </c>
      <c r="C28" s="25"/>
      <c r="D28" s="25">
        <v>1</v>
      </c>
      <c r="E28" s="25">
        <v>3</v>
      </c>
      <c r="F28" s="25">
        <v>1</v>
      </c>
      <c r="G28" s="25">
        <v>8</v>
      </c>
    </row>
    <row r="29" spans="1:7" x14ac:dyDescent="0.35">
      <c r="A29" s="24" t="s">
        <v>111</v>
      </c>
      <c r="B29" s="25">
        <v>1</v>
      </c>
      <c r="C29" s="25">
        <v>2</v>
      </c>
      <c r="D29" s="25">
        <v>6</v>
      </c>
      <c r="E29" s="25">
        <v>1</v>
      </c>
      <c r="F29" s="25">
        <v>2</v>
      </c>
      <c r="G29" s="25">
        <v>12</v>
      </c>
    </row>
    <row r="30" spans="1:7" x14ac:dyDescent="0.35">
      <c r="A30" s="24" t="s">
        <v>64</v>
      </c>
      <c r="B30" s="25">
        <v>1</v>
      </c>
      <c r="C30" s="25">
        <v>2</v>
      </c>
      <c r="D30" s="25">
        <v>2</v>
      </c>
      <c r="E30" s="25"/>
      <c r="F30" s="25">
        <v>4</v>
      </c>
      <c r="G30" s="25">
        <v>9</v>
      </c>
    </row>
    <row r="31" spans="1:7" x14ac:dyDescent="0.35">
      <c r="A31" s="24" t="s">
        <v>68</v>
      </c>
      <c r="B31" s="25">
        <v>2</v>
      </c>
      <c r="C31" s="25">
        <v>1</v>
      </c>
      <c r="D31" s="25">
        <v>3</v>
      </c>
      <c r="E31" s="25">
        <v>1</v>
      </c>
      <c r="F31" s="25"/>
      <c r="G31" s="25">
        <v>7</v>
      </c>
    </row>
    <row r="32" spans="1:7" x14ac:dyDescent="0.35">
      <c r="A32" s="24" t="s">
        <v>182</v>
      </c>
      <c r="B32" s="25">
        <v>4</v>
      </c>
      <c r="C32" s="25"/>
      <c r="D32" s="25">
        <v>2</v>
      </c>
      <c r="E32" s="25">
        <v>1</v>
      </c>
      <c r="F32" s="25">
        <v>3</v>
      </c>
      <c r="G32" s="25">
        <v>10</v>
      </c>
    </row>
    <row r="33" spans="1:7" x14ac:dyDescent="0.35">
      <c r="A33" s="24" t="s">
        <v>45</v>
      </c>
      <c r="B33" s="25">
        <v>3</v>
      </c>
      <c r="C33" s="25">
        <v>3</v>
      </c>
      <c r="D33" s="25">
        <v>1</v>
      </c>
      <c r="E33" s="25">
        <v>2</v>
      </c>
      <c r="F33" s="25">
        <v>2</v>
      </c>
      <c r="G33" s="25">
        <v>11</v>
      </c>
    </row>
    <row r="34" spans="1:7" x14ac:dyDescent="0.35">
      <c r="A34" s="24" t="s">
        <v>86</v>
      </c>
      <c r="B34" s="25">
        <v>2</v>
      </c>
      <c r="C34" s="25">
        <v>5</v>
      </c>
      <c r="D34" s="25">
        <v>2</v>
      </c>
      <c r="E34" s="25">
        <v>3</v>
      </c>
      <c r="F34" s="25">
        <v>3</v>
      </c>
      <c r="G34" s="25">
        <v>15</v>
      </c>
    </row>
    <row r="35" spans="1:7" x14ac:dyDescent="0.35">
      <c r="A35" s="24" t="s">
        <v>230</v>
      </c>
      <c r="B35" s="25">
        <v>2</v>
      </c>
      <c r="C35" s="25">
        <v>1</v>
      </c>
      <c r="D35" s="25">
        <v>2</v>
      </c>
      <c r="E35" s="25">
        <v>5</v>
      </c>
      <c r="F35" s="25"/>
      <c r="G35" s="25">
        <v>10</v>
      </c>
    </row>
    <row r="36" spans="1:7" x14ac:dyDescent="0.35">
      <c r="A36" s="24" t="s">
        <v>56</v>
      </c>
      <c r="B36" s="25">
        <v>3</v>
      </c>
      <c r="C36" s="25">
        <v>1</v>
      </c>
      <c r="D36" s="25">
        <v>2</v>
      </c>
      <c r="E36" s="25">
        <v>2</v>
      </c>
      <c r="F36" s="25">
        <v>3</v>
      </c>
      <c r="G36" s="25">
        <v>11</v>
      </c>
    </row>
    <row r="37" spans="1:7" x14ac:dyDescent="0.35">
      <c r="A37" s="24" t="s">
        <v>10</v>
      </c>
      <c r="B37" s="25">
        <v>6</v>
      </c>
      <c r="C37" s="25"/>
      <c r="D37" s="25">
        <v>2</v>
      </c>
      <c r="E37" s="25">
        <v>3</v>
      </c>
      <c r="F37" s="25">
        <v>2</v>
      </c>
      <c r="G37" s="25">
        <v>13</v>
      </c>
    </row>
    <row r="38" spans="1:7" x14ac:dyDescent="0.35">
      <c r="A38" s="24" t="s">
        <v>16</v>
      </c>
      <c r="B38" s="25">
        <v>3</v>
      </c>
      <c r="C38" s="25">
        <v>1</v>
      </c>
      <c r="D38" s="25">
        <v>3</v>
      </c>
      <c r="E38" s="25">
        <v>2</v>
      </c>
      <c r="F38" s="25">
        <v>2</v>
      </c>
      <c r="G38" s="25">
        <v>11</v>
      </c>
    </row>
    <row r="39" spans="1:7" x14ac:dyDescent="0.35">
      <c r="A39" s="24" t="s">
        <v>23</v>
      </c>
      <c r="B39" s="25">
        <v>2</v>
      </c>
      <c r="C39" s="25">
        <v>4</v>
      </c>
      <c r="D39" s="25">
        <v>7</v>
      </c>
      <c r="E39" s="25"/>
      <c r="F39" s="25">
        <v>2</v>
      </c>
      <c r="G39" s="25">
        <v>15</v>
      </c>
    </row>
    <row r="40" spans="1:7" x14ac:dyDescent="0.35">
      <c r="A40" s="24" t="s">
        <v>94</v>
      </c>
      <c r="B40" s="25">
        <v>2</v>
      </c>
      <c r="C40" s="25">
        <v>2</v>
      </c>
      <c r="D40" s="25">
        <v>4</v>
      </c>
      <c r="E40" s="25"/>
      <c r="F40" s="25">
        <v>4</v>
      </c>
      <c r="G40" s="25">
        <v>12</v>
      </c>
    </row>
    <row r="41" spans="1:7" x14ac:dyDescent="0.35">
      <c r="A41" s="24" t="s">
        <v>33</v>
      </c>
      <c r="B41" s="25">
        <v>1</v>
      </c>
      <c r="C41" s="25">
        <v>1</v>
      </c>
      <c r="D41" s="25">
        <v>4</v>
      </c>
      <c r="E41" s="25">
        <v>5</v>
      </c>
      <c r="F41" s="25">
        <v>2</v>
      </c>
      <c r="G41" s="25">
        <v>13</v>
      </c>
    </row>
    <row r="42" spans="1:7" x14ac:dyDescent="0.35">
      <c r="A42" s="24" t="s">
        <v>49</v>
      </c>
      <c r="B42" s="25">
        <v>1</v>
      </c>
      <c r="C42" s="25"/>
      <c r="D42" s="25">
        <v>1</v>
      </c>
      <c r="E42" s="25">
        <v>5</v>
      </c>
      <c r="F42" s="25">
        <v>5</v>
      </c>
      <c r="G42" s="25">
        <v>12</v>
      </c>
    </row>
    <row r="43" spans="1:7" x14ac:dyDescent="0.35">
      <c r="A43" s="24" t="s">
        <v>214</v>
      </c>
      <c r="B43" s="25"/>
      <c r="C43" s="25">
        <v>1</v>
      </c>
      <c r="D43" s="25">
        <v>2</v>
      </c>
      <c r="E43" s="25"/>
      <c r="F43" s="25">
        <v>3</v>
      </c>
      <c r="G43" s="25">
        <v>6</v>
      </c>
    </row>
    <row r="44" spans="1:7" x14ac:dyDescent="0.35">
      <c r="A44" s="24" t="s">
        <v>314</v>
      </c>
      <c r="B44" s="25">
        <v>1</v>
      </c>
      <c r="C44" s="25">
        <v>2</v>
      </c>
      <c r="D44" s="25">
        <v>1</v>
      </c>
      <c r="E44" s="25">
        <v>1</v>
      </c>
      <c r="F44" s="25">
        <v>3</v>
      </c>
      <c r="G44" s="25">
        <v>8</v>
      </c>
    </row>
    <row r="45" spans="1:7" x14ac:dyDescent="0.35">
      <c r="A45" s="24" t="s">
        <v>37</v>
      </c>
      <c r="B45" s="25">
        <v>1</v>
      </c>
      <c r="C45" s="25">
        <v>1</v>
      </c>
      <c r="D45" s="25">
        <v>3</v>
      </c>
      <c r="E45" s="25">
        <v>2</v>
      </c>
      <c r="F45" s="25">
        <v>3</v>
      </c>
      <c r="G45" s="25">
        <v>10</v>
      </c>
    </row>
    <row r="46" spans="1:7" x14ac:dyDescent="0.35">
      <c r="A46" s="24" t="s">
        <v>234</v>
      </c>
      <c r="B46" s="25">
        <v>4</v>
      </c>
      <c r="C46" s="25">
        <v>1</v>
      </c>
      <c r="D46" s="25">
        <v>4</v>
      </c>
      <c r="E46" s="25">
        <v>3</v>
      </c>
      <c r="F46" s="25">
        <v>1</v>
      </c>
      <c r="G46" s="25">
        <v>13</v>
      </c>
    </row>
    <row r="47" spans="1:7" x14ac:dyDescent="0.35">
      <c r="A47" s="24" t="s">
        <v>356</v>
      </c>
      <c r="B47" s="25"/>
      <c r="C47" s="25">
        <v>1</v>
      </c>
      <c r="D47" s="25">
        <v>1</v>
      </c>
      <c r="E47" s="25"/>
      <c r="F47" s="25">
        <v>3</v>
      </c>
      <c r="G47" s="25">
        <v>5</v>
      </c>
    </row>
    <row r="48" spans="1:7" x14ac:dyDescent="0.35">
      <c r="A48" s="24" t="s">
        <v>115</v>
      </c>
      <c r="B48" s="25">
        <v>1</v>
      </c>
      <c r="C48" s="25">
        <v>1</v>
      </c>
      <c r="D48" s="25">
        <v>3</v>
      </c>
      <c r="E48" s="25">
        <v>1</v>
      </c>
      <c r="F48" s="25">
        <v>4</v>
      </c>
      <c r="G48" s="25">
        <v>10</v>
      </c>
    </row>
    <row r="49" spans="1:7" x14ac:dyDescent="0.35">
      <c r="A49" s="24" t="s">
        <v>169</v>
      </c>
      <c r="B49" s="25">
        <v>3</v>
      </c>
      <c r="C49" s="25">
        <v>1</v>
      </c>
      <c r="D49" s="25">
        <v>3</v>
      </c>
      <c r="E49" s="25">
        <v>5</v>
      </c>
      <c r="F49" s="25">
        <v>4</v>
      </c>
      <c r="G49" s="25">
        <v>16</v>
      </c>
    </row>
    <row r="50" spans="1:7" x14ac:dyDescent="0.35">
      <c r="A50" s="24" t="s">
        <v>284</v>
      </c>
      <c r="B50" s="25">
        <v>1</v>
      </c>
      <c r="C50" s="25">
        <v>1</v>
      </c>
      <c r="D50" s="25">
        <v>2</v>
      </c>
      <c r="E50" s="25">
        <v>1</v>
      </c>
      <c r="F50" s="25">
        <v>5</v>
      </c>
      <c r="G50" s="25">
        <v>10</v>
      </c>
    </row>
    <row r="51" spans="1:7" x14ac:dyDescent="0.35">
      <c r="A51" s="24" t="s">
        <v>72</v>
      </c>
      <c r="B51" s="25"/>
      <c r="C51" s="25">
        <v>2</v>
      </c>
      <c r="D51" s="25">
        <v>2</v>
      </c>
      <c r="E51" s="25">
        <v>2</v>
      </c>
      <c r="F51" s="25">
        <v>3</v>
      </c>
      <c r="G51" s="25">
        <v>9</v>
      </c>
    </row>
    <row r="52" spans="1:7" x14ac:dyDescent="0.35">
      <c r="A52" s="24" t="s">
        <v>41</v>
      </c>
      <c r="B52" s="25"/>
      <c r="C52" s="25">
        <v>1</v>
      </c>
      <c r="D52" s="25">
        <v>4</v>
      </c>
      <c r="E52" s="25">
        <v>4</v>
      </c>
      <c r="F52" s="25">
        <v>1</v>
      </c>
      <c r="G52" s="25">
        <v>10</v>
      </c>
    </row>
    <row r="53" spans="1:7" x14ac:dyDescent="0.35">
      <c r="A53" s="24" t="s">
        <v>321</v>
      </c>
      <c r="B53" s="25">
        <v>3</v>
      </c>
      <c r="C53" s="25"/>
      <c r="D53" s="25">
        <v>2</v>
      </c>
      <c r="E53" s="25"/>
      <c r="F53" s="25">
        <v>4</v>
      </c>
      <c r="G53" s="25">
        <v>9</v>
      </c>
    </row>
    <row r="54" spans="1:7" x14ac:dyDescent="0.35">
      <c r="A54" s="24" t="s">
        <v>842</v>
      </c>
      <c r="B54" s="25">
        <v>1</v>
      </c>
      <c r="C54" s="25">
        <v>1</v>
      </c>
      <c r="D54" s="25"/>
      <c r="E54" s="25">
        <v>1</v>
      </c>
      <c r="F54" s="25">
        <v>3</v>
      </c>
      <c r="G54" s="25">
        <v>6</v>
      </c>
    </row>
    <row r="55" spans="1:7" x14ac:dyDescent="0.35">
      <c r="A55" s="24" t="s">
        <v>2474</v>
      </c>
      <c r="B55" s="25">
        <v>86</v>
      </c>
      <c r="C55" s="25">
        <v>68</v>
      </c>
      <c r="D55" s="25">
        <v>115</v>
      </c>
      <c r="E55" s="25">
        <v>94</v>
      </c>
      <c r="F55" s="25">
        <v>129</v>
      </c>
      <c r="G55" s="25">
        <v>492</v>
      </c>
    </row>
    <row r="58" spans="1:7" ht="18.5" x14ac:dyDescent="0.45">
      <c r="A58" s="35" t="s">
        <v>2477</v>
      </c>
      <c r="B58" s="35"/>
      <c r="C58" s="35"/>
      <c r="D58" s="35"/>
      <c r="E58" s="35"/>
      <c r="F58" s="35"/>
    </row>
    <row r="59" spans="1:7" x14ac:dyDescent="0.35">
      <c r="A59" s="23" t="s">
        <v>2476</v>
      </c>
      <c r="B59" s="23" t="s">
        <v>2475</v>
      </c>
    </row>
    <row r="60" spans="1:7" x14ac:dyDescent="0.35">
      <c r="A60" s="23" t="s">
        <v>2473</v>
      </c>
      <c r="B60" t="s">
        <v>1750</v>
      </c>
      <c r="C60" t="s">
        <v>1755</v>
      </c>
      <c r="D60" t="s">
        <v>1759</v>
      </c>
      <c r="E60" t="s">
        <v>1780</v>
      </c>
      <c r="F60" t="s">
        <v>2474</v>
      </c>
    </row>
    <row r="61" spans="1:7" x14ac:dyDescent="0.35">
      <c r="A61" s="24" t="s">
        <v>1554</v>
      </c>
      <c r="B61" s="44">
        <v>9863</v>
      </c>
      <c r="C61" s="44">
        <v>50562</v>
      </c>
      <c r="D61" s="44">
        <v>29089</v>
      </c>
      <c r="E61" s="44">
        <v>7320</v>
      </c>
      <c r="F61" s="44">
        <v>96834</v>
      </c>
    </row>
    <row r="62" spans="1:7" x14ac:dyDescent="0.35">
      <c r="A62" s="24" t="s">
        <v>1543</v>
      </c>
      <c r="B62" s="44">
        <v>7683</v>
      </c>
      <c r="C62" s="44">
        <v>51843</v>
      </c>
      <c r="D62" s="44">
        <v>17562</v>
      </c>
      <c r="E62" s="44">
        <v>6975</v>
      </c>
      <c r="F62" s="44">
        <v>84063</v>
      </c>
    </row>
    <row r="63" spans="1:7" x14ac:dyDescent="0.35">
      <c r="A63" s="24" t="s">
        <v>1559</v>
      </c>
      <c r="B63" s="44">
        <v>9636</v>
      </c>
      <c r="C63" s="44">
        <v>84981</v>
      </c>
      <c r="D63" s="44">
        <v>29286</v>
      </c>
      <c r="E63" s="44">
        <v>16528</v>
      </c>
      <c r="F63" s="44">
        <v>140431</v>
      </c>
    </row>
    <row r="64" spans="1:7" x14ac:dyDescent="0.35">
      <c r="A64" s="24" t="s">
        <v>1540</v>
      </c>
      <c r="B64" s="44">
        <v>9622</v>
      </c>
      <c r="C64" s="44">
        <v>56004</v>
      </c>
      <c r="D64" s="44">
        <v>21571</v>
      </c>
      <c r="E64" s="44">
        <v>9298</v>
      </c>
      <c r="F64" s="44">
        <v>96495</v>
      </c>
    </row>
    <row r="65" spans="1:7" x14ac:dyDescent="0.35">
      <c r="A65" s="24" t="s">
        <v>1562</v>
      </c>
      <c r="B65" s="44">
        <v>19451</v>
      </c>
      <c r="C65" s="44">
        <v>83946</v>
      </c>
      <c r="D65" s="44">
        <v>41363</v>
      </c>
      <c r="E65" s="44">
        <v>4958</v>
      </c>
      <c r="F65" s="44">
        <v>149718</v>
      </c>
    </row>
    <row r="66" spans="1:7" x14ac:dyDescent="0.35">
      <c r="A66" s="24" t="s">
        <v>2474</v>
      </c>
      <c r="B66" s="44">
        <v>56255</v>
      </c>
      <c r="C66" s="44">
        <v>327336</v>
      </c>
      <c r="D66" s="44">
        <v>138871</v>
      </c>
      <c r="E66" s="44">
        <v>45079</v>
      </c>
      <c r="F66" s="44">
        <v>567541</v>
      </c>
    </row>
    <row r="69" spans="1:7" ht="18.5" x14ac:dyDescent="0.45">
      <c r="A69" s="35" t="s">
        <v>2480</v>
      </c>
      <c r="B69" s="35"/>
      <c r="C69" s="35"/>
      <c r="D69" s="35"/>
      <c r="E69" s="35"/>
      <c r="F69" s="35"/>
      <c r="G69" s="35"/>
    </row>
    <row r="70" spans="1:7" x14ac:dyDescent="0.35">
      <c r="A70" s="23" t="s">
        <v>2479</v>
      </c>
      <c r="B70" s="23" t="s">
        <v>2475</v>
      </c>
    </row>
    <row r="71" spans="1:7" x14ac:dyDescent="0.35">
      <c r="A71" s="23" t="s">
        <v>2473</v>
      </c>
      <c r="B71" t="s">
        <v>1554</v>
      </c>
      <c r="C71" t="s">
        <v>1543</v>
      </c>
      <c r="D71" t="s">
        <v>1559</v>
      </c>
      <c r="E71" t="s">
        <v>1540</v>
      </c>
      <c r="F71" t="s">
        <v>1562</v>
      </c>
      <c r="G71" t="s">
        <v>2474</v>
      </c>
    </row>
    <row r="72" spans="1:7" x14ac:dyDescent="0.35">
      <c r="A72" s="24" t="s">
        <v>2486</v>
      </c>
      <c r="B72" s="44">
        <v>7</v>
      </c>
      <c r="C72" s="44">
        <v>4</v>
      </c>
      <c r="D72" s="44">
        <v>16</v>
      </c>
      <c r="E72" s="44">
        <v>6</v>
      </c>
      <c r="F72" s="44">
        <v>10</v>
      </c>
      <c r="G72" s="44">
        <v>43</v>
      </c>
    </row>
    <row r="73" spans="1:7" x14ac:dyDescent="0.35">
      <c r="A73" s="24" t="s">
        <v>2487</v>
      </c>
      <c r="B73" s="44">
        <v>5</v>
      </c>
      <c r="C73" s="44">
        <v>7</v>
      </c>
      <c r="D73" s="44">
        <v>8</v>
      </c>
      <c r="E73" s="44">
        <v>12</v>
      </c>
      <c r="F73" s="44">
        <v>8</v>
      </c>
      <c r="G73" s="44">
        <v>40</v>
      </c>
    </row>
    <row r="74" spans="1:7" x14ac:dyDescent="0.35">
      <c r="A74" s="24" t="s">
        <v>2488</v>
      </c>
      <c r="B74" s="44">
        <v>7</v>
      </c>
      <c r="C74" s="44">
        <v>5</v>
      </c>
      <c r="D74" s="44">
        <v>7</v>
      </c>
      <c r="E74" s="44">
        <v>2</v>
      </c>
      <c r="F74" s="44">
        <v>7</v>
      </c>
      <c r="G74" s="44">
        <v>28</v>
      </c>
    </row>
    <row r="75" spans="1:7" x14ac:dyDescent="0.35">
      <c r="A75" s="24" t="s">
        <v>2489</v>
      </c>
      <c r="B75" s="44">
        <v>7</v>
      </c>
      <c r="C75" s="44">
        <v>6</v>
      </c>
      <c r="D75" s="44">
        <v>9</v>
      </c>
      <c r="E75" s="44">
        <v>8</v>
      </c>
      <c r="F75" s="44">
        <v>7</v>
      </c>
      <c r="G75" s="44">
        <v>37</v>
      </c>
    </row>
    <row r="76" spans="1:7" x14ac:dyDescent="0.35">
      <c r="A76" s="24" t="s">
        <v>2490</v>
      </c>
      <c r="B76" s="44">
        <v>9</v>
      </c>
      <c r="C76" s="44">
        <v>3</v>
      </c>
      <c r="D76" s="44">
        <v>10</v>
      </c>
      <c r="E76" s="44">
        <v>5</v>
      </c>
      <c r="F76" s="44">
        <v>14</v>
      </c>
      <c r="G76" s="44">
        <v>41</v>
      </c>
    </row>
    <row r="77" spans="1:7" x14ac:dyDescent="0.35">
      <c r="A77" s="24" t="s">
        <v>2491</v>
      </c>
      <c r="B77" s="44">
        <v>4</v>
      </c>
      <c r="C77" s="44">
        <v>7</v>
      </c>
      <c r="D77" s="44">
        <v>13</v>
      </c>
      <c r="E77" s="44">
        <v>9</v>
      </c>
      <c r="F77" s="44">
        <v>8</v>
      </c>
      <c r="G77" s="44">
        <v>41</v>
      </c>
    </row>
    <row r="78" spans="1:7" x14ac:dyDescent="0.35">
      <c r="A78" s="24" t="s">
        <v>2492</v>
      </c>
      <c r="B78" s="44">
        <v>13</v>
      </c>
      <c r="C78" s="44">
        <v>3</v>
      </c>
      <c r="D78" s="44">
        <v>8</v>
      </c>
      <c r="E78" s="44">
        <v>6</v>
      </c>
      <c r="F78" s="44">
        <v>17</v>
      </c>
      <c r="G78" s="44">
        <v>47</v>
      </c>
    </row>
    <row r="79" spans="1:7" x14ac:dyDescent="0.35">
      <c r="A79" s="24" t="s">
        <v>2493</v>
      </c>
      <c r="B79" s="44">
        <v>5</v>
      </c>
      <c r="C79" s="44">
        <v>4</v>
      </c>
      <c r="D79" s="44">
        <v>8</v>
      </c>
      <c r="E79" s="44">
        <v>6</v>
      </c>
      <c r="F79" s="44">
        <v>15</v>
      </c>
      <c r="G79" s="44">
        <v>38</v>
      </c>
    </row>
    <row r="80" spans="1:7" x14ac:dyDescent="0.35">
      <c r="A80" s="24" t="s">
        <v>2494</v>
      </c>
      <c r="B80" s="44">
        <v>4</v>
      </c>
      <c r="C80" s="44">
        <v>10</v>
      </c>
      <c r="D80" s="44">
        <v>13</v>
      </c>
      <c r="E80" s="44">
        <v>8</v>
      </c>
      <c r="F80" s="44">
        <v>13</v>
      </c>
      <c r="G80" s="44">
        <v>48</v>
      </c>
    </row>
    <row r="81" spans="1:7" x14ac:dyDescent="0.35">
      <c r="A81" s="24" t="s">
        <v>2495</v>
      </c>
      <c r="B81" s="44">
        <v>6</v>
      </c>
      <c r="C81" s="44">
        <v>6</v>
      </c>
      <c r="D81" s="44">
        <v>9</v>
      </c>
      <c r="E81" s="44">
        <v>12</v>
      </c>
      <c r="F81" s="44">
        <v>7</v>
      </c>
      <c r="G81" s="44">
        <v>40</v>
      </c>
    </row>
    <row r="82" spans="1:7" x14ac:dyDescent="0.35">
      <c r="A82" s="24" t="s">
        <v>2496</v>
      </c>
      <c r="B82" s="44">
        <v>9</v>
      </c>
      <c r="C82" s="44">
        <v>6</v>
      </c>
      <c r="D82" s="44">
        <v>9</v>
      </c>
      <c r="E82" s="44">
        <v>10</v>
      </c>
      <c r="F82" s="44">
        <v>12</v>
      </c>
      <c r="G82" s="44">
        <v>46</v>
      </c>
    </row>
    <row r="83" spans="1:7" x14ac:dyDescent="0.35">
      <c r="A83" s="24" t="s">
        <v>2497</v>
      </c>
      <c r="B83" s="44">
        <v>10</v>
      </c>
      <c r="C83" s="44">
        <v>7</v>
      </c>
      <c r="D83" s="44">
        <v>5</v>
      </c>
      <c r="E83" s="44">
        <v>10</v>
      </c>
      <c r="F83" s="44">
        <v>11</v>
      </c>
      <c r="G83" s="44">
        <v>43</v>
      </c>
    </row>
    <row r="84" spans="1:7" x14ac:dyDescent="0.35">
      <c r="A84" s="24" t="s">
        <v>2474</v>
      </c>
      <c r="B84" s="44">
        <v>86</v>
      </c>
      <c r="C84" s="44">
        <v>68</v>
      </c>
      <c r="D84" s="44">
        <v>115</v>
      </c>
      <c r="E84" s="44">
        <v>94</v>
      </c>
      <c r="F84" s="44">
        <v>129</v>
      </c>
      <c r="G84" s="44">
        <v>492</v>
      </c>
    </row>
    <row r="85" spans="1:7" x14ac:dyDescent="0.35">
      <c r="A85" s="24"/>
    </row>
    <row r="86" spans="1:7" x14ac:dyDescent="0.35">
      <c r="A86" s="24"/>
    </row>
    <row r="87" spans="1:7" x14ac:dyDescent="0.35">
      <c r="A87" s="24"/>
    </row>
    <row r="88" spans="1:7" x14ac:dyDescent="0.35">
      <c r="A88" s="24"/>
    </row>
    <row r="89" spans="1:7" x14ac:dyDescent="0.35">
      <c r="A89" s="24"/>
    </row>
    <row r="90" spans="1:7" x14ac:dyDescent="0.35">
      <c r="A90" s="24"/>
    </row>
    <row r="91" spans="1:7" x14ac:dyDescent="0.35">
      <c r="A91" s="24"/>
    </row>
    <row r="92" spans="1:7" x14ac:dyDescent="0.35">
      <c r="A92" s="24"/>
    </row>
    <row r="93" spans="1:7" x14ac:dyDescent="0.35">
      <c r="A93" s="24"/>
    </row>
    <row r="94" spans="1:7" x14ac:dyDescent="0.35">
      <c r="A94" s="24"/>
    </row>
    <row r="95" spans="1:7" x14ac:dyDescent="0.35">
      <c r="A95" s="24"/>
    </row>
    <row r="96" spans="1:7" x14ac:dyDescent="0.35">
      <c r="A96" s="24"/>
    </row>
    <row r="97" spans="1:4" x14ac:dyDescent="0.35">
      <c r="A97" s="24"/>
    </row>
    <row r="98" spans="1:4" x14ac:dyDescent="0.35">
      <c r="A98" s="24"/>
    </row>
    <row r="99" spans="1:4" x14ac:dyDescent="0.35">
      <c r="A99" s="24"/>
    </row>
    <row r="100" spans="1:4" x14ac:dyDescent="0.35">
      <c r="A100" s="24"/>
    </row>
    <row r="101" spans="1:4" x14ac:dyDescent="0.35">
      <c r="A101" s="24"/>
    </row>
    <row r="103" spans="1:4" ht="18.5" x14ac:dyDescent="0.45">
      <c r="A103" s="35" t="s">
        <v>2484</v>
      </c>
      <c r="B103" s="35"/>
      <c r="C103" s="35"/>
      <c r="D103" s="35"/>
    </row>
    <row r="104" spans="1:4" x14ac:dyDescent="0.35">
      <c r="A104" s="23" t="s">
        <v>5</v>
      </c>
      <c r="B104" t="s">
        <v>2478</v>
      </c>
    </row>
    <row r="106" spans="1:4" x14ac:dyDescent="0.35">
      <c r="A106" s="23" t="s">
        <v>2483</v>
      </c>
      <c r="B106" s="23" t="s">
        <v>2475</v>
      </c>
    </row>
    <row r="107" spans="1:4" x14ac:dyDescent="0.35">
      <c r="A107" s="23" t="s">
        <v>2473</v>
      </c>
      <c r="B107" t="s">
        <v>14</v>
      </c>
      <c r="C107" t="s">
        <v>8</v>
      </c>
      <c r="D107" t="s">
        <v>2474</v>
      </c>
    </row>
    <row r="108" spans="1:4" x14ac:dyDescent="0.35">
      <c r="A108" s="24" t="s">
        <v>1750</v>
      </c>
      <c r="B108" s="26">
        <v>1177.6190476190477</v>
      </c>
      <c r="C108" s="26">
        <v>1125.8928571428571</v>
      </c>
      <c r="D108" s="26">
        <v>1148.0612244897959</v>
      </c>
    </row>
    <row r="109" spans="1:4" x14ac:dyDescent="0.35">
      <c r="A109" s="24" t="s">
        <v>1755</v>
      </c>
      <c r="B109" s="26">
        <v>1120.3959731543623</v>
      </c>
      <c r="C109" s="26">
        <v>1091.1360544217687</v>
      </c>
      <c r="D109" s="26">
        <v>1105.8648648648648</v>
      </c>
    </row>
    <row r="110" spans="1:4" x14ac:dyDescent="0.35">
      <c r="A110" s="24" t="s">
        <v>1759</v>
      </c>
      <c r="B110" s="26">
        <v>1469.840579710145</v>
      </c>
      <c r="C110" s="26">
        <v>960.30769230769226</v>
      </c>
      <c r="D110" s="26">
        <v>1285.8425925925926</v>
      </c>
    </row>
    <row r="111" spans="1:4" x14ac:dyDescent="0.35">
      <c r="A111" s="24" t="s">
        <v>1780</v>
      </c>
      <c r="B111" s="26">
        <v>1306.5999999999999</v>
      </c>
      <c r="C111" s="26">
        <v>997.21052631578948</v>
      </c>
      <c r="D111" s="26">
        <v>1155.8717948717949</v>
      </c>
    </row>
    <row r="112" spans="1:4" x14ac:dyDescent="0.35">
      <c r="A112" s="24" t="s">
        <v>2474</v>
      </c>
      <c r="B112" s="26">
        <v>1232.5096525096526</v>
      </c>
      <c r="C112" s="26">
        <v>1065.755364806867</v>
      </c>
      <c r="D112" s="26">
        <v>1153.5386178861788</v>
      </c>
    </row>
    <row r="116" spans="1:5" ht="18.5" x14ac:dyDescent="0.45">
      <c r="A116" s="35" t="s">
        <v>2481</v>
      </c>
      <c r="B116" s="35"/>
      <c r="C116" s="35"/>
      <c r="D116" s="35"/>
      <c r="E116" s="35"/>
    </row>
    <row r="117" spans="1:5" x14ac:dyDescent="0.35">
      <c r="A117" s="23" t="s">
        <v>1534</v>
      </c>
      <c r="B117" t="s">
        <v>2478</v>
      </c>
    </row>
    <row r="119" spans="1:5" x14ac:dyDescent="0.35">
      <c r="A119" s="23" t="s">
        <v>2476</v>
      </c>
      <c r="B119" s="23" t="s">
        <v>2475</v>
      </c>
    </row>
    <row r="120" spans="1:5" x14ac:dyDescent="0.35">
      <c r="A120" s="23" t="s">
        <v>2473</v>
      </c>
      <c r="B120" t="s">
        <v>1822</v>
      </c>
      <c r="C120" t="s">
        <v>1817</v>
      </c>
      <c r="D120" t="s">
        <v>1819</v>
      </c>
      <c r="E120" t="s">
        <v>2474</v>
      </c>
    </row>
    <row r="121" spans="1:5" x14ac:dyDescent="0.35">
      <c r="A121" s="24" t="s">
        <v>2486</v>
      </c>
      <c r="B121" s="44">
        <v>9450</v>
      </c>
      <c r="C121" s="44">
        <v>18690</v>
      </c>
      <c r="D121" s="44">
        <v>22842</v>
      </c>
      <c r="E121" s="44">
        <v>50982</v>
      </c>
    </row>
    <row r="122" spans="1:5" x14ac:dyDescent="0.35">
      <c r="A122" s="24" t="s">
        <v>2487</v>
      </c>
      <c r="B122" s="44">
        <v>5182</v>
      </c>
      <c r="C122" s="44">
        <v>21063</v>
      </c>
      <c r="D122" s="44">
        <v>11677</v>
      </c>
      <c r="E122" s="44">
        <v>37922</v>
      </c>
    </row>
    <row r="123" spans="1:5" x14ac:dyDescent="0.35">
      <c r="A123" s="24" t="s">
        <v>2488</v>
      </c>
      <c r="B123" s="44">
        <v>16377</v>
      </c>
      <c r="C123" s="44">
        <v>11967</v>
      </c>
      <c r="D123" s="44">
        <v>11766</v>
      </c>
      <c r="E123" s="44">
        <v>40110</v>
      </c>
    </row>
    <row r="124" spans="1:5" x14ac:dyDescent="0.35">
      <c r="A124" s="24" t="s">
        <v>2489</v>
      </c>
      <c r="B124" s="44">
        <v>7272</v>
      </c>
      <c r="C124" s="44">
        <v>22450</v>
      </c>
      <c r="D124" s="44">
        <v>20456</v>
      </c>
      <c r="E124" s="44">
        <v>50178</v>
      </c>
    </row>
    <row r="125" spans="1:5" x14ac:dyDescent="0.35">
      <c r="A125" s="24" t="s">
        <v>2490</v>
      </c>
      <c r="B125" s="44">
        <v>11562</v>
      </c>
      <c r="C125" s="44">
        <v>15535</v>
      </c>
      <c r="D125" s="44">
        <v>19133</v>
      </c>
      <c r="E125" s="44">
        <v>46230</v>
      </c>
    </row>
    <row r="126" spans="1:5" x14ac:dyDescent="0.35">
      <c r="A126" s="24" t="s">
        <v>2491</v>
      </c>
      <c r="B126" s="44">
        <v>15818</v>
      </c>
      <c r="C126" s="44">
        <v>13406</v>
      </c>
      <c r="D126" s="44">
        <v>6825</v>
      </c>
      <c r="E126" s="44">
        <v>36049</v>
      </c>
    </row>
    <row r="127" spans="1:5" x14ac:dyDescent="0.35">
      <c r="A127" s="24" t="s">
        <v>2492</v>
      </c>
      <c r="B127" s="44">
        <v>20345</v>
      </c>
      <c r="C127" s="44">
        <v>12202</v>
      </c>
      <c r="D127" s="44">
        <v>15274</v>
      </c>
      <c r="E127" s="44">
        <v>47821</v>
      </c>
    </row>
    <row r="128" spans="1:5" x14ac:dyDescent="0.35">
      <c r="A128" s="24" t="s">
        <v>2493</v>
      </c>
      <c r="B128" s="44">
        <v>21986</v>
      </c>
      <c r="C128" s="44">
        <v>15154</v>
      </c>
      <c r="D128" s="44">
        <v>14969</v>
      </c>
      <c r="E128" s="44">
        <v>52109</v>
      </c>
    </row>
    <row r="129" spans="1:5" x14ac:dyDescent="0.35">
      <c r="A129" s="24" t="s">
        <v>2494</v>
      </c>
      <c r="B129" s="44">
        <v>20922</v>
      </c>
      <c r="C129" s="44">
        <v>17000</v>
      </c>
      <c r="D129" s="44">
        <v>19589</v>
      </c>
      <c r="E129" s="44">
        <v>57511</v>
      </c>
    </row>
    <row r="130" spans="1:5" x14ac:dyDescent="0.35">
      <c r="A130" s="24" t="s">
        <v>2495</v>
      </c>
      <c r="B130" s="44">
        <v>13502</v>
      </c>
      <c r="C130" s="44">
        <v>17602</v>
      </c>
      <c r="D130" s="44">
        <v>17862</v>
      </c>
      <c r="E130" s="44">
        <v>48966</v>
      </c>
    </row>
    <row r="131" spans="1:5" x14ac:dyDescent="0.35">
      <c r="A131" s="24" t="s">
        <v>2496</v>
      </c>
      <c r="B131" s="44">
        <v>9506</v>
      </c>
      <c r="C131" s="44">
        <v>19037</v>
      </c>
      <c r="D131" s="44">
        <v>17485</v>
      </c>
      <c r="E131" s="44">
        <v>46028</v>
      </c>
    </row>
    <row r="132" spans="1:5" x14ac:dyDescent="0.35">
      <c r="A132" s="24" t="s">
        <v>2497</v>
      </c>
      <c r="B132" s="44">
        <v>17935</v>
      </c>
      <c r="C132" s="44">
        <v>14002</v>
      </c>
      <c r="D132" s="44">
        <v>21698</v>
      </c>
      <c r="E132" s="44">
        <v>53635</v>
      </c>
    </row>
    <row r="133" spans="1:5" x14ac:dyDescent="0.35">
      <c r="A133" s="24" t="s">
        <v>2474</v>
      </c>
      <c r="B133" s="44">
        <v>169857</v>
      </c>
      <c r="C133" s="44">
        <v>198108</v>
      </c>
      <c r="D133" s="44">
        <v>199576</v>
      </c>
      <c r="E133" s="44">
        <v>567541</v>
      </c>
    </row>
  </sheetData>
  <mergeCells count="5">
    <mergeCell ref="A2:D2"/>
    <mergeCell ref="A58:F58"/>
    <mergeCell ref="A69:G69"/>
    <mergeCell ref="A103:D103"/>
    <mergeCell ref="A116:E116"/>
  </mergeCells>
  <pageMargins left="0.7" right="0.7" top="0.75" bottom="0.75" header="0.3" footer="0.3"/>
  <drawing r:id="rId6"/>
  <extLst>
    <ext xmlns:x14="http://schemas.microsoft.com/office/spreadsheetml/2009/9/main" uri="{A8765BA9-456A-4dab-B4F3-ACF838C121DE}">
      <x14:slicerList>
        <x14:slicer r:id="rId7"/>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D0F370-9384-4500-BCF3-7836D0E03A15}">
  <dimension ref="A1:U45"/>
  <sheetViews>
    <sheetView tabSelected="1" zoomScale="55" workbookViewId="0">
      <selection activeCell="W10" sqref="W10"/>
    </sheetView>
  </sheetViews>
  <sheetFormatPr defaultRowHeight="14.5" x14ac:dyDescent="0.35"/>
  <sheetData>
    <row r="1" spans="1:21" ht="14.5" customHeight="1" x14ac:dyDescent="0.35">
      <c r="A1" s="42" t="s">
        <v>2485</v>
      </c>
      <c r="B1" s="42"/>
      <c r="C1" s="42"/>
      <c r="D1" s="42"/>
      <c r="E1" s="42"/>
      <c r="F1" s="42"/>
      <c r="G1" s="42"/>
      <c r="H1" s="42"/>
      <c r="I1" s="42"/>
      <c r="J1" s="42"/>
      <c r="K1" s="42"/>
      <c r="L1" s="42"/>
      <c r="M1" s="42"/>
      <c r="N1" s="42"/>
      <c r="O1" s="42"/>
      <c r="P1" s="42"/>
      <c r="Q1" s="42"/>
      <c r="R1" s="42"/>
      <c r="S1" s="42"/>
      <c r="T1" s="42"/>
      <c r="U1" s="42"/>
    </row>
    <row r="2" spans="1:21" ht="14.5" customHeight="1" x14ac:dyDescent="0.35">
      <c r="A2" s="42"/>
      <c r="B2" s="42"/>
      <c r="C2" s="42"/>
      <c r="D2" s="42"/>
      <c r="E2" s="42"/>
      <c r="F2" s="42"/>
      <c r="G2" s="42"/>
      <c r="H2" s="42"/>
      <c r="I2" s="42"/>
      <c r="J2" s="42"/>
      <c r="K2" s="42"/>
      <c r="L2" s="42"/>
      <c r="M2" s="42"/>
      <c r="N2" s="42"/>
      <c r="O2" s="42"/>
      <c r="P2" s="42"/>
      <c r="Q2" s="42"/>
      <c r="R2" s="42"/>
      <c r="S2" s="42"/>
      <c r="T2" s="42"/>
      <c r="U2" s="42"/>
    </row>
    <row r="3" spans="1:21" ht="14.5" customHeight="1" x14ac:dyDescent="0.35">
      <c r="A3" s="42"/>
      <c r="B3" s="42"/>
      <c r="C3" s="42"/>
      <c r="D3" s="42"/>
      <c r="E3" s="42"/>
      <c r="F3" s="42"/>
      <c r="G3" s="42"/>
      <c r="H3" s="42"/>
      <c r="I3" s="42"/>
      <c r="J3" s="42"/>
      <c r="K3" s="42"/>
      <c r="L3" s="42"/>
      <c r="M3" s="42"/>
      <c r="N3" s="42"/>
      <c r="O3" s="42"/>
      <c r="P3" s="42"/>
      <c r="Q3" s="42"/>
      <c r="R3" s="42"/>
      <c r="S3" s="42"/>
      <c r="T3" s="42"/>
      <c r="U3" s="42"/>
    </row>
    <row r="4" spans="1:21" x14ac:dyDescent="0.35">
      <c r="A4" s="43"/>
      <c r="B4" s="43"/>
      <c r="C4" s="43"/>
      <c r="D4" s="43"/>
      <c r="E4" s="43"/>
      <c r="F4" s="43"/>
      <c r="G4" s="43"/>
      <c r="H4" s="43"/>
      <c r="I4" s="43"/>
      <c r="J4" s="43"/>
      <c r="K4" s="43"/>
      <c r="L4" s="43"/>
      <c r="M4" s="43"/>
      <c r="N4" s="43"/>
      <c r="O4" s="43"/>
      <c r="P4" s="43"/>
      <c r="Q4" s="43"/>
      <c r="R4" s="43"/>
      <c r="S4" s="43"/>
      <c r="T4" s="43"/>
      <c r="U4" s="43"/>
    </row>
    <row r="5" spans="1:21" x14ac:dyDescent="0.35">
      <c r="A5" s="43"/>
      <c r="B5" s="43"/>
      <c r="C5" s="43"/>
      <c r="D5" s="43"/>
      <c r="E5" s="43"/>
      <c r="F5" s="43"/>
      <c r="G5" s="43"/>
      <c r="H5" s="43"/>
      <c r="I5" s="43"/>
      <c r="J5" s="43"/>
      <c r="K5" s="43"/>
      <c r="L5" s="43"/>
      <c r="M5" s="43"/>
      <c r="N5" s="43"/>
      <c r="O5" s="43"/>
      <c r="P5" s="43"/>
      <c r="Q5" s="43"/>
      <c r="R5" s="43"/>
      <c r="S5" s="43"/>
      <c r="T5" s="43"/>
      <c r="U5" s="43"/>
    </row>
    <row r="6" spans="1:21" x14ac:dyDescent="0.35">
      <c r="A6" s="43"/>
      <c r="B6" s="43"/>
      <c r="C6" s="43"/>
      <c r="D6" s="43"/>
      <c r="E6" s="43"/>
      <c r="F6" s="43"/>
      <c r="G6" s="43"/>
      <c r="H6" s="43"/>
      <c r="I6" s="43"/>
      <c r="J6" s="43"/>
      <c r="K6" s="43"/>
      <c r="L6" s="43"/>
      <c r="M6" s="43"/>
      <c r="N6" s="43"/>
      <c r="O6" s="43"/>
      <c r="P6" s="43"/>
      <c r="Q6" s="43"/>
      <c r="R6" s="43"/>
      <c r="S6" s="43"/>
      <c r="T6" s="43"/>
      <c r="U6" s="43"/>
    </row>
    <row r="7" spans="1:21" x14ac:dyDescent="0.35">
      <c r="A7" s="43"/>
      <c r="B7" s="43"/>
      <c r="C7" s="43"/>
      <c r="D7" s="43"/>
      <c r="E7" s="43"/>
      <c r="F7" s="43"/>
      <c r="G7" s="43"/>
      <c r="H7" s="43"/>
      <c r="I7" s="43"/>
      <c r="J7" s="43"/>
      <c r="K7" s="43"/>
      <c r="L7" s="43"/>
      <c r="M7" s="43"/>
      <c r="N7" s="43"/>
      <c r="O7" s="43"/>
      <c r="P7" s="43"/>
      <c r="Q7" s="43"/>
      <c r="R7" s="43"/>
      <c r="S7" s="43"/>
      <c r="T7" s="43"/>
      <c r="U7" s="43"/>
    </row>
    <row r="8" spans="1:21" x14ac:dyDescent="0.35">
      <c r="A8" s="43"/>
      <c r="B8" s="43"/>
      <c r="C8" s="43"/>
      <c r="D8" s="43"/>
      <c r="E8" s="43"/>
      <c r="F8" s="43"/>
      <c r="G8" s="43"/>
      <c r="H8" s="43"/>
      <c r="I8" s="43"/>
      <c r="J8" s="43"/>
      <c r="K8" s="43"/>
      <c r="L8" s="43"/>
      <c r="M8" s="43"/>
      <c r="N8" s="43"/>
      <c r="O8" s="43"/>
      <c r="P8" s="43"/>
      <c r="Q8" s="43"/>
      <c r="R8" s="43"/>
      <c r="S8" s="43"/>
      <c r="T8" s="43"/>
      <c r="U8" s="43"/>
    </row>
    <row r="9" spans="1:21" x14ac:dyDescent="0.35">
      <c r="A9" s="43"/>
      <c r="B9" s="43"/>
      <c r="C9" s="43"/>
      <c r="D9" s="43"/>
      <c r="E9" s="43"/>
      <c r="F9" s="43"/>
      <c r="G9" s="43"/>
      <c r="H9" s="43"/>
      <c r="I9" s="43"/>
      <c r="J9" s="43"/>
      <c r="K9" s="43"/>
      <c r="L9" s="43"/>
      <c r="M9" s="43"/>
      <c r="N9" s="43"/>
      <c r="O9" s="43"/>
      <c r="P9" s="43"/>
      <c r="Q9" s="43"/>
      <c r="R9" s="43"/>
      <c r="S9" s="43"/>
      <c r="T9" s="43"/>
      <c r="U9" s="43"/>
    </row>
    <row r="10" spans="1:21" x14ac:dyDescent="0.35">
      <c r="A10" s="43"/>
      <c r="B10" s="43"/>
      <c r="C10" s="43"/>
      <c r="D10" s="43"/>
      <c r="E10" s="43"/>
      <c r="F10" s="43"/>
      <c r="G10" s="43"/>
      <c r="H10" s="43"/>
      <c r="I10" s="43"/>
      <c r="J10" s="43"/>
      <c r="K10" s="43"/>
      <c r="L10" s="43"/>
      <c r="M10" s="43"/>
      <c r="N10" s="43"/>
      <c r="O10" s="43"/>
      <c r="P10" s="43"/>
      <c r="Q10" s="43"/>
      <c r="R10" s="43"/>
      <c r="S10" s="43"/>
      <c r="T10" s="43"/>
      <c r="U10" s="43"/>
    </row>
    <row r="11" spans="1:21" x14ac:dyDescent="0.35">
      <c r="A11" s="43"/>
      <c r="B11" s="43"/>
      <c r="C11" s="43"/>
      <c r="D11" s="43"/>
      <c r="E11" s="43"/>
      <c r="F11" s="43"/>
      <c r="G11" s="43"/>
      <c r="H11" s="43"/>
      <c r="I11" s="43"/>
      <c r="J11" s="43"/>
      <c r="K11" s="43"/>
      <c r="L11" s="43"/>
      <c r="M11" s="43"/>
      <c r="N11" s="43"/>
      <c r="O11" s="43"/>
      <c r="P11" s="43"/>
      <c r="Q11" s="43"/>
      <c r="R11" s="43"/>
      <c r="S11" s="43"/>
      <c r="T11" s="43"/>
      <c r="U11" s="43"/>
    </row>
    <row r="12" spans="1:21" x14ac:dyDescent="0.35">
      <c r="A12" s="43"/>
      <c r="B12" s="43"/>
      <c r="C12" s="43"/>
      <c r="D12" s="43"/>
      <c r="E12" s="43"/>
      <c r="F12" s="43"/>
      <c r="G12" s="43"/>
      <c r="H12" s="43"/>
      <c r="I12" s="43"/>
      <c r="J12" s="43"/>
      <c r="K12" s="43"/>
      <c r="L12" s="43"/>
      <c r="M12" s="43"/>
      <c r="N12" s="43"/>
      <c r="O12" s="43"/>
      <c r="P12" s="43"/>
      <c r="Q12" s="43"/>
      <c r="R12" s="43"/>
      <c r="S12" s="43"/>
      <c r="T12" s="43"/>
      <c r="U12" s="43"/>
    </row>
    <row r="13" spans="1:21" x14ac:dyDescent="0.35">
      <c r="A13" s="43"/>
      <c r="B13" s="43"/>
      <c r="C13" s="43"/>
      <c r="D13" s="43"/>
      <c r="E13" s="43"/>
      <c r="F13" s="43"/>
      <c r="G13" s="43"/>
      <c r="H13" s="43"/>
      <c r="I13" s="43"/>
      <c r="J13" s="43"/>
      <c r="K13" s="43"/>
      <c r="L13" s="43"/>
      <c r="M13" s="43"/>
      <c r="N13" s="43"/>
      <c r="O13" s="43"/>
      <c r="P13" s="43"/>
      <c r="Q13" s="43"/>
      <c r="R13" s="43"/>
      <c r="S13" s="43"/>
      <c r="T13" s="43"/>
      <c r="U13" s="43"/>
    </row>
    <row r="14" spans="1:21" x14ac:dyDescent="0.35">
      <c r="A14" s="43"/>
      <c r="B14" s="43"/>
      <c r="C14" s="43"/>
      <c r="D14" s="43"/>
      <c r="E14" s="43"/>
      <c r="F14" s="43"/>
      <c r="G14" s="43"/>
      <c r="H14" s="43"/>
      <c r="I14" s="43"/>
      <c r="J14" s="43"/>
      <c r="K14" s="43"/>
      <c r="L14" s="43"/>
      <c r="M14" s="43"/>
      <c r="N14" s="43"/>
      <c r="O14" s="43"/>
      <c r="P14" s="43"/>
      <c r="Q14" s="43"/>
      <c r="R14" s="43"/>
      <c r="S14" s="43"/>
      <c r="T14" s="43"/>
      <c r="U14" s="43"/>
    </row>
    <row r="15" spans="1:21" x14ac:dyDescent="0.35">
      <c r="A15" s="43"/>
      <c r="B15" s="43"/>
      <c r="C15" s="43"/>
      <c r="D15" s="43"/>
      <c r="E15" s="43"/>
      <c r="F15" s="43"/>
      <c r="G15" s="43"/>
      <c r="H15" s="43"/>
      <c r="I15" s="43"/>
      <c r="J15" s="43"/>
      <c r="K15" s="43"/>
      <c r="L15" s="43"/>
      <c r="M15" s="43"/>
      <c r="N15" s="43"/>
      <c r="O15" s="43"/>
      <c r="P15" s="43"/>
      <c r="Q15" s="43"/>
      <c r="R15" s="43"/>
      <c r="S15" s="43"/>
      <c r="T15" s="43"/>
      <c r="U15" s="43"/>
    </row>
    <row r="16" spans="1:21" x14ac:dyDescent="0.35">
      <c r="A16" s="43"/>
      <c r="B16" s="43"/>
      <c r="C16" s="43"/>
      <c r="D16" s="43"/>
      <c r="E16" s="43"/>
      <c r="F16" s="43"/>
      <c r="G16" s="43"/>
      <c r="H16" s="43"/>
      <c r="I16" s="43"/>
      <c r="J16" s="43"/>
      <c r="K16" s="43"/>
      <c r="L16" s="43"/>
      <c r="M16" s="43"/>
      <c r="N16" s="43"/>
      <c r="O16" s="43"/>
      <c r="P16" s="43"/>
      <c r="Q16" s="43"/>
      <c r="R16" s="43"/>
      <c r="S16" s="43"/>
      <c r="T16" s="43"/>
      <c r="U16" s="43"/>
    </row>
    <row r="17" spans="1:21" x14ac:dyDescent="0.35">
      <c r="A17" s="43"/>
      <c r="B17" s="43"/>
      <c r="C17" s="43"/>
      <c r="D17" s="43"/>
      <c r="E17" s="43"/>
      <c r="F17" s="43"/>
      <c r="G17" s="43"/>
      <c r="H17" s="43"/>
      <c r="I17" s="43"/>
      <c r="J17" s="43"/>
      <c r="K17" s="43"/>
      <c r="L17" s="43"/>
      <c r="M17" s="43"/>
      <c r="N17" s="43"/>
      <c r="O17" s="43"/>
      <c r="P17" s="43"/>
      <c r="Q17" s="43"/>
      <c r="R17" s="43"/>
      <c r="S17" s="43"/>
      <c r="T17" s="43"/>
      <c r="U17" s="43"/>
    </row>
    <row r="18" spans="1:21" x14ac:dyDescent="0.35">
      <c r="A18" s="43"/>
      <c r="B18" s="43"/>
      <c r="C18" s="43"/>
      <c r="D18" s="43"/>
      <c r="E18" s="43"/>
      <c r="F18" s="43"/>
      <c r="G18" s="43"/>
      <c r="H18" s="43"/>
      <c r="I18" s="43"/>
      <c r="J18" s="43"/>
      <c r="K18" s="43"/>
      <c r="L18" s="43"/>
      <c r="M18" s="43"/>
      <c r="N18" s="43"/>
      <c r="O18" s="43"/>
      <c r="P18" s="43"/>
      <c r="Q18" s="43"/>
      <c r="R18" s="43"/>
      <c r="S18" s="43"/>
      <c r="T18" s="43"/>
      <c r="U18" s="43"/>
    </row>
    <row r="19" spans="1:21" x14ac:dyDescent="0.35">
      <c r="A19" s="43"/>
      <c r="B19" s="43"/>
      <c r="C19" s="43"/>
      <c r="D19" s="43"/>
      <c r="E19" s="43"/>
      <c r="F19" s="43"/>
      <c r="G19" s="43"/>
      <c r="H19" s="43"/>
      <c r="I19" s="43"/>
      <c r="J19" s="43"/>
      <c r="K19" s="43"/>
      <c r="L19" s="43"/>
      <c r="M19" s="43"/>
      <c r="N19" s="43"/>
      <c r="O19" s="43"/>
      <c r="P19" s="43"/>
      <c r="Q19" s="43"/>
      <c r="R19" s="43"/>
      <c r="S19" s="43"/>
      <c r="T19" s="43"/>
      <c r="U19" s="43"/>
    </row>
    <row r="20" spans="1:21" x14ac:dyDescent="0.35">
      <c r="A20" s="43"/>
      <c r="B20" s="43"/>
      <c r="C20" s="43"/>
      <c r="D20" s="43"/>
      <c r="E20" s="43"/>
      <c r="F20" s="43"/>
      <c r="G20" s="43"/>
      <c r="H20" s="43"/>
      <c r="I20" s="43"/>
      <c r="J20" s="43"/>
      <c r="K20" s="43"/>
      <c r="L20" s="43"/>
      <c r="M20" s="43"/>
      <c r="N20" s="43"/>
      <c r="O20" s="43"/>
      <c r="P20" s="43"/>
      <c r="Q20" s="43"/>
      <c r="R20" s="43"/>
      <c r="S20" s="43"/>
      <c r="T20" s="43"/>
      <c r="U20" s="43"/>
    </row>
    <row r="21" spans="1:21" x14ac:dyDescent="0.35">
      <c r="A21" s="43"/>
      <c r="B21" s="43"/>
      <c r="C21" s="43"/>
      <c r="D21" s="43"/>
      <c r="E21" s="43"/>
      <c r="F21" s="43"/>
      <c r="G21" s="43"/>
      <c r="H21" s="43"/>
      <c r="I21" s="43"/>
      <c r="J21" s="43"/>
      <c r="K21" s="43"/>
      <c r="L21" s="43"/>
      <c r="M21" s="43"/>
      <c r="N21" s="43"/>
      <c r="O21" s="43"/>
      <c r="P21" s="43"/>
      <c r="Q21" s="43"/>
      <c r="R21" s="43"/>
      <c r="S21" s="43"/>
      <c r="T21" s="43"/>
      <c r="U21" s="43"/>
    </row>
    <row r="22" spans="1:21" x14ac:dyDescent="0.35">
      <c r="A22" s="43"/>
      <c r="B22" s="43"/>
      <c r="C22" s="43"/>
      <c r="D22" s="43"/>
      <c r="E22" s="43"/>
      <c r="F22" s="43"/>
      <c r="G22" s="43"/>
      <c r="H22" s="43"/>
      <c r="I22" s="43"/>
      <c r="J22" s="43"/>
      <c r="K22" s="43"/>
      <c r="L22" s="43"/>
      <c r="M22" s="43"/>
      <c r="N22" s="43"/>
      <c r="O22" s="43"/>
      <c r="P22" s="43"/>
      <c r="Q22" s="43"/>
      <c r="R22" s="43"/>
      <c r="S22" s="43"/>
      <c r="T22" s="43"/>
      <c r="U22" s="43"/>
    </row>
    <row r="23" spans="1:21" x14ac:dyDescent="0.35">
      <c r="A23" s="43"/>
      <c r="B23" s="43"/>
      <c r="C23" s="43"/>
      <c r="D23" s="43"/>
      <c r="E23" s="43"/>
      <c r="F23" s="43"/>
      <c r="G23" s="43"/>
      <c r="H23" s="43"/>
      <c r="I23" s="43"/>
      <c r="J23" s="43"/>
      <c r="K23" s="43"/>
      <c r="L23" s="43"/>
      <c r="M23" s="43"/>
      <c r="N23" s="43"/>
      <c r="O23" s="43"/>
      <c r="P23" s="43"/>
      <c r="Q23" s="43"/>
      <c r="R23" s="43"/>
      <c r="S23" s="43"/>
      <c r="T23" s="43"/>
      <c r="U23" s="43"/>
    </row>
    <row r="24" spans="1:21" x14ac:dyDescent="0.35">
      <c r="A24" s="43"/>
      <c r="B24" s="43"/>
      <c r="C24" s="43"/>
      <c r="D24" s="43"/>
      <c r="E24" s="43"/>
      <c r="F24" s="43"/>
      <c r="G24" s="43"/>
      <c r="H24" s="43"/>
      <c r="I24" s="43"/>
      <c r="J24" s="43"/>
      <c r="K24" s="43"/>
      <c r="L24" s="43"/>
      <c r="M24" s="43"/>
      <c r="N24" s="43"/>
      <c r="O24" s="43"/>
      <c r="P24" s="43"/>
      <c r="Q24" s="43"/>
      <c r="R24" s="43"/>
      <c r="S24" s="43"/>
      <c r="T24" s="43"/>
      <c r="U24" s="43"/>
    </row>
    <row r="25" spans="1:21" x14ac:dyDescent="0.35">
      <c r="A25" s="43"/>
      <c r="B25" s="43"/>
      <c r="C25" s="43"/>
      <c r="D25" s="43"/>
      <c r="E25" s="43"/>
      <c r="F25" s="43"/>
      <c r="G25" s="43"/>
      <c r="H25" s="43"/>
      <c r="I25" s="43"/>
      <c r="J25" s="43"/>
      <c r="K25" s="43"/>
      <c r="L25" s="43"/>
      <c r="M25" s="43"/>
      <c r="N25" s="43"/>
      <c r="O25" s="43"/>
      <c r="P25" s="43"/>
      <c r="Q25" s="43"/>
      <c r="R25" s="43"/>
      <c r="S25" s="43"/>
      <c r="T25" s="43"/>
      <c r="U25" s="43"/>
    </row>
    <row r="26" spans="1:21" x14ac:dyDescent="0.35">
      <c r="A26" s="43"/>
      <c r="B26" s="43"/>
      <c r="C26" s="43"/>
      <c r="D26" s="43"/>
      <c r="E26" s="43"/>
      <c r="F26" s="43"/>
      <c r="G26" s="43"/>
      <c r="H26" s="43"/>
      <c r="I26" s="43"/>
      <c r="J26" s="43"/>
      <c r="K26" s="43"/>
      <c r="L26" s="43"/>
      <c r="M26" s="43"/>
      <c r="N26" s="43"/>
      <c r="O26" s="43"/>
      <c r="P26" s="43"/>
      <c r="Q26" s="43"/>
      <c r="R26" s="43"/>
      <c r="S26" s="43"/>
      <c r="T26" s="43"/>
      <c r="U26" s="43"/>
    </row>
    <row r="27" spans="1:21" x14ac:dyDescent="0.35">
      <c r="A27" s="43"/>
      <c r="B27" s="43"/>
      <c r="C27" s="43"/>
      <c r="D27" s="43"/>
      <c r="E27" s="43"/>
      <c r="F27" s="43"/>
      <c r="G27" s="43"/>
      <c r="H27" s="43"/>
      <c r="I27" s="43"/>
      <c r="J27" s="43"/>
      <c r="K27" s="43"/>
      <c r="L27" s="43"/>
      <c r="M27" s="43"/>
      <c r="N27" s="43"/>
      <c r="O27" s="43"/>
      <c r="P27" s="43"/>
      <c r="Q27" s="43"/>
      <c r="R27" s="43"/>
      <c r="S27" s="43"/>
      <c r="T27" s="43"/>
      <c r="U27" s="43"/>
    </row>
    <row r="28" spans="1:21" x14ac:dyDescent="0.35">
      <c r="A28" s="43"/>
      <c r="B28" s="43"/>
      <c r="C28" s="43"/>
      <c r="D28" s="43"/>
      <c r="E28" s="43"/>
      <c r="F28" s="43"/>
      <c r="G28" s="43"/>
      <c r="H28" s="43"/>
      <c r="I28" s="43"/>
      <c r="J28" s="43"/>
      <c r="K28" s="43"/>
      <c r="L28" s="43"/>
      <c r="M28" s="43"/>
      <c r="N28" s="43"/>
      <c r="O28" s="43"/>
      <c r="P28" s="43"/>
      <c r="Q28" s="43"/>
      <c r="R28" s="43"/>
      <c r="S28" s="43"/>
      <c r="T28" s="43"/>
      <c r="U28" s="43"/>
    </row>
    <row r="29" spans="1:21" x14ac:dyDescent="0.35">
      <c r="A29" s="43"/>
      <c r="B29" s="43"/>
      <c r="C29" s="43"/>
      <c r="D29" s="43"/>
      <c r="E29" s="43"/>
      <c r="F29" s="43"/>
      <c r="G29" s="43"/>
      <c r="H29" s="43"/>
      <c r="I29" s="43"/>
      <c r="J29" s="43"/>
      <c r="K29" s="43"/>
      <c r="L29" s="43"/>
      <c r="M29" s="43"/>
      <c r="N29" s="43"/>
      <c r="O29" s="43"/>
      <c r="P29" s="43"/>
      <c r="Q29" s="43"/>
      <c r="R29" s="43"/>
      <c r="S29" s="43"/>
      <c r="T29" s="43"/>
      <c r="U29" s="43"/>
    </row>
    <row r="30" spans="1:21" x14ac:dyDescent="0.35">
      <c r="A30" s="43"/>
      <c r="B30" s="43"/>
      <c r="C30" s="43"/>
      <c r="D30" s="43"/>
      <c r="E30" s="43"/>
      <c r="F30" s="43"/>
      <c r="G30" s="43"/>
      <c r="H30" s="43"/>
      <c r="I30" s="43"/>
      <c r="J30" s="43"/>
      <c r="K30" s="43"/>
      <c r="L30" s="43"/>
      <c r="M30" s="43"/>
      <c r="N30" s="43"/>
      <c r="O30" s="43"/>
      <c r="P30" s="43"/>
      <c r="Q30" s="43"/>
      <c r="R30" s="43"/>
      <c r="S30" s="43"/>
      <c r="T30" s="43"/>
      <c r="U30" s="43"/>
    </row>
    <row r="31" spans="1:21" x14ac:dyDescent="0.35">
      <c r="A31" s="43"/>
      <c r="B31" s="43"/>
      <c r="C31" s="43"/>
      <c r="D31" s="43"/>
      <c r="E31" s="43"/>
      <c r="F31" s="43"/>
      <c r="G31" s="43"/>
      <c r="H31" s="43"/>
      <c r="I31" s="43"/>
      <c r="J31" s="43"/>
      <c r="K31" s="43"/>
      <c r="L31" s="43"/>
      <c r="M31" s="43"/>
      <c r="N31" s="43"/>
      <c r="O31" s="43"/>
      <c r="P31" s="43"/>
      <c r="Q31" s="43"/>
      <c r="R31" s="43"/>
      <c r="S31" s="43"/>
      <c r="T31" s="43"/>
      <c r="U31" s="43"/>
    </row>
    <row r="32" spans="1:21" x14ac:dyDescent="0.35">
      <c r="A32" s="43"/>
      <c r="B32" s="43"/>
      <c r="C32" s="43"/>
      <c r="D32" s="43"/>
      <c r="E32" s="43"/>
      <c r="F32" s="43"/>
      <c r="G32" s="43"/>
      <c r="H32" s="43"/>
      <c r="I32" s="43"/>
      <c r="J32" s="43"/>
      <c r="K32" s="43"/>
      <c r="L32" s="43"/>
      <c r="M32" s="43"/>
      <c r="N32" s="43"/>
      <c r="O32" s="43"/>
      <c r="P32" s="43"/>
      <c r="Q32" s="43"/>
      <c r="R32" s="43"/>
      <c r="S32" s="43"/>
      <c r="T32" s="43"/>
      <c r="U32" s="43"/>
    </row>
    <row r="33" spans="1:21" x14ac:dyDescent="0.35">
      <c r="A33" s="43"/>
      <c r="B33" s="43"/>
      <c r="C33" s="43"/>
      <c r="D33" s="43"/>
      <c r="E33" s="43"/>
      <c r="F33" s="43"/>
      <c r="G33" s="43"/>
      <c r="H33" s="43"/>
      <c r="I33" s="43"/>
      <c r="J33" s="43"/>
      <c r="K33" s="43"/>
      <c r="L33" s="43"/>
      <c r="M33" s="43"/>
      <c r="N33" s="43"/>
      <c r="O33" s="43"/>
      <c r="P33" s="43"/>
      <c r="Q33" s="43"/>
      <c r="R33" s="43"/>
      <c r="S33" s="43"/>
      <c r="T33" s="43"/>
      <c r="U33" s="43"/>
    </row>
    <row r="34" spans="1:21" x14ac:dyDescent="0.35">
      <c r="A34" s="43"/>
      <c r="B34" s="43"/>
      <c r="C34" s="43"/>
      <c r="D34" s="43"/>
      <c r="E34" s="43"/>
      <c r="F34" s="43"/>
      <c r="G34" s="43"/>
      <c r="H34" s="43"/>
      <c r="I34" s="43"/>
      <c r="J34" s="43"/>
      <c r="K34" s="43"/>
      <c r="L34" s="43"/>
      <c r="M34" s="43"/>
      <c r="N34" s="43"/>
      <c r="O34" s="43"/>
      <c r="P34" s="43"/>
      <c r="Q34" s="43"/>
      <c r="R34" s="43"/>
      <c r="S34" s="43"/>
      <c r="T34" s="43"/>
      <c r="U34" s="43"/>
    </row>
    <row r="35" spans="1:21" x14ac:dyDescent="0.35">
      <c r="A35" s="43"/>
      <c r="B35" s="43"/>
      <c r="C35" s="43"/>
      <c r="D35" s="43"/>
      <c r="E35" s="43"/>
      <c r="F35" s="43"/>
      <c r="G35" s="43"/>
      <c r="H35" s="43"/>
      <c r="I35" s="43"/>
      <c r="J35" s="43"/>
      <c r="K35" s="43"/>
      <c r="L35" s="43"/>
      <c r="M35" s="43"/>
      <c r="N35" s="43"/>
      <c r="O35" s="43"/>
      <c r="P35" s="43"/>
      <c r="Q35" s="43"/>
      <c r="R35" s="43"/>
      <c r="S35" s="43"/>
      <c r="T35" s="43"/>
      <c r="U35" s="43"/>
    </row>
    <row r="36" spans="1:21" x14ac:dyDescent="0.35">
      <c r="A36" s="43"/>
      <c r="B36" s="43"/>
      <c r="C36" s="43"/>
      <c r="D36" s="43"/>
      <c r="E36" s="43"/>
      <c r="F36" s="43"/>
      <c r="G36" s="43"/>
      <c r="H36" s="43"/>
      <c r="I36" s="43"/>
      <c r="J36" s="43"/>
      <c r="K36" s="43"/>
      <c r="L36" s="43"/>
      <c r="M36" s="43"/>
      <c r="N36" s="43"/>
      <c r="O36" s="43"/>
      <c r="P36" s="43"/>
      <c r="Q36" s="43"/>
      <c r="R36" s="43"/>
      <c r="S36" s="43"/>
      <c r="T36" s="43"/>
      <c r="U36" s="43"/>
    </row>
    <row r="37" spans="1:21" x14ac:dyDescent="0.35">
      <c r="A37" s="43"/>
      <c r="B37" s="43"/>
      <c r="C37" s="43"/>
      <c r="D37" s="43"/>
      <c r="E37" s="43"/>
      <c r="F37" s="43"/>
      <c r="G37" s="43"/>
      <c r="H37" s="43"/>
      <c r="I37" s="43"/>
      <c r="J37" s="43"/>
      <c r="K37" s="43"/>
      <c r="L37" s="43"/>
      <c r="M37" s="43"/>
      <c r="N37" s="43"/>
      <c r="O37" s="43"/>
      <c r="P37" s="43"/>
      <c r="Q37" s="43"/>
      <c r="R37" s="43"/>
      <c r="S37" s="43"/>
      <c r="T37" s="43"/>
      <c r="U37" s="43"/>
    </row>
    <row r="38" spans="1:21" x14ac:dyDescent="0.35">
      <c r="A38" s="43"/>
      <c r="B38" s="43"/>
      <c r="C38" s="43"/>
      <c r="D38" s="43"/>
      <c r="E38" s="43"/>
      <c r="F38" s="43"/>
      <c r="G38" s="43"/>
      <c r="H38" s="43"/>
      <c r="I38" s="43"/>
      <c r="J38" s="43"/>
      <c r="K38" s="43"/>
      <c r="L38" s="43"/>
      <c r="M38" s="43"/>
      <c r="N38" s="43"/>
      <c r="O38" s="43"/>
      <c r="P38" s="43"/>
      <c r="Q38" s="43"/>
      <c r="R38" s="43"/>
      <c r="S38" s="43"/>
      <c r="T38" s="43"/>
      <c r="U38" s="43"/>
    </row>
    <row r="39" spans="1:21" x14ac:dyDescent="0.35">
      <c r="A39" s="43"/>
      <c r="B39" s="43"/>
      <c r="C39" s="43"/>
      <c r="D39" s="43"/>
      <c r="E39" s="43"/>
      <c r="F39" s="43"/>
      <c r="G39" s="43"/>
      <c r="H39" s="43"/>
      <c r="I39" s="43"/>
      <c r="J39" s="43"/>
      <c r="K39" s="43"/>
      <c r="L39" s="43"/>
      <c r="M39" s="43"/>
      <c r="N39" s="43"/>
      <c r="O39" s="43"/>
      <c r="P39" s="43"/>
      <c r="Q39" s="43"/>
      <c r="R39" s="43"/>
      <c r="S39" s="43"/>
      <c r="T39" s="43"/>
      <c r="U39" s="43"/>
    </row>
    <row r="40" spans="1:21" x14ac:dyDescent="0.35">
      <c r="A40" s="43"/>
      <c r="B40" s="43"/>
      <c r="C40" s="43"/>
      <c r="D40" s="43"/>
      <c r="E40" s="43"/>
      <c r="F40" s="43"/>
      <c r="G40" s="43"/>
      <c r="H40" s="43"/>
      <c r="I40" s="43"/>
      <c r="J40" s="43"/>
      <c r="K40" s="43"/>
      <c r="L40" s="43"/>
      <c r="M40" s="43"/>
      <c r="N40" s="43"/>
      <c r="O40" s="43"/>
      <c r="P40" s="43"/>
      <c r="Q40" s="43"/>
      <c r="R40" s="43"/>
      <c r="S40" s="43"/>
      <c r="T40" s="43"/>
      <c r="U40" s="43"/>
    </row>
    <row r="41" spans="1:21" x14ac:dyDescent="0.35">
      <c r="A41" s="43"/>
      <c r="B41" s="43"/>
      <c r="C41" s="43"/>
      <c r="D41" s="43"/>
      <c r="E41" s="43"/>
      <c r="F41" s="43"/>
      <c r="G41" s="43"/>
      <c r="H41" s="43"/>
      <c r="I41" s="43"/>
      <c r="J41" s="43"/>
      <c r="K41" s="43"/>
      <c r="L41" s="43"/>
      <c r="M41" s="43"/>
      <c r="N41" s="43"/>
      <c r="O41" s="43"/>
      <c r="P41" s="43"/>
      <c r="Q41" s="43"/>
      <c r="R41" s="43"/>
      <c r="S41" s="43"/>
      <c r="T41" s="43"/>
      <c r="U41" s="43"/>
    </row>
    <row r="42" spans="1:21" x14ac:dyDescent="0.35">
      <c r="A42" s="43"/>
      <c r="B42" s="43"/>
      <c r="C42" s="43"/>
      <c r="D42" s="43"/>
      <c r="E42" s="43"/>
      <c r="F42" s="43"/>
      <c r="G42" s="43"/>
      <c r="H42" s="43"/>
      <c r="I42" s="43"/>
      <c r="J42" s="43"/>
      <c r="K42" s="43"/>
      <c r="L42" s="43"/>
      <c r="M42" s="43"/>
      <c r="N42" s="43"/>
      <c r="O42" s="43"/>
      <c r="P42" s="43"/>
      <c r="Q42" s="43"/>
      <c r="R42" s="43"/>
      <c r="S42" s="43"/>
      <c r="T42" s="43"/>
      <c r="U42" s="43"/>
    </row>
    <row r="43" spans="1:21" x14ac:dyDescent="0.35">
      <c r="A43" s="43"/>
      <c r="B43" s="43"/>
      <c r="C43" s="43"/>
      <c r="D43" s="43"/>
      <c r="E43" s="43"/>
      <c r="F43" s="43"/>
      <c r="G43" s="43"/>
      <c r="H43" s="43"/>
      <c r="I43" s="43"/>
      <c r="J43" s="43"/>
      <c r="K43" s="43"/>
      <c r="L43" s="43"/>
      <c r="M43" s="43"/>
      <c r="N43" s="43"/>
      <c r="O43" s="43"/>
      <c r="P43" s="43"/>
      <c r="Q43" s="43"/>
      <c r="R43" s="43"/>
      <c r="S43" s="43"/>
      <c r="T43" s="43"/>
      <c r="U43" s="43"/>
    </row>
    <row r="44" spans="1:21" x14ac:dyDescent="0.35">
      <c r="A44" s="43"/>
      <c r="B44" s="43"/>
      <c r="C44" s="43"/>
      <c r="D44" s="43"/>
      <c r="E44" s="43"/>
      <c r="F44" s="43"/>
      <c r="G44" s="43"/>
      <c r="H44" s="43"/>
      <c r="I44" s="43"/>
      <c r="J44" s="43"/>
      <c r="K44" s="43"/>
      <c r="L44" s="43"/>
      <c r="M44" s="43"/>
      <c r="N44" s="43"/>
      <c r="O44" s="43"/>
      <c r="P44" s="43"/>
      <c r="Q44" s="43"/>
      <c r="R44" s="43"/>
      <c r="S44" s="43"/>
      <c r="T44" s="43"/>
      <c r="U44" s="43"/>
    </row>
    <row r="45" spans="1:21" x14ac:dyDescent="0.35">
      <c r="A45" s="43"/>
      <c r="B45" s="43"/>
      <c r="C45" s="43"/>
      <c r="D45" s="43"/>
      <c r="E45" s="43"/>
      <c r="F45" s="43"/>
      <c r="G45" s="43"/>
      <c r="H45" s="43"/>
      <c r="I45" s="43"/>
      <c r="J45" s="43"/>
      <c r="K45" s="43"/>
      <c r="L45" s="43"/>
      <c r="M45" s="43"/>
      <c r="N45" s="43"/>
      <c r="O45" s="43"/>
      <c r="P45" s="43"/>
      <c r="Q45" s="43"/>
      <c r="R45" s="43"/>
      <c r="S45" s="43"/>
      <c r="T45" s="43"/>
      <c r="U45" s="43"/>
    </row>
  </sheetData>
  <mergeCells count="1">
    <mergeCell ref="A1:U3"/>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036C00-416D-4F93-B47D-26F69912183A}">
  <dimension ref="A1:C19"/>
  <sheetViews>
    <sheetView topLeftCell="A14" workbookViewId="0">
      <selection activeCell="C24" sqref="C24"/>
    </sheetView>
  </sheetViews>
  <sheetFormatPr defaultColWidth="9.453125" defaultRowHeight="14.5" x14ac:dyDescent="0.35"/>
  <cols>
    <col min="1" max="1" width="12.36328125" bestFit="1" customWidth="1"/>
    <col min="2" max="2" width="37.90625" bestFit="1" customWidth="1"/>
    <col min="3" max="3" width="37.7265625" style="13" bestFit="1" customWidth="1"/>
  </cols>
  <sheetData>
    <row r="1" spans="1:3" ht="14.5" customHeight="1" x14ac:dyDescent="0.35">
      <c r="A1" s="39" t="s">
        <v>2498</v>
      </c>
      <c r="B1" s="39"/>
      <c r="C1" s="39"/>
    </row>
    <row r="2" spans="1:3" ht="14.5" customHeight="1" x14ac:dyDescent="0.35">
      <c r="A2" s="40"/>
      <c r="B2" s="40"/>
      <c r="C2" s="40"/>
    </row>
    <row r="3" spans="1:3" ht="15" customHeight="1" x14ac:dyDescent="0.35">
      <c r="A3" s="41"/>
      <c r="B3" s="41"/>
      <c r="C3" s="41"/>
    </row>
    <row r="4" spans="1:3" x14ac:dyDescent="0.35">
      <c r="A4" s="32" t="s">
        <v>2499</v>
      </c>
      <c r="B4" s="32" t="s">
        <v>2509</v>
      </c>
      <c r="C4" s="33" t="s">
        <v>2508</v>
      </c>
    </row>
    <row r="5" spans="1:3" ht="63.5" customHeight="1" x14ac:dyDescent="0.35">
      <c r="A5" s="37" t="s">
        <v>2503</v>
      </c>
      <c r="B5" s="28" t="s">
        <v>2505</v>
      </c>
      <c r="C5" s="29" t="s">
        <v>2506</v>
      </c>
    </row>
    <row r="6" spans="1:3" ht="72.5" x14ac:dyDescent="0.35">
      <c r="A6" s="37"/>
      <c r="B6" s="28" t="s">
        <v>2504</v>
      </c>
      <c r="C6" s="29" t="s">
        <v>2507</v>
      </c>
    </row>
    <row r="7" spans="1:3" ht="72.5" x14ac:dyDescent="0.35">
      <c r="A7" s="37" t="s">
        <v>2501</v>
      </c>
      <c r="B7" s="28" t="s">
        <v>2510</v>
      </c>
      <c r="C7" s="29" t="s">
        <v>2512</v>
      </c>
    </row>
    <row r="8" spans="1:3" ht="72.5" x14ac:dyDescent="0.35">
      <c r="A8" s="37"/>
      <c r="B8" s="28" t="s">
        <v>2511</v>
      </c>
      <c r="C8" s="29" t="s">
        <v>2513</v>
      </c>
    </row>
    <row r="9" spans="1:3" ht="58" x14ac:dyDescent="0.35">
      <c r="A9" s="37" t="s">
        <v>2500</v>
      </c>
      <c r="B9" s="28" t="s">
        <v>2514</v>
      </c>
      <c r="C9" s="29" t="s">
        <v>2517</v>
      </c>
    </row>
    <row r="10" spans="1:3" ht="72.5" x14ac:dyDescent="0.35">
      <c r="A10" s="37"/>
      <c r="B10" s="28" t="s">
        <v>2515</v>
      </c>
      <c r="C10" s="29" t="s">
        <v>2518</v>
      </c>
    </row>
    <row r="11" spans="1:3" ht="44.5" customHeight="1" x14ac:dyDescent="0.35">
      <c r="A11" s="37"/>
      <c r="B11" s="28" t="s">
        <v>2516</v>
      </c>
      <c r="C11" s="29" t="s">
        <v>2519</v>
      </c>
    </row>
    <row r="12" spans="1:3" ht="101.5" x14ac:dyDescent="0.35">
      <c r="A12" s="37" t="s">
        <v>2500</v>
      </c>
      <c r="B12" s="28" t="s">
        <v>2520</v>
      </c>
      <c r="C12" s="29" t="s">
        <v>2522</v>
      </c>
    </row>
    <row r="13" spans="1:3" ht="145" x14ac:dyDescent="0.35">
      <c r="A13" s="37"/>
      <c r="B13" s="28" t="s">
        <v>2521</v>
      </c>
      <c r="C13" s="29" t="s">
        <v>2526</v>
      </c>
    </row>
    <row r="14" spans="1:3" ht="72.5" x14ac:dyDescent="0.35">
      <c r="A14" s="37" t="s">
        <v>2502</v>
      </c>
      <c r="B14" s="30" t="s">
        <v>2523</v>
      </c>
      <c r="C14" s="27" t="s">
        <v>2527</v>
      </c>
    </row>
    <row r="15" spans="1:3" ht="29" customHeight="1" x14ac:dyDescent="0.35">
      <c r="A15" s="37"/>
      <c r="B15" s="36" t="s">
        <v>2524</v>
      </c>
      <c r="C15" s="31" t="s">
        <v>2528</v>
      </c>
    </row>
    <row r="16" spans="1:3" ht="58" customHeight="1" x14ac:dyDescent="0.35">
      <c r="A16" s="37"/>
      <c r="B16" s="36"/>
      <c r="C16" s="31" t="s">
        <v>2529</v>
      </c>
    </row>
    <row r="17" spans="1:3" ht="43.5" customHeight="1" x14ac:dyDescent="0.35">
      <c r="A17" s="37"/>
      <c r="B17" s="36"/>
      <c r="C17" s="31" t="s">
        <v>2530</v>
      </c>
    </row>
    <row r="18" spans="1:3" ht="43.5" x14ac:dyDescent="0.35">
      <c r="A18" s="37"/>
      <c r="B18" s="38" t="s">
        <v>2525</v>
      </c>
      <c r="C18" s="31" t="s">
        <v>2531</v>
      </c>
    </row>
    <row r="19" spans="1:3" ht="43.5" x14ac:dyDescent="0.35">
      <c r="A19" s="37"/>
      <c r="B19" s="38"/>
      <c r="C19" s="31" t="s">
        <v>2532</v>
      </c>
    </row>
  </sheetData>
  <mergeCells count="8">
    <mergeCell ref="B15:B17"/>
    <mergeCell ref="A14:A19"/>
    <mergeCell ref="B18:B19"/>
    <mergeCell ref="A1:C3"/>
    <mergeCell ref="A5:A6"/>
    <mergeCell ref="A7:A8"/>
    <mergeCell ref="A9:A11"/>
    <mergeCell ref="A12:A13"/>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EB9C1E0A-9161-42C8-989E-10D733A01DB0}">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Customer_Data</vt:lpstr>
      <vt:lpstr>Product_Data</vt:lpstr>
      <vt:lpstr>Store_Data</vt:lpstr>
      <vt:lpstr>SalesOverall</vt:lpstr>
      <vt:lpstr>Descriptive Statistics</vt:lpstr>
      <vt:lpstr>Pivot </vt:lpstr>
      <vt:lpstr>Dash board</vt:lpstr>
      <vt:lpstr>Final Summary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Venkatesh V</cp:lastModifiedBy>
  <dcterms:created xsi:type="dcterms:W3CDTF">2025-10-14T06:00:18Z</dcterms:created>
  <dcterms:modified xsi:type="dcterms:W3CDTF">2026-03-15T11:20:33Z</dcterms:modified>
</cp:coreProperties>
</file>